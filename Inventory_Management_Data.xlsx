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3.xml" ContentType="application/vnd.openxmlformats-officedocument.drawing+xml"/>
  <Override PartName="/xl/drawings/drawing4.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USER\Desktop\DataMentor Hub\Dataset\"/>
    </mc:Choice>
  </mc:AlternateContent>
  <xr:revisionPtr revIDLastSave="0" documentId="13_ncr:1_{DE653F2F-93EA-477C-9291-82AC4D229BD7}" xr6:coauthVersionLast="47" xr6:coauthVersionMax="47" xr10:uidLastSave="{00000000-0000-0000-0000-000000000000}"/>
  <bookViews>
    <workbookView xWindow="-120" yWindow="-120" windowWidth="24240" windowHeight="13140" xr2:uid="{00000000-000D-0000-FFFF-FFFF00000000}"/>
  </bookViews>
  <sheets>
    <sheet name="Inventory_Data" sheetId="1" r:id="rId1"/>
    <sheet name="Cleaned Data" sheetId="2" r:id="rId2"/>
    <sheet name="Pivot Table" sheetId="3" r:id="rId3"/>
    <sheet name="Report page 1" sheetId="4" r:id="rId4"/>
    <sheet name="Report page 2" sheetId="5" r:id="rId5"/>
    <sheet name="Report Template" sheetId="6" r:id="rId6"/>
  </sheets>
  <definedNames>
    <definedName name="_xlchart.v5.0" hidden="1">'Pivot Table'!$C$16</definedName>
    <definedName name="_xlchart.v5.1" hidden="1">'Pivot Table'!$C$17:$C$21</definedName>
    <definedName name="_xlchart.v5.2" hidden="1">'Pivot Table'!$D$16</definedName>
    <definedName name="_xlchart.v5.3" hidden="1">'Pivot Table'!$D$17:$D$21</definedName>
    <definedName name="_xlcn.WorksheetConnection_Inventory_Management_Data.xlsxTable11" hidden="1">Table1[]</definedName>
    <definedName name="Slicer_Quarter">#N/A</definedName>
    <definedName name="Slicer_Year">#N/A</definedName>
  </definedNames>
  <calcPr calcId="191029"/>
  <pivotCaches>
    <pivotCache cacheId="0" r:id="rId7"/>
    <pivotCache cacheId="1" r:id="rId8"/>
    <pivotCache cacheId="2" r:id="rId9"/>
    <pivotCache cacheId="3" r:id="rId10"/>
    <pivotCache cacheId="4" r:id="rId11"/>
    <pivotCache cacheId="5" r:id="rId12"/>
    <pivotCache cacheId="6" r:id="rId13"/>
  </pivotCaches>
  <extLst>
    <ext xmlns:x14="http://schemas.microsoft.com/office/spreadsheetml/2009/9/main" uri="{876F7934-8845-4945-9796-88D515C7AA90}">
      <x14:pivotCaches>
        <pivotCache cacheId="7" r:id="rId14"/>
      </x14:pivotCaches>
    </ex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Table1" name="Table1" connection="WorksheetConnection_Inventory_Management_Data.xlsx!Table1"/>
        </x15:modelTables>
        <x15:extLst>
          <ext xmlns:x16="http://schemas.microsoft.com/office/spreadsheetml/2014/11/main" uri="{9835A34E-60A6-4A7C-AAB8-D5F71C897F49}">
            <x16:modelTimeGroupings>
              <x16:modelTimeGrouping tableName="Table1" columnName="Last_Restock_Date" columnId="Last_Restock_Date">
                <x16:calculatedTimeColumn columnName="Last_Restock_Date (Year)" columnId="Last_Restock_Date (Year)" contentType="years" isSelected="1"/>
                <x16:calculatedTimeColumn columnName="Last_Restock_Date (Quarter)" columnId="Last_Restock_Date (Quarter)" contentType="quarters" isSelected="1"/>
                <x16:calculatedTimeColumn columnName="Last_Restock_Date (Month Index)" columnId="Last_Restock_Date (Month Index)" contentType="monthsindex" isSelected="1"/>
                <x16:calculatedTimeColumn columnName="Last_Restock_Date (Month)" columnId="Last_Restock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2" l="1"/>
  <c r="C17" i="3"/>
  <c r="D17" i="3"/>
  <c r="C18" i="3"/>
  <c r="D18" i="3"/>
  <c r="C19" i="3"/>
  <c r="D19" i="3"/>
  <c r="C20" i="3"/>
  <c r="D20" i="3"/>
  <c r="C21" i="3"/>
  <c r="D21" i="3"/>
  <c r="D16" i="3"/>
  <c r="C16" i="3"/>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O170" i="2" a="1"/>
  <c r="O170" i="2" s="1"/>
  <c r="O266" i="2" a="1"/>
  <c r="O266" i="2" s="1"/>
  <c r="O353" i="2" a="1"/>
  <c r="O353" i="2" s="1"/>
  <c r="O418" i="2" a="1"/>
  <c r="O418" i="2" s="1"/>
  <c r="O486" i="2"/>
  <c r="O541" i="2" a="1"/>
  <c r="O541" i="2" s="1"/>
  <c r="O550" i="2" a="1"/>
  <c r="O550" i="2" s="1"/>
  <c r="O617" i="2" a="1"/>
  <c r="O617" i="2" s="1"/>
  <c r="O637" i="2" a="1"/>
  <c r="O637" i="2" s="1"/>
  <c r="O662" i="2"/>
  <c r="O669" i="2" a="1"/>
  <c r="O669" i="2" s="1"/>
  <c r="O694" i="2"/>
  <c r="O713" i="2" a="1"/>
  <c r="O713" i="2" s="1"/>
  <c r="O718" i="2"/>
  <c r="O734" i="2"/>
  <c r="O761" i="2" a="1"/>
  <c r="O761" i="2" s="1"/>
  <c r="O777" i="2" a="1"/>
  <c r="O777" i="2" s="1"/>
  <c r="O782" i="2"/>
  <c r="O798" i="2"/>
  <c r="O825" i="2" a="1"/>
  <c r="O825" i="2" s="1"/>
  <c r="O841" i="2" a="1"/>
  <c r="O841" i="2" s="1"/>
  <c r="O846" i="2"/>
  <c r="O862" i="2"/>
  <c r="O889" i="2" a="1"/>
  <c r="O889" i="2" s="1"/>
  <c r="O905" i="2" a="1"/>
  <c r="O905" i="2" s="1"/>
  <c r="O910" i="2"/>
  <c r="O926" i="2" a="1"/>
  <c r="O926" i="2" s="1"/>
  <c r="O929" i="2" a="1"/>
  <c r="O929" i="2" s="1"/>
  <c r="O942" i="2" a="1"/>
  <c r="O942" i="2" s="1"/>
  <c r="O945" i="2" a="1"/>
  <c r="O945" i="2" s="1"/>
  <c r="O958" i="2" a="1"/>
  <c r="O958" i="2" s="1"/>
  <c r="O961" i="2" a="1"/>
  <c r="O961" i="2" s="1"/>
  <c r="O974" i="2" a="1"/>
  <c r="O974" i="2" s="1"/>
  <c r="O977" i="2" a="1"/>
  <c r="O977" i="2" s="1"/>
  <c r="O990" i="2" a="1"/>
  <c r="O990" i="2" s="1"/>
  <c r="O993" i="2" a="1"/>
  <c r="O993" i="2" s="1"/>
  <c r="N2" i="2"/>
  <c r="O2" i="2" s="1" a="1"/>
  <c r="O2" i="2" s="1"/>
  <c r="N3" i="2"/>
  <c r="O3" i="2" s="1" a="1"/>
  <c r="O3" i="2" s="1"/>
  <c r="N4" i="2"/>
  <c r="O4" i="2" s="1" a="1"/>
  <c r="O4" i="2" s="1"/>
  <c r="N5" i="2"/>
  <c r="O5" i="2" s="1" a="1"/>
  <c r="O5" i="2" s="1"/>
  <c r="N6" i="2"/>
  <c r="O6" i="2" s="1" a="1"/>
  <c r="O6" i="2" s="1"/>
  <c r="N7" i="2"/>
  <c r="O7" i="2" s="1" a="1"/>
  <c r="O7" i="2" s="1"/>
  <c r="N8" i="2"/>
  <c r="O8" i="2" s="1" a="1"/>
  <c r="O8" i="2" s="1"/>
  <c r="N9" i="2"/>
  <c r="O9" i="2" s="1" a="1"/>
  <c r="O9" i="2" s="1"/>
  <c r="N10" i="2"/>
  <c r="O10" i="2" s="1" a="1"/>
  <c r="O10" i="2" s="1"/>
  <c r="N11" i="2"/>
  <c r="O11" i="2" s="1" a="1"/>
  <c r="O11" i="2" s="1"/>
  <c r="N12" i="2"/>
  <c r="O12" i="2" s="1" a="1"/>
  <c r="O12" i="2" s="1"/>
  <c r="N13" i="2"/>
  <c r="O13" i="2" s="1" a="1"/>
  <c r="O13" i="2" s="1"/>
  <c r="N14" i="2"/>
  <c r="O14" i="2" s="1" a="1"/>
  <c r="O14" i="2" s="1"/>
  <c r="N15" i="2"/>
  <c r="O15" i="2" s="1" a="1"/>
  <c r="O15" i="2" s="1"/>
  <c r="N16" i="2"/>
  <c r="O16" i="2" s="1" a="1"/>
  <c r="O16" i="2" s="1"/>
  <c r="N17" i="2"/>
  <c r="O17" i="2" s="1" a="1"/>
  <c r="O17" i="2" s="1"/>
  <c r="N18" i="2"/>
  <c r="O18" i="2" s="1" a="1"/>
  <c r="O18" i="2" s="1"/>
  <c r="N19" i="2"/>
  <c r="O19" i="2" s="1" a="1"/>
  <c r="O19" i="2" s="1"/>
  <c r="N20" i="2"/>
  <c r="O20" i="2" s="1" a="1"/>
  <c r="O20" i="2" s="1"/>
  <c r="N21" i="2"/>
  <c r="O21" i="2" s="1" a="1"/>
  <c r="O21" i="2" s="1"/>
  <c r="N22" i="2"/>
  <c r="O22" i="2" s="1" a="1"/>
  <c r="O22" i="2" s="1"/>
  <c r="N23" i="2"/>
  <c r="O23" i="2" s="1" a="1"/>
  <c r="O23" i="2" s="1"/>
  <c r="N24" i="2"/>
  <c r="O24" i="2" s="1" a="1"/>
  <c r="O24" i="2" s="1"/>
  <c r="N25" i="2"/>
  <c r="O25" i="2" s="1" a="1"/>
  <c r="O25" i="2" s="1"/>
  <c r="N26" i="2"/>
  <c r="O26" i="2" s="1" a="1"/>
  <c r="O26" i="2" s="1"/>
  <c r="N27" i="2"/>
  <c r="O27" i="2" s="1" a="1"/>
  <c r="O27" i="2" s="1"/>
  <c r="N28" i="2"/>
  <c r="O28" i="2" s="1" a="1"/>
  <c r="O28" i="2" s="1"/>
  <c r="N29" i="2"/>
  <c r="O29" i="2" s="1" a="1"/>
  <c r="O29" i="2" s="1"/>
  <c r="N30" i="2"/>
  <c r="O30" i="2" s="1" a="1"/>
  <c r="O30" i="2" s="1"/>
  <c r="N31" i="2"/>
  <c r="O31" i="2" s="1" a="1"/>
  <c r="O31" i="2" s="1"/>
  <c r="N32" i="2"/>
  <c r="O32" i="2" s="1" a="1"/>
  <c r="O32" i="2" s="1"/>
  <c r="N33" i="2"/>
  <c r="O33" i="2" s="1" a="1"/>
  <c r="O33" i="2" s="1"/>
  <c r="N34" i="2"/>
  <c r="O34" i="2" s="1" a="1"/>
  <c r="O34" i="2" s="1"/>
  <c r="N35" i="2"/>
  <c r="O35" i="2" s="1" a="1"/>
  <c r="O35" i="2" s="1"/>
  <c r="N36" i="2"/>
  <c r="O36" i="2" s="1" a="1"/>
  <c r="O36" i="2" s="1"/>
  <c r="N37" i="2"/>
  <c r="O37" i="2" s="1" a="1"/>
  <c r="O37" i="2" s="1"/>
  <c r="N38" i="2"/>
  <c r="O38" i="2" s="1" a="1"/>
  <c r="O38" i="2" s="1"/>
  <c r="N39" i="2"/>
  <c r="O39" i="2" s="1" a="1"/>
  <c r="O39" i="2" s="1"/>
  <c r="N40" i="2"/>
  <c r="O40" i="2" s="1" a="1"/>
  <c r="O40" i="2" s="1"/>
  <c r="N41" i="2"/>
  <c r="O41" i="2" s="1" a="1"/>
  <c r="O41" i="2" s="1"/>
  <c r="N42" i="2"/>
  <c r="O42" i="2" s="1" a="1"/>
  <c r="O42" i="2" s="1"/>
  <c r="N43" i="2"/>
  <c r="O43" i="2" s="1" a="1"/>
  <c r="O43" i="2" s="1"/>
  <c r="N44" i="2"/>
  <c r="O44" i="2" s="1" a="1"/>
  <c r="O44" i="2" s="1"/>
  <c r="N45" i="2"/>
  <c r="O45" i="2" s="1" a="1"/>
  <c r="O45" i="2" s="1"/>
  <c r="N46" i="2"/>
  <c r="O46" i="2" s="1" a="1"/>
  <c r="O46" i="2" s="1"/>
  <c r="N47" i="2"/>
  <c r="O47" i="2" s="1" a="1"/>
  <c r="O47" i="2" s="1"/>
  <c r="N48" i="2"/>
  <c r="O48" i="2" s="1" a="1"/>
  <c r="O48" i="2" s="1"/>
  <c r="N49" i="2"/>
  <c r="O49" i="2" s="1" a="1"/>
  <c r="O49" i="2" s="1"/>
  <c r="N50" i="2"/>
  <c r="O50" i="2" s="1" a="1"/>
  <c r="O50" i="2" s="1"/>
  <c r="N51" i="2"/>
  <c r="O51" i="2" s="1" a="1"/>
  <c r="O51" i="2" s="1"/>
  <c r="N52" i="2"/>
  <c r="O52" i="2" s="1" a="1"/>
  <c r="O52" i="2" s="1"/>
  <c r="N53" i="2"/>
  <c r="O53" i="2" s="1" a="1"/>
  <c r="O53" i="2" s="1"/>
  <c r="N54" i="2"/>
  <c r="O54" i="2" s="1" a="1"/>
  <c r="O54" i="2" s="1"/>
  <c r="N55" i="2"/>
  <c r="O55" i="2" s="1" a="1"/>
  <c r="O55" i="2" s="1"/>
  <c r="N56" i="2"/>
  <c r="O56" i="2" s="1" a="1"/>
  <c r="O56" i="2" s="1"/>
  <c r="N57" i="2"/>
  <c r="O57" i="2" s="1" a="1"/>
  <c r="O57" i="2" s="1"/>
  <c r="N58" i="2"/>
  <c r="O58" i="2" s="1" a="1"/>
  <c r="O58" i="2" s="1"/>
  <c r="N59" i="2"/>
  <c r="O59" i="2" s="1" a="1"/>
  <c r="O59" i="2" s="1"/>
  <c r="N60" i="2"/>
  <c r="O60" i="2" s="1" a="1"/>
  <c r="O60" i="2" s="1"/>
  <c r="N61" i="2"/>
  <c r="O61" i="2" s="1" a="1"/>
  <c r="O61" i="2" s="1"/>
  <c r="N62" i="2"/>
  <c r="O62" i="2" s="1" a="1"/>
  <c r="O62" i="2" s="1"/>
  <c r="N63" i="2"/>
  <c r="O63" i="2" s="1" a="1"/>
  <c r="O63" i="2" s="1"/>
  <c r="N64" i="2"/>
  <c r="O64" i="2" s="1" a="1"/>
  <c r="O64" i="2" s="1"/>
  <c r="N65" i="2"/>
  <c r="O65" i="2" s="1" a="1"/>
  <c r="O65" i="2" s="1"/>
  <c r="N66" i="2"/>
  <c r="O66" i="2" s="1" a="1"/>
  <c r="O66" i="2" s="1"/>
  <c r="N67" i="2"/>
  <c r="O67" i="2" s="1" a="1"/>
  <c r="O67" i="2" s="1"/>
  <c r="N68" i="2"/>
  <c r="O68" i="2" s="1" a="1"/>
  <c r="O68" i="2" s="1"/>
  <c r="N69" i="2"/>
  <c r="O69" i="2" s="1" a="1"/>
  <c r="O69" i="2" s="1"/>
  <c r="N70" i="2"/>
  <c r="O70" i="2" s="1" a="1"/>
  <c r="O70" i="2" s="1"/>
  <c r="N71" i="2"/>
  <c r="O71" i="2" s="1" a="1"/>
  <c r="O71" i="2" s="1"/>
  <c r="N72" i="2"/>
  <c r="O72" i="2" s="1" a="1"/>
  <c r="O72" i="2" s="1"/>
  <c r="N73" i="2"/>
  <c r="O73" i="2" s="1" a="1"/>
  <c r="O73" i="2" s="1"/>
  <c r="N74" i="2"/>
  <c r="O74" i="2" s="1" a="1"/>
  <c r="O74" i="2" s="1"/>
  <c r="N75" i="2"/>
  <c r="O75" i="2" s="1" a="1"/>
  <c r="O75" i="2" s="1"/>
  <c r="N76" i="2"/>
  <c r="O76" i="2" s="1" a="1"/>
  <c r="O76" i="2" s="1"/>
  <c r="N77" i="2"/>
  <c r="O77" i="2" s="1" a="1"/>
  <c r="O77" i="2" s="1"/>
  <c r="N78" i="2"/>
  <c r="O78" i="2" s="1" a="1"/>
  <c r="O78" i="2" s="1"/>
  <c r="N79" i="2"/>
  <c r="O79" i="2" s="1" a="1"/>
  <c r="O79" i="2" s="1"/>
  <c r="N80" i="2"/>
  <c r="O80" i="2" s="1" a="1"/>
  <c r="O80" i="2" s="1"/>
  <c r="N81" i="2"/>
  <c r="O81" i="2" s="1" a="1"/>
  <c r="O81" i="2" s="1"/>
  <c r="N82" i="2"/>
  <c r="O82" i="2" s="1" a="1"/>
  <c r="O82" i="2" s="1"/>
  <c r="N83" i="2"/>
  <c r="O83" i="2" s="1" a="1"/>
  <c r="O83" i="2" s="1"/>
  <c r="N84" i="2"/>
  <c r="O84" i="2" s="1" a="1"/>
  <c r="O84" i="2" s="1"/>
  <c r="N85" i="2"/>
  <c r="O85" i="2" s="1" a="1"/>
  <c r="O85" i="2" s="1"/>
  <c r="N86" i="2"/>
  <c r="O86" i="2" s="1" a="1"/>
  <c r="O86" i="2" s="1"/>
  <c r="N87" i="2"/>
  <c r="O87" i="2" s="1" a="1"/>
  <c r="O87" i="2" s="1"/>
  <c r="N88" i="2"/>
  <c r="O88" i="2" s="1" a="1"/>
  <c r="O88" i="2" s="1"/>
  <c r="N89" i="2"/>
  <c r="O89" i="2" s="1" a="1"/>
  <c r="O89" i="2" s="1"/>
  <c r="N90" i="2"/>
  <c r="O90" i="2" s="1" a="1"/>
  <c r="O90" i="2" s="1"/>
  <c r="N91" i="2"/>
  <c r="O91" i="2" s="1" a="1"/>
  <c r="O91" i="2" s="1"/>
  <c r="N92" i="2"/>
  <c r="O92" i="2" s="1" a="1"/>
  <c r="O92" i="2" s="1"/>
  <c r="N93" i="2"/>
  <c r="O93" i="2" s="1" a="1"/>
  <c r="O93" i="2" s="1"/>
  <c r="N94" i="2"/>
  <c r="O94" i="2" s="1" a="1"/>
  <c r="O94" i="2" s="1"/>
  <c r="N95" i="2"/>
  <c r="O95" i="2" s="1" a="1"/>
  <c r="O95" i="2" s="1"/>
  <c r="N96" i="2"/>
  <c r="O96" i="2" s="1" a="1"/>
  <c r="O96" i="2" s="1"/>
  <c r="N97" i="2"/>
  <c r="O97" i="2" s="1" a="1"/>
  <c r="O97" i="2" s="1"/>
  <c r="N98" i="2"/>
  <c r="O98" i="2" s="1" a="1"/>
  <c r="O98" i="2" s="1"/>
  <c r="N99" i="2"/>
  <c r="O99" i="2" s="1" a="1"/>
  <c r="O99" i="2" s="1"/>
  <c r="N100" i="2"/>
  <c r="O100" i="2" s="1" a="1"/>
  <c r="O100" i="2" s="1"/>
  <c r="N101" i="2"/>
  <c r="O101" i="2" s="1" a="1"/>
  <c r="O101" i="2" s="1"/>
  <c r="N102" i="2"/>
  <c r="O102" i="2" s="1" a="1"/>
  <c r="O102" i="2" s="1"/>
  <c r="N103" i="2"/>
  <c r="O103" i="2" s="1" a="1"/>
  <c r="O103" i="2" s="1"/>
  <c r="N104" i="2"/>
  <c r="O104" i="2" s="1" a="1"/>
  <c r="O104" i="2" s="1"/>
  <c r="N105" i="2"/>
  <c r="O105" i="2" s="1" a="1"/>
  <c r="O105" i="2" s="1"/>
  <c r="N106" i="2"/>
  <c r="O106" i="2" s="1" a="1"/>
  <c r="O106" i="2" s="1"/>
  <c r="N107" i="2"/>
  <c r="O107" i="2" s="1" a="1"/>
  <c r="O107" i="2" s="1"/>
  <c r="N108" i="2"/>
  <c r="O108" i="2" s="1" a="1"/>
  <c r="O108" i="2" s="1"/>
  <c r="N109" i="2"/>
  <c r="O109" i="2" s="1" a="1"/>
  <c r="O109" i="2" s="1"/>
  <c r="N110" i="2"/>
  <c r="O110" i="2" s="1" a="1"/>
  <c r="O110" i="2" s="1"/>
  <c r="N111" i="2"/>
  <c r="O111" i="2" s="1" a="1"/>
  <c r="O111" i="2" s="1"/>
  <c r="N112" i="2"/>
  <c r="O112" i="2" s="1" a="1"/>
  <c r="O112" i="2" s="1"/>
  <c r="N113" i="2"/>
  <c r="O113" i="2" s="1" a="1"/>
  <c r="O113" i="2" s="1"/>
  <c r="N114" i="2"/>
  <c r="O114" i="2" s="1" a="1"/>
  <c r="O114" i="2" s="1"/>
  <c r="N115" i="2"/>
  <c r="O115" i="2" s="1" a="1"/>
  <c r="O115" i="2" s="1"/>
  <c r="N116" i="2"/>
  <c r="O116" i="2" s="1" a="1"/>
  <c r="O116" i="2" s="1"/>
  <c r="N117" i="2"/>
  <c r="O117" i="2" s="1" a="1"/>
  <c r="O117" i="2" s="1"/>
  <c r="N118" i="2"/>
  <c r="O118" i="2" s="1" a="1"/>
  <c r="O118" i="2" s="1"/>
  <c r="N119" i="2"/>
  <c r="O119" i="2" s="1" a="1"/>
  <c r="O119" i="2" s="1"/>
  <c r="N120" i="2"/>
  <c r="O120" i="2" s="1" a="1"/>
  <c r="O120" i="2" s="1"/>
  <c r="N121" i="2"/>
  <c r="O121" i="2" s="1" a="1"/>
  <c r="O121" i="2" s="1"/>
  <c r="N122" i="2"/>
  <c r="O122" i="2" s="1" a="1"/>
  <c r="O122" i="2" s="1"/>
  <c r="N123" i="2"/>
  <c r="O123" i="2" s="1" a="1"/>
  <c r="O123" i="2" s="1"/>
  <c r="N124" i="2"/>
  <c r="O124" i="2" s="1" a="1"/>
  <c r="O124" i="2" s="1"/>
  <c r="N125" i="2"/>
  <c r="O125" i="2" s="1" a="1"/>
  <c r="O125" i="2" s="1"/>
  <c r="N126" i="2"/>
  <c r="O126" i="2" s="1" a="1"/>
  <c r="O126" i="2" s="1"/>
  <c r="N127" i="2"/>
  <c r="O127" i="2" s="1" a="1"/>
  <c r="O127" i="2" s="1"/>
  <c r="N128" i="2"/>
  <c r="O128" i="2" s="1" a="1"/>
  <c r="O128" i="2" s="1"/>
  <c r="N129" i="2"/>
  <c r="O129" i="2" s="1" a="1"/>
  <c r="O129" i="2" s="1"/>
  <c r="N130" i="2"/>
  <c r="O130" i="2" s="1" a="1"/>
  <c r="O130" i="2" s="1"/>
  <c r="N131" i="2"/>
  <c r="O131" i="2" s="1" a="1"/>
  <c r="O131" i="2" s="1"/>
  <c r="N132" i="2"/>
  <c r="O132" i="2" s="1" a="1"/>
  <c r="O132" i="2" s="1"/>
  <c r="N133" i="2"/>
  <c r="O133" i="2" s="1" a="1"/>
  <c r="O133" i="2" s="1"/>
  <c r="N134" i="2"/>
  <c r="O134" i="2" s="1" a="1"/>
  <c r="O134" i="2" s="1"/>
  <c r="N135" i="2"/>
  <c r="O135" i="2" s="1" a="1"/>
  <c r="O135" i="2" s="1"/>
  <c r="N136" i="2"/>
  <c r="O136" i="2" s="1" a="1"/>
  <c r="O136" i="2" s="1"/>
  <c r="N137" i="2"/>
  <c r="O137" i="2" s="1" a="1"/>
  <c r="O137" i="2" s="1"/>
  <c r="N138" i="2"/>
  <c r="O138" i="2" s="1" a="1"/>
  <c r="O138" i="2" s="1"/>
  <c r="N139" i="2"/>
  <c r="O139" i="2" s="1" a="1"/>
  <c r="O139" i="2" s="1"/>
  <c r="N140" i="2"/>
  <c r="O140" i="2" s="1" a="1"/>
  <c r="O140" i="2" s="1"/>
  <c r="N141" i="2"/>
  <c r="O141" i="2" s="1" a="1"/>
  <c r="O141" i="2" s="1"/>
  <c r="N142" i="2"/>
  <c r="O142" i="2" s="1" a="1"/>
  <c r="O142" i="2" s="1"/>
  <c r="N143" i="2"/>
  <c r="O143" i="2" s="1" a="1"/>
  <c r="O143" i="2" s="1"/>
  <c r="N144" i="2"/>
  <c r="O144" i="2" s="1" a="1"/>
  <c r="O144" i="2" s="1"/>
  <c r="N145" i="2"/>
  <c r="O145" i="2" s="1" a="1"/>
  <c r="O145" i="2" s="1"/>
  <c r="N146" i="2"/>
  <c r="O146" i="2" s="1" a="1"/>
  <c r="O146" i="2" s="1"/>
  <c r="N147" i="2"/>
  <c r="O147" i="2" s="1" a="1"/>
  <c r="O147" i="2" s="1"/>
  <c r="N148" i="2"/>
  <c r="O148" i="2" s="1" a="1"/>
  <c r="O148" i="2" s="1"/>
  <c r="N149" i="2"/>
  <c r="O149" i="2" s="1" a="1"/>
  <c r="O149" i="2" s="1"/>
  <c r="N150" i="2"/>
  <c r="O150" i="2" s="1" a="1"/>
  <c r="O150" i="2" s="1"/>
  <c r="N151" i="2"/>
  <c r="O151" i="2" s="1" a="1"/>
  <c r="O151" i="2" s="1"/>
  <c r="N152" i="2"/>
  <c r="O152" i="2" s="1" a="1"/>
  <c r="O152" i="2" s="1"/>
  <c r="N153" i="2"/>
  <c r="O153" i="2" s="1" a="1"/>
  <c r="O153" i="2" s="1"/>
  <c r="N154" i="2"/>
  <c r="O154" i="2" s="1" a="1"/>
  <c r="O154" i="2" s="1"/>
  <c r="N155" i="2"/>
  <c r="O155" i="2" s="1" a="1"/>
  <c r="O155" i="2" s="1"/>
  <c r="N156" i="2"/>
  <c r="O156" i="2" s="1" a="1"/>
  <c r="O156" i="2" s="1"/>
  <c r="N157" i="2"/>
  <c r="O157" i="2" s="1" a="1"/>
  <c r="O157" i="2" s="1"/>
  <c r="N158" i="2"/>
  <c r="O158" i="2" s="1" a="1"/>
  <c r="O158" i="2" s="1"/>
  <c r="N159" i="2"/>
  <c r="O159" i="2" s="1" a="1"/>
  <c r="O159" i="2" s="1"/>
  <c r="N160" i="2"/>
  <c r="O160" i="2" s="1" a="1"/>
  <c r="O160" i="2" s="1"/>
  <c r="N161" i="2"/>
  <c r="O161" i="2" s="1" a="1"/>
  <c r="O161" i="2" s="1"/>
  <c r="N162" i="2"/>
  <c r="O162" i="2" s="1" a="1"/>
  <c r="O162" i="2" s="1"/>
  <c r="N163" i="2"/>
  <c r="O163" i="2" s="1" a="1"/>
  <c r="O163" i="2" s="1"/>
  <c r="N164" i="2"/>
  <c r="O164" i="2" s="1" a="1"/>
  <c r="O164" i="2" s="1"/>
  <c r="N165" i="2"/>
  <c r="O165" i="2" s="1" a="1"/>
  <c r="O165" i="2" s="1"/>
  <c r="N166" i="2"/>
  <c r="O166" i="2" s="1" a="1"/>
  <c r="O166" i="2" s="1"/>
  <c r="N167" i="2"/>
  <c r="O167" i="2" s="1" a="1"/>
  <c r="O167" i="2" s="1"/>
  <c r="N168" i="2"/>
  <c r="O168" i="2" s="1" a="1"/>
  <c r="O168" i="2" s="1"/>
  <c r="N169" i="2"/>
  <c r="O169" i="2" s="1" a="1"/>
  <c r="O169" i="2" s="1"/>
  <c r="N170" i="2"/>
  <c r="N171" i="2"/>
  <c r="O171" i="2" s="1" a="1"/>
  <c r="O171" i="2" s="1"/>
  <c r="N172" i="2"/>
  <c r="O172" i="2" s="1" a="1"/>
  <c r="O172" i="2" s="1"/>
  <c r="N173" i="2"/>
  <c r="O173" i="2" s="1" a="1"/>
  <c r="O173" i="2" s="1"/>
  <c r="N174" i="2"/>
  <c r="O174" i="2" s="1" a="1"/>
  <c r="O174" i="2" s="1"/>
  <c r="N175" i="2"/>
  <c r="O175" i="2" s="1" a="1"/>
  <c r="O175" i="2" s="1"/>
  <c r="N176" i="2"/>
  <c r="O176" i="2" s="1" a="1"/>
  <c r="O176" i="2" s="1"/>
  <c r="N177" i="2"/>
  <c r="O177" i="2" s="1" a="1"/>
  <c r="O177" i="2" s="1"/>
  <c r="N178" i="2"/>
  <c r="O178" i="2" s="1" a="1"/>
  <c r="O178" i="2" s="1"/>
  <c r="N179" i="2"/>
  <c r="O179" i="2" s="1" a="1"/>
  <c r="O179" i="2" s="1"/>
  <c r="N180" i="2"/>
  <c r="O180" i="2" s="1" a="1"/>
  <c r="O180" i="2" s="1"/>
  <c r="N181" i="2"/>
  <c r="O181" i="2" s="1" a="1"/>
  <c r="O181" i="2" s="1"/>
  <c r="N182" i="2"/>
  <c r="O182" i="2" s="1" a="1"/>
  <c r="O182" i="2" s="1"/>
  <c r="N183" i="2"/>
  <c r="O183" i="2" s="1" a="1"/>
  <c r="O183" i="2" s="1"/>
  <c r="N184" i="2"/>
  <c r="O184" i="2" s="1" a="1"/>
  <c r="O184" i="2" s="1"/>
  <c r="N185" i="2"/>
  <c r="O185" i="2" s="1" a="1"/>
  <c r="O185" i="2" s="1"/>
  <c r="N186" i="2"/>
  <c r="O186" i="2" s="1" a="1"/>
  <c r="O186" i="2" s="1"/>
  <c r="N187" i="2"/>
  <c r="O187" i="2" s="1" a="1"/>
  <c r="O187" i="2" s="1"/>
  <c r="N188" i="2"/>
  <c r="O188" i="2" s="1" a="1"/>
  <c r="O188" i="2" s="1"/>
  <c r="N189" i="2"/>
  <c r="O189" i="2" s="1" a="1"/>
  <c r="O189" i="2" s="1"/>
  <c r="N190" i="2"/>
  <c r="O190" i="2" s="1" a="1"/>
  <c r="O190" i="2" s="1"/>
  <c r="N191" i="2"/>
  <c r="O191" i="2" s="1" a="1"/>
  <c r="O191" i="2" s="1"/>
  <c r="N192" i="2"/>
  <c r="O192" i="2" s="1" a="1"/>
  <c r="O192" i="2" s="1"/>
  <c r="N193" i="2"/>
  <c r="O193" i="2" s="1" a="1"/>
  <c r="O193" i="2" s="1"/>
  <c r="N194" i="2"/>
  <c r="O194" i="2" s="1" a="1"/>
  <c r="O194" i="2" s="1"/>
  <c r="N195" i="2"/>
  <c r="O195" i="2" s="1" a="1"/>
  <c r="O195" i="2" s="1"/>
  <c r="N196" i="2"/>
  <c r="O196" i="2" s="1" a="1"/>
  <c r="O196" i="2" s="1"/>
  <c r="N197" i="2"/>
  <c r="O197" i="2" s="1" a="1"/>
  <c r="O197" i="2" s="1"/>
  <c r="N198" i="2"/>
  <c r="O198" i="2" s="1" a="1"/>
  <c r="O198" i="2" s="1"/>
  <c r="N199" i="2"/>
  <c r="O199" i="2" s="1" a="1"/>
  <c r="O199" i="2" s="1"/>
  <c r="N200" i="2"/>
  <c r="O200" i="2" s="1" a="1"/>
  <c r="O200" i="2" s="1"/>
  <c r="N201" i="2"/>
  <c r="O201" i="2" s="1" a="1"/>
  <c r="O201" i="2" s="1"/>
  <c r="N202" i="2"/>
  <c r="O202" i="2" s="1" a="1"/>
  <c r="O202" i="2" s="1"/>
  <c r="N203" i="2"/>
  <c r="O203" i="2" s="1" a="1"/>
  <c r="O203" i="2" s="1"/>
  <c r="N204" i="2"/>
  <c r="O204" i="2" s="1" a="1"/>
  <c r="O204" i="2" s="1"/>
  <c r="N205" i="2"/>
  <c r="O205" i="2" s="1" a="1"/>
  <c r="O205" i="2" s="1"/>
  <c r="N206" i="2"/>
  <c r="O206" i="2" s="1" a="1"/>
  <c r="O206" i="2" s="1"/>
  <c r="N207" i="2"/>
  <c r="O207" i="2" s="1" a="1"/>
  <c r="O207" i="2" s="1"/>
  <c r="N208" i="2"/>
  <c r="O208" i="2" s="1" a="1"/>
  <c r="O208" i="2" s="1"/>
  <c r="N209" i="2"/>
  <c r="O209" i="2" s="1" a="1"/>
  <c r="O209" i="2" s="1"/>
  <c r="N210" i="2"/>
  <c r="O210" i="2" s="1" a="1"/>
  <c r="O210" i="2" s="1"/>
  <c r="N211" i="2"/>
  <c r="O211" i="2" s="1" a="1"/>
  <c r="O211" i="2" s="1"/>
  <c r="N212" i="2"/>
  <c r="O212" i="2" s="1" a="1"/>
  <c r="O212" i="2" s="1"/>
  <c r="N213" i="2"/>
  <c r="O213" i="2" s="1" a="1"/>
  <c r="O213" i="2" s="1"/>
  <c r="N214" i="2"/>
  <c r="O214" i="2" s="1" a="1"/>
  <c r="O214" i="2" s="1"/>
  <c r="N215" i="2"/>
  <c r="O215" i="2" s="1" a="1"/>
  <c r="O215" i="2" s="1"/>
  <c r="N216" i="2"/>
  <c r="O216" i="2" s="1" a="1"/>
  <c r="O216" i="2" s="1"/>
  <c r="N217" i="2"/>
  <c r="O217" i="2" s="1" a="1"/>
  <c r="O217" i="2" s="1"/>
  <c r="N218" i="2"/>
  <c r="O218" i="2" s="1" a="1"/>
  <c r="O218" i="2" s="1"/>
  <c r="N219" i="2"/>
  <c r="O219" i="2" s="1" a="1"/>
  <c r="O219" i="2" s="1"/>
  <c r="N220" i="2"/>
  <c r="O220" i="2" s="1" a="1"/>
  <c r="O220" i="2" s="1"/>
  <c r="N221" i="2"/>
  <c r="O221" i="2" s="1" a="1"/>
  <c r="O221" i="2" s="1"/>
  <c r="N222" i="2"/>
  <c r="O222" i="2" s="1" a="1"/>
  <c r="O222" i="2" s="1"/>
  <c r="N223" i="2"/>
  <c r="O223" i="2" s="1" a="1"/>
  <c r="O223" i="2" s="1"/>
  <c r="N224" i="2"/>
  <c r="O224" i="2" s="1" a="1"/>
  <c r="O224" i="2" s="1"/>
  <c r="N225" i="2"/>
  <c r="O225" i="2" s="1" a="1"/>
  <c r="O225" i="2" s="1"/>
  <c r="N226" i="2"/>
  <c r="O226" i="2" s="1" a="1"/>
  <c r="O226" i="2" s="1"/>
  <c r="N227" i="2"/>
  <c r="O227" i="2" s="1" a="1"/>
  <c r="O227" i="2" s="1"/>
  <c r="N228" i="2"/>
  <c r="O228" i="2" s="1" a="1"/>
  <c r="O228" i="2" s="1"/>
  <c r="N229" i="2"/>
  <c r="O229" i="2" s="1" a="1"/>
  <c r="O229" i="2" s="1"/>
  <c r="N230" i="2"/>
  <c r="O230" i="2" s="1" a="1"/>
  <c r="O230" i="2" s="1"/>
  <c r="N231" i="2"/>
  <c r="O231" i="2" s="1" a="1"/>
  <c r="O231" i="2" s="1"/>
  <c r="N232" i="2"/>
  <c r="O232" i="2" s="1" a="1"/>
  <c r="O232" i="2" s="1"/>
  <c r="N233" i="2"/>
  <c r="O233" i="2" s="1" a="1"/>
  <c r="O233" i="2" s="1"/>
  <c r="N234" i="2"/>
  <c r="O234" i="2" s="1" a="1"/>
  <c r="O234" i="2" s="1"/>
  <c r="N235" i="2"/>
  <c r="O235" i="2" s="1" a="1"/>
  <c r="O235" i="2" s="1"/>
  <c r="N236" i="2"/>
  <c r="O236" i="2" s="1" a="1"/>
  <c r="O236" i="2" s="1"/>
  <c r="N237" i="2"/>
  <c r="O237" i="2" s="1" a="1"/>
  <c r="O237" i="2" s="1"/>
  <c r="N238" i="2"/>
  <c r="O238" i="2" s="1" a="1"/>
  <c r="O238" i="2" s="1"/>
  <c r="N239" i="2"/>
  <c r="O239" i="2" s="1" a="1"/>
  <c r="O239" i="2" s="1"/>
  <c r="N240" i="2"/>
  <c r="O240" i="2" s="1" a="1"/>
  <c r="O240" i="2" s="1"/>
  <c r="N241" i="2"/>
  <c r="O241" i="2" s="1" a="1"/>
  <c r="O241" i="2" s="1"/>
  <c r="N242" i="2"/>
  <c r="O242" i="2" s="1" a="1"/>
  <c r="O242" i="2" s="1"/>
  <c r="N243" i="2"/>
  <c r="O243" i="2" s="1" a="1"/>
  <c r="O243" i="2" s="1"/>
  <c r="N244" i="2"/>
  <c r="O244" i="2" s="1" a="1"/>
  <c r="O244" i="2" s="1"/>
  <c r="N245" i="2"/>
  <c r="O245" i="2" s="1" a="1"/>
  <c r="O245" i="2" s="1"/>
  <c r="N246" i="2"/>
  <c r="O246" i="2" s="1" a="1"/>
  <c r="O246" i="2" s="1"/>
  <c r="N247" i="2"/>
  <c r="O247" i="2" s="1" a="1"/>
  <c r="O247" i="2" s="1"/>
  <c r="N248" i="2"/>
  <c r="O248" i="2" s="1" a="1"/>
  <c r="O248" i="2" s="1"/>
  <c r="N249" i="2"/>
  <c r="O249" i="2" s="1" a="1"/>
  <c r="O249" i="2" s="1"/>
  <c r="N250" i="2"/>
  <c r="O250" i="2" s="1" a="1"/>
  <c r="O250" i="2" s="1"/>
  <c r="N251" i="2"/>
  <c r="O251" i="2" s="1" a="1"/>
  <c r="O251" i="2" s="1"/>
  <c r="N252" i="2"/>
  <c r="O252" i="2" s="1" a="1"/>
  <c r="O252" i="2" s="1"/>
  <c r="N253" i="2"/>
  <c r="O253" i="2" s="1" a="1"/>
  <c r="O253" i="2" s="1"/>
  <c r="N254" i="2"/>
  <c r="O254" i="2" s="1" a="1"/>
  <c r="O254" i="2" s="1"/>
  <c r="N255" i="2"/>
  <c r="O255" i="2" s="1" a="1"/>
  <c r="O255" i="2" s="1"/>
  <c r="N256" i="2"/>
  <c r="O256" i="2" s="1" a="1"/>
  <c r="O256" i="2" s="1"/>
  <c r="N257" i="2"/>
  <c r="O257" i="2" s="1" a="1"/>
  <c r="O257" i="2" s="1"/>
  <c r="N258" i="2"/>
  <c r="O258" i="2" s="1" a="1"/>
  <c r="O258" i="2" s="1"/>
  <c r="N259" i="2"/>
  <c r="O259" i="2" s="1" a="1"/>
  <c r="O259" i="2" s="1"/>
  <c r="N260" i="2"/>
  <c r="O260" i="2" s="1" a="1"/>
  <c r="O260" i="2" s="1"/>
  <c r="N261" i="2"/>
  <c r="O261" i="2" s="1" a="1"/>
  <c r="O261" i="2" s="1"/>
  <c r="N262" i="2"/>
  <c r="O262" i="2" s="1" a="1"/>
  <c r="O262" i="2" s="1"/>
  <c r="N263" i="2"/>
  <c r="O263" i="2" s="1" a="1"/>
  <c r="O263" i="2" s="1"/>
  <c r="N264" i="2"/>
  <c r="O264" i="2" s="1" a="1"/>
  <c r="O264" i="2" s="1"/>
  <c r="N265" i="2"/>
  <c r="O265" i="2" s="1" a="1"/>
  <c r="O265" i="2" s="1"/>
  <c r="N266" i="2"/>
  <c r="N267" i="2"/>
  <c r="O267" i="2" s="1" a="1"/>
  <c r="O267" i="2" s="1"/>
  <c r="N268" i="2"/>
  <c r="O268" i="2" s="1" a="1"/>
  <c r="O268" i="2" s="1"/>
  <c r="N269" i="2"/>
  <c r="O269" i="2" s="1" a="1"/>
  <c r="O269" i="2" s="1"/>
  <c r="N270" i="2"/>
  <c r="O270" i="2" s="1" a="1"/>
  <c r="O270" i="2" s="1"/>
  <c r="N271" i="2"/>
  <c r="O271" i="2" s="1" a="1"/>
  <c r="O271" i="2" s="1"/>
  <c r="N272" i="2"/>
  <c r="O272" i="2" s="1" a="1"/>
  <c r="O272" i="2" s="1"/>
  <c r="N273" i="2"/>
  <c r="O273" i="2" s="1" a="1"/>
  <c r="O273" i="2" s="1"/>
  <c r="N274" i="2"/>
  <c r="O274" i="2" s="1" a="1"/>
  <c r="O274" i="2" s="1"/>
  <c r="N275" i="2"/>
  <c r="O275" i="2" s="1" a="1"/>
  <c r="O275" i="2" s="1"/>
  <c r="N276" i="2"/>
  <c r="O276" i="2" s="1" a="1"/>
  <c r="O276" i="2" s="1"/>
  <c r="N277" i="2"/>
  <c r="O277" i="2" s="1" a="1"/>
  <c r="O277" i="2" s="1"/>
  <c r="N278" i="2"/>
  <c r="O278" i="2" s="1" a="1"/>
  <c r="O278" i="2" s="1"/>
  <c r="N279" i="2"/>
  <c r="O279" i="2" s="1" a="1"/>
  <c r="O279" i="2" s="1"/>
  <c r="N280" i="2"/>
  <c r="O280" i="2" s="1" a="1"/>
  <c r="O280" i="2" s="1"/>
  <c r="N281" i="2"/>
  <c r="O281" i="2" s="1" a="1"/>
  <c r="O281" i="2" s="1"/>
  <c r="N282" i="2"/>
  <c r="O282" i="2" s="1" a="1"/>
  <c r="O282" i="2" s="1"/>
  <c r="N283" i="2"/>
  <c r="O283" i="2" s="1" a="1"/>
  <c r="O283" i="2" s="1"/>
  <c r="N284" i="2"/>
  <c r="O284" i="2" s="1" a="1"/>
  <c r="O284" i="2" s="1"/>
  <c r="N285" i="2"/>
  <c r="O285" i="2" s="1" a="1"/>
  <c r="O285" i="2" s="1"/>
  <c r="N286" i="2"/>
  <c r="O286" i="2" s="1" a="1"/>
  <c r="O286" i="2" s="1"/>
  <c r="N287" i="2"/>
  <c r="O287" i="2" s="1" a="1"/>
  <c r="O287" i="2" s="1"/>
  <c r="N288" i="2"/>
  <c r="O288" i="2" s="1" a="1"/>
  <c r="O288" i="2" s="1"/>
  <c r="N289" i="2"/>
  <c r="O289" i="2" s="1" a="1"/>
  <c r="O289" i="2" s="1"/>
  <c r="N290" i="2"/>
  <c r="O290" i="2" s="1" a="1"/>
  <c r="O290" i="2" s="1"/>
  <c r="N291" i="2"/>
  <c r="O291" i="2" s="1" a="1"/>
  <c r="O291" i="2" s="1"/>
  <c r="N292" i="2"/>
  <c r="O292" i="2" s="1" a="1"/>
  <c r="O292" i="2" s="1"/>
  <c r="N293" i="2"/>
  <c r="O293" i="2" s="1" a="1"/>
  <c r="O293" i="2" s="1"/>
  <c r="N294" i="2"/>
  <c r="O294" i="2" s="1" a="1"/>
  <c r="O294" i="2" s="1"/>
  <c r="N295" i="2"/>
  <c r="O295" i="2" s="1" a="1"/>
  <c r="O295" i="2" s="1"/>
  <c r="N296" i="2"/>
  <c r="O296" i="2" s="1" a="1"/>
  <c r="O296" i="2" s="1"/>
  <c r="N297" i="2"/>
  <c r="O297" i="2" s="1" a="1"/>
  <c r="O297" i="2" s="1"/>
  <c r="N298" i="2"/>
  <c r="O298" i="2" s="1" a="1"/>
  <c r="O298" i="2" s="1"/>
  <c r="N299" i="2"/>
  <c r="O299" i="2" s="1" a="1"/>
  <c r="O299" i="2" s="1"/>
  <c r="N300" i="2"/>
  <c r="O300" i="2" s="1" a="1"/>
  <c r="O300" i="2" s="1"/>
  <c r="N301" i="2"/>
  <c r="O301" i="2" s="1" a="1"/>
  <c r="O301" i="2" s="1"/>
  <c r="N302" i="2"/>
  <c r="O302" i="2" s="1" a="1"/>
  <c r="O302" i="2" s="1"/>
  <c r="N303" i="2"/>
  <c r="O303" i="2" s="1" a="1"/>
  <c r="O303" i="2" s="1"/>
  <c r="N304" i="2"/>
  <c r="O304" i="2" s="1" a="1"/>
  <c r="O304" i="2" s="1"/>
  <c r="N305" i="2"/>
  <c r="O305" i="2" s="1" a="1"/>
  <c r="O305" i="2" s="1"/>
  <c r="N306" i="2"/>
  <c r="O306" i="2" s="1" a="1"/>
  <c r="O306" i="2" s="1"/>
  <c r="N307" i="2"/>
  <c r="O307" i="2" s="1" a="1"/>
  <c r="O307" i="2" s="1"/>
  <c r="N308" i="2"/>
  <c r="O308" i="2" s="1" a="1"/>
  <c r="O308" i="2" s="1"/>
  <c r="N309" i="2"/>
  <c r="O309" i="2" s="1" a="1"/>
  <c r="O309" i="2" s="1"/>
  <c r="N310" i="2"/>
  <c r="O310" i="2" s="1" a="1"/>
  <c r="O310" i="2" s="1"/>
  <c r="N311" i="2"/>
  <c r="O311" i="2" s="1" a="1"/>
  <c r="O311" i="2" s="1"/>
  <c r="N312" i="2"/>
  <c r="O312" i="2" s="1" a="1"/>
  <c r="O312" i="2" s="1"/>
  <c r="N313" i="2"/>
  <c r="O313" i="2" s="1" a="1"/>
  <c r="O313" i="2" s="1"/>
  <c r="N314" i="2"/>
  <c r="O314" i="2" s="1" a="1"/>
  <c r="O314" i="2" s="1"/>
  <c r="N315" i="2"/>
  <c r="O315" i="2" s="1" a="1"/>
  <c r="O315" i="2" s="1"/>
  <c r="N316" i="2"/>
  <c r="O316" i="2" s="1" a="1"/>
  <c r="O316" i="2" s="1"/>
  <c r="N317" i="2"/>
  <c r="O317" i="2" s="1" a="1"/>
  <c r="O317" i="2" s="1"/>
  <c r="N318" i="2"/>
  <c r="O318" i="2" s="1" a="1"/>
  <c r="O318" i="2" s="1"/>
  <c r="N319" i="2"/>
  <c r="O319" i="2" s="1" a="1"/>
  <c r="O319" i="2" s="1"/>
  <c r="N320" i="2"/>
  <c r="O320" i="2" s="1" a="1"/>
  <c r="O320" i="2" s="1"/>
  <c r="N321" i="2"/>
  <c r="O321" i="2" s="1" a="1"/>
  <c r="O321" i="2" s="1"/>
  <c r="N322" i="2"/>
  <c r="O322" i="2" s="1" a="1"/>
  <c r="O322" i="2" s="1"/>
  <c r="N323" i="2"/>
  <c r="O323" i="2" s="1" a="1"/>
  <c r="O323" i="2" s="1"/>
  <c r="N324" i="2"/>
  <c r="O324" i="2" s="1" a="1"/>
  <c r="O324" i="2" s="1"/>
  <c r="N325" i="2"/>
  <c r="O325" i="2" s="1" a="1"/>
  <c r="O325" i="2" s="1"/>
  <c r="N326" i="2"/>
  <c r="O326" i="2" s="1" a="1"/>
  <c r="O326" i="2" s="1"/>
  <c r="N327" i="2"/>
  <c r="O327" i="2" s="1" a="1"/>
  <c r="O327" i="2" s="1"/>
  <c r="N328" i="2"/>
  <c r="O328" i="2" s="1" a="1"/>
  <c r="O328" i="2" s="1"/>
  <c r="N329" i="2"/>
  <c r="O329" i="2" s="1" a="1"/>
  <c r="O329" i="2" s="1"/>
  <c r="N330" i="2"/>
  <c r="O330" i="2" s="1" a="1"/>
  <c r="O330" i="2" s="1"/>
  <c r="N331" i="2"/>
  <c r="O331" i="2" s="1" a="1"/>
  <c r="O331" i="2" s="1"/>
  <c r="N332" i="2"/>
  <c r="O332" i="2" s="1" a="1"/>
  <c r="O332" i="2" s="1"/>
  <c r="N333" i="2"/>
  <c r="O333" i="2" s="1" a="1"/>
  <c r="O333" i="2" s="1"/>
  <c r="N334" i="2"/>
  <c r="O334" i="2" s="1" a="1"/>
  <c r="O334" i="2" s="1"/>
  <c r="N335" i="2"/>
  <c r="O335" i="2" s="1" a="1"/>
  <c r="O335" i="2" s="1"/>
  <c r="N336" i="2"/>
  <c r="O336" i="2" s="1" a="1"/>
  <c r="O336" i="2" s="1"/>
  <c r="N337" i="2"/>
  <c r="O337" i="2" s="1" a="1"/>
  <c r="O337" i="2" s="1"/>
  <c r="N338" i="2"/>
  <c r="O338" i="2" s="1" a="1"/>
  <c r="O338" i="2" s="1"/>
  <c r="N339" i="2"/>
  <c r="O339" i="2" s="1" a="1"/>
  <c r="O339" i="2" s="1"/>
  <c r="N340" i="2"/>
  <c r="O340" i="2" s="1" a="1"/>
  <c r="O340" i="2" s="1"/>
  <c r="N341" i="2"/>
  <c r="O341" i="2" s="1" a="1"/>
  <c r="O341" i="2" s="1"/>
  <c r="N342" i="2"/>
  <c r="O342" i="2" s="1" a="1"/>
  <c r="O342" i="2" s="1"/>
  <c r="N343" i="2"/>
  <c r="O343" i="2" s="1" a="1"/>
  <c r="O343" i="2" s="1"/>
  <c r="N344" i="2"/>
  <c r="O344" i="2" s="1" a="1"/>
  <c r="O344" i="2" s="1"/>
  <c r="N345" i="2"/>
  <c r="O345" i="2" s="1" a="1"/>
  <c r="O345" i="2" s="1"/>
  <c r="N346" i="2"/>
  <c r="O346" i="2" s="1" a="1"/>
  <c r="O346" i="2" s="1"/>
  <c r="N347" i="2"/>
  <c r="O347" i="2" s="1" a="1"/>
  <c r="O347" i="2" s="1"/>
  <c r="N348" i="2"/>
  <c r="O348" i="2" s="1" a="1"/>
  <c r="O348" i="2" s="1"/>
  <c r="N349" i="2"/>
  <c r="O349" i="2" s="1" a="1"/>
  <c r="O349" i="2" s="1"/>
  <c r="N350" i="2"/>
  <c r="O350" i="2" s="1" a="1"/>
  <c r="O350" i="2" s="1"/>
  <c r="N351" i="2"/>
  <c r="O351" i="2" s="1" a="1"/>
  <c r="O351" i="2" s="1"/>
  <c r="N352" i="2"/>
  <c r="O352" i="2" s="1" a="1"/>
  <c r="O352" i="2" s="1"/>
  <c r="N353" i="2"/>
  <c r="N354" i="2"/>
  <c r="O354" i="2" s="1" a="1"/>
  <c r="O354" i="2" s="1"/>
  <c r="N355" i="2"/>
  <c r="O355" i="2" s="1" a="1"/>
  <c r="O355" i="2" s="1"/>
  <c r="N356" i="2"/>
  <c r="O356" i="2" s="1" a="1"/>
  <c r="O356" i="2" s="1"/>
  <c r="N357" i="2"/>
  <c r="O357" i="2" s="1" a="1"/>
  <c r="O357" i="2" s="1"/>
  <c r="N358" i="2"/>
  <c r="O358" i="2" s="1" a="1"/>
  <c r="O358" i="2" s="1"/>
  <c r="N359" i="2"/>
  <c r="O359" i="2" s="1" a="1"/>
  <c r="O359" i="2" s="1"/>
  <c r="N360" i="2"/>
  <c r="O360" i="2" s="1" a="1"/>
  <c r="O360" i="2" s="1"/>
  <c r="N361" i="2"/>
  <c r="O361" i="2" s="1" a="1"/>
  <c r="O361" i="2" s="1"/>
  <c r="N362" i="2"/>
  <c r="O362" i="2" s="1" a="1"/>
  <c r="O362" i="2" s="1"/>
  <c r="N363" i="2"/>
  <c r="O363" i="2" s="1" a="1"/>
  <c r="O363" i="2" s="1"/>
  <c r="N364" i="2"/>
  <c r="O364" i="2" s="1" a="1"/>
  <c r="O364" i="2" s="1"/>
  <c r="N365" i="2"/>
  <c r="O365" i="2" s="1" a="1"/>
  <c r="O365" i="2" s="1"/>
  <c r="N366" i="2"/>
  <c r="O366" i="2" s="1" a="1"/>
  <c r="O366" i="2" s="1"/>
  <c r="N367" i="2"/>
  <c r="O367" i="2" s="1" a="1"/>
  <c r="O367" i="2" s="1"/>
  <c r="N368" i="2"/>
  <c r="O368" i="2" s="1" a="1"/>
  <c r="O368" i="2" s="1"/>
  <c r="N369" i="2"/>
  <c r="O369" i="2" s="1" a="1"/>
  <c r="O369" i="2" s="1"/>
  <c r="N370" i="2"/>
  <c r="O370" i="2" s="1" a="1"/>
  <c r="O370" i="2" s="1"/>
  <c r="N371" i="2"/>
  <c r="O371" i="2" s="1" a="1"/>
  <c r="O371" i="2" s="1"/>
  <c r="N372" i="2"/>
  <c r="O372" i="2" s="1" a="1"/>
  <c r="O372" i="2" s="1"/>
  <c r="N373" i="2"/>
  <c r="O373" i="2" s="1" a="1"/>
  <c r="O373" i="2" s="1"/>
  <c r="N374" i="2"/>
  <c r="O374" i="2" s="1" a="1"/>
  <c r="O374" i="2" s="1"/>
  <c r="N375" i="2"/>
  <c r="O375" i="2" s="1" a="1"/>
  <c r="O375" i="2" s="1"/>
  <c r="N376" i="2"/>
  <c r="O376" i="2" s="1" a="1"/>
  <c r="O376" i="2" s="1"/>
  <c r="N377" i="2"/>
  <c r="O377" i="2" s="1" a="1"/>
  <c r="O377" i="2" s="1"/>
  <c r="N378" i="2"/>
  <c r="O378" i="2" s="1" a="1"/>
  <c r="O378" i="2" s="1"/>
  <c r="N379" i="2"/>
  <c r="O379" i="2" s="1" a="1"/>
  <c r="O379" i="2" s="1"/>
  <c r="N380" i="2"/>
  <c r="O380" i="2" s="1" a="1"/>
  <c r="O380" i="2" s="1"/>
  <c r="N381" i="2"/>
  <c r="O381" i="2" s="1" a="1"/>
  <c r="O381" i="2" s="1"/>
  <c r="N382" i="2"/>
  <c r="O382" i="2" s="1" a="1"/>
  <c r="O382" i="2" s="1"/>
  <c r="N383" i="2"/>
  <c r="O383" i="2" s="1" a="1"/>
  <c r="O383" i="2" s="1"/>
  <c r="N384" i="2"/>
  <c r="O384" i="2" s="1" a="1"/>
  <c r="O384" i="2" s="1"/>
  <c r="N385" i="2"/>
  <c r="O385" i="2" s="1" a="1"/>
  <c r="O385" i="2" s="1"/>
  <c r="N386" i="2"/>
  <c r="O386" i="2" s="1" a="1"/>
  <c r="O386" i="2" s="1"/>
  <c r="N387" i="2"/>
  <c r="O387" i="2" s="1" a="1"/>
  <c r="O387" i="2" s="1"/>
  <c r="N388" i="2"/>
  <c r="O388" i="2" s="1" a="1"/>
  <c r="O388" i="2" s="1"/>
  <c r="N389" i="2"/>
  <c r="O389" i="2" s="1" a="1"/>
  <c r="O389" i="2" s="1"/>
  <c r="N390" i="2"/>
  <c r="O390" i="2" s="1" a="1"/>
  <c r="O390" i="2" s="1"/>
  <c r="N391" i="2"/>
  <c r="O391" i="2" s="1" a="1"/>
  <c r="O391" i="2" s="1"/>
  <c r="N392" i="2"/>
  <c r="O392" i="2" s="1" a="1"/>
  <c r="O392" i="2" s="1"/>
  <c r="N393" i="2"/>
  <c r="O393" i="2" s="1" a="1"/>
  <c r="O393" i="2" s="1"/>
  <c r="N394" i="2"/>
  <c r="O394" i="2" s="1" a="1"/>
  <c r="O394" i="2" s="1"/>
  <c r="N395" i="2"/>
  <c r="O395" i="2" s="1" a="1"/>
  <c r="O395" i="2" s="1"/>
  <c r="N396" i="2"/>
  <c r="O396" i="2" s="1" a="1"/>
  <c r="O396" i="2" s="1"/>
  <c r="N397" i="2"/>
  <c r="O397" i="2" s="1" a="1"/>
  <c r="O397" i="2" s="1"/>
  <c r="N398" i="2"/>
  <c r="O398" i="2" s="1" a="1"/>
  <c r="O398" i="2" s="1"/>
  <c r="N399" i="2"/>
  <c r="O399" i="2" s="1" a="1"/>
  <c r="O399" i="2" s="1"/>
  <c r="N400" i="2"/>
  <c r="O400" i="2" s="1" a="1"/>
  <c r="O400" i="2" s="1"/>
  <c r="N401" i="2"/>
  <c r="O401" i="2" s="1" a="1"/>
  <c r="O401" i="2" s="1"/>
  <c r="N402" i="2"/>
  <c r="O402" i="2" s="1" a="1"/>
  <c r="O402" i="2" s="1"/>
  <c r="N403" i="2"/>
  <c r="O403" i="2" s="1" a="1"/>
  <c r="O403" i="2" s="1"/>
  <c r="N404" i="2"/>
  <c r="O404" i="2" s="1" a="1"/>
  <c r="O404" i="2" s="1"/>
  <c r="N405" i="2"/>
  <c r="O405" i="2" s="1" a="1"/>
  <c r="O405" i="2" s="1"/>
  <c r="N406" i="2"/>
  <c r="O406" i="2" s="1" a="1"/>
  <c r="O406" i="2" s="1"/>
  <c r="N407" i="2"/>
  <c r="O407" i="2" s="1" a="1"/>
  <c r="O407" i="2" s="1"/>
  <c r="N408" i="2"/>
  <c r="O408" i="2" s="1" a="1"/>
  <c r="O408" i="2" s="1"/>
  <c r="N409" i="2"/>
  <c r="O409" i="2" s="1" a="1"/>
  <c r="O409" i="2" s="1"/>
  <c r="N410" i="2"/>
  <c r="O410" i="2" s="1" a="1"/>
  <c r="O410" i="2" s="1"/>
  <c r="N411" i="2"/>
  <c r="O411" i="2" s="1" a="1"/>
  <c r="O411" i="2" s="1"/>
  <c r="N412" i="2"/>
  <c r="O412" i="2" s="1" a="1"/>
  <c r="O412" i="2" s="1"/>
  <c r="N413" i="2"/>
  <c r="O413" i="2" s="1" a="1"/>
  <c r="O413" i="2" s="1"/>
  <c r="N414" i="2"/>
  <c r="O414" i="2" s="1" a="1"/>
  <c r="O414" i="2" s="1"/>
  <c r="N415" i="2"/>
  <c r="O415" i="2" s="1" a="1"/>
  <c r="O415" i="2" s="1"/>
  <c r="N416" i="2"/>
  <c r="O416" i="2" s="1" a="1"/>
  <c r="O416" i="2" s="1"/>
  <c r="N417" i="2"/>
  <c r="O417" i="2" s="1" a="1"/>
  <c r="O417" i="2" s="1"/>
  <c r="N418" i="2"/>
  <c r="N419" i="2"/>
  <c r="O419" i="2" s="1" a="1"/>
  <c r="O419" i="2" s="1"/>
  <c r="N420" i="2"/>
  <c r="O420" i="2" s="1" a="1"/>
  <c r="O420" i="2" s="1"/>
  <c r="N421" i="2"/>
  <c r="O421" i="2" s="1" a="1"/>
  <c r="O421" i="2" s="1"/>
  <c r="N422" i="2"/>
  <c r="O422" i="2" s="1" a="1"/>
  <c r="O422" i="2" s="1"/>
  <c r="N423" i="2"/>
  <c r="O423" i="2" s="1" a="1"/>
  <c r="O423" i="2" s="1"/>
  <c r="N424" i="2"/>
  <c r="O424" i="2" s="1" a="1"/>
  <c r="O424" i="2" s="1"/>
  <c r="N425" i="2"/>
  <c r="O425" i="2" s="1" a="1"/>
  <c r="O425" i="2" s="1"/>
  <c r="N426" i="2"/>
  <c r="O426" i="2" s="1" a="1"/>
  <c r="O426" i="2" s="1"/>
  <c r="N427" i="2"/>
  <c r="O427" i="2" s="1" a="1"/>
  <c r="O427" i="2" s="1"/>
  <c r="N428" i="2"/>
  <c r="O428" i="2" s="1" a="1"/>
  <c r="O428" i="2" s="1"/>
  <c r="N429" i="2"/>
  <c r="O429" i="2" s="1" a="1"/>
  <c r="O429" i="2" s="1"/>
  <c r="N430" i="2"/>
  <c r="O430" i="2" s="1" a="1"/>
  <c r="O430" i="2" s="1"/>
  <c r="N431" i="2"/>
  <c r="O431" i="2" s="1" a="1"/>
  <c r="O431" i="2" s="1"/>
  <c r="N432" i="2"/>
  <c r="O432" i="2" s="1" a="1"/>
  <c r="O432" i="2" s="1"/>
  <c r="N433" i="2"/>
  <c r="O433" i="2" s="1" a="1"/>
  <c r="O433" i="2" s="1"/>
  <c r="N434" i="2"/>
  <c r="O434" i="2" s="1" a="1"/>
  <c r="O434" i="2" s="1"/>
  <c r="N435" i="2"/>
  <c r="O435" i="2" s="1" a="1"/>
  <c r="O435" i="2" s="1"/>
  <c r="N436" i="2"/>
  <c r="O436" i="2" s="1" a="1"/>
  <c r="O436" i="2" s="1"/>
  <c r="N437" i="2"/>
  <c r="O437" i="2" s="1" a="1"/>
  <c r="O437" i="2" s="1"/>
  <c r="N438" i="2"/>
  <c r="O438" i="2" s="1" a="1"/>
  <c r="O438" i="2" s="1"/>
  <c r="N439" i="2"/>
  <c r="O439" i="2" s="1" a="1"/>
  <c r="O439" i="2" s="1"/>
  <c r="N440" i="2"/>
  <c r="O440" i="2" s="1" a="1"/>
  <c r="O440" i="2" s="1"/>
  <c r="N441" i="2"/>
  <c r="O441" i="2" s="1" a="1"/>
  <c r="O441" i="2" s="1"/>
  <c r="N442" i="2"/>
  <c r="O442" i="2" s="1" a="1"/>
  <c r="O442" i="2" s="1"/>
  <c r="N443" i="2"/>
  <c r="O443" i="2" s="1" a="1"/>
  <c r="O443" i="2" s="1"/>
  <c r="N444" i="2"/>
  <c r="O444" i="2" s="1" a="1"/>
  <c r="O444" i="2" s="1"/>
  <c r="N445" i="2"/>
  <c r="O445" i="2" s="1" a="1"/>
  <c r="O445" i="2" s="1"/>
  <c r="N446" i="2"/>
  <c r="O446" i="2" s="1" a="1"/>
  <c r="O446" i="2" s="1"/>
  <c r="N447" i="2"/>
  <c r="O447" i="2" s="1" a="1"/>
  <c r="O447" i="2" s="1"/>
  <c r="N448" i="2"/>
  <c r="O448" i="2" s="1" a="1"/>
  <c r="O448" i="2" s="1"/>
  <c r="N449" i="2"/>
  <c r="O449" i="2" s="1" a="1"/>
  <c r="O449" i="2" s="1"/>
  <c r="N450" i="2"/>
  <c r="O450" i="2" s="1" a="1"/>
  <c r="O450" i="2" s="1"/>
  <c r="N451" i="2"/>
  <c r="O451" i="2" s="1" a="1"/>
  <c r="O451" i="2" s="1"/>
  <c r="N452" i="2"/>
  <c r="O452" i="2" s="1" a="1"/>
  <c r="O452" i="2" s="1"/>
  <c r="N453" i="2"/>
  <c r="O453" i="2" s="1" a="1"/>
  <c r="O453" i="2" s="1"/>
  <c r="N454" i="2"/>
  <c r="O454" i="2" s="1" a="1"/>
  <c r="O454" i="2" s="1"/>
  <c r="N455" i="2"/>
  <c r="O455" i="2" s="1" a="1"/>
  <c r="O455" i="2" s="1"/>
  <c r="N456" i="2"/>
  <c r="O456" i="2" s="1" a="1"/>
  <c r="O456" i="2" s="1"/>
  <c r="N457" i="2"/>
  <c r="O457" i="2" s="1" a="1"/>
  <c r="O457" i="2" s="1"/>
  <c r="N458" i="2"/>
  <c r="O458" i="2" s="1" a="1"/>
  <c r="O458" i="2" s="1"/>
  <c r="N459" i="2"/>
  <c r="O459" i="2" s="1" a="1"/>
  <c r="O459" i="2" s="1"/>
  <c r="N460" i="2"/>
  <c r="O460" i="2" s="1" a="1"/>
  <c r="O460" i="2" s="1"/>
  <c r="N461" i="2"/>
  <c r="O461" i="2" s="1" a="1"/>
  <c r="O461" i="2" s="1"/>
  <c r="N462" i="2"/>
  <c r="O462" i="2" s="1" a="1"/>
  <c r="O462" i="2" s="1"/>
  <c r="N463" i="2"/>
  <c r="O463" i="2" s="1" a="1"/>
  <c r="O463" i="2" s="1"/>
  <c r="N464" i="2"/>
  <c r="O464" i="2" s="1" a="1"/>
  <c r="O464" i="2" s="1"/>
  <c r="N465" i="2"/>
  <c r="O465" i="2" s="1" a="1"/>
  <c r="O465" i="2" s="1"/>
  <c r="N466" i="2"/>
  <c r="O466" i="2" s="1" a="1"/>
  <c r="O466" i="2" s="1"/>
  <c r="N467" i="2"/>
  <c r="O467" i="2" s="1" a="1"/>
  <c r="O467" i="2" s="1"/>
  <c r="N468" i="2"/>
  <c r="O468" i="2" s="1" a="1"/>
  <c r="O468" i="2" s="1"/>
  <c r="N469" i="2"/>
  <c r="O469" i="2" s="1" a="1"/>
  <c r="O469" i="2" s="1"/>
  <c r="N470" i="2"/>
  <c r="O470" i="2" s="1" a="1"/>
  <c r="O470" i="2" s="1"/>
  <c r="N471" i="2"/>
  <c r="O471" i="2" s="1" a="1"/>
  <c r="O471" i="2" s="1"/>
  <c r="N472" i="2"/>
  <c r="O472" i="2" s="1" a="1"/>
  <c r="O472" i="2" s="1"/>
  <c r="N473" i="2"/>
  <c r="O473" i="2" s="1" a="1"/>
  <c r="O473" i="2" s="1"/>
  <c r="N474" i="2"/>
  <c r="O474" i="2" s="1" a="1"/>
  <c r="O474" i="2" s="1"/>
  <c r="N475" i="2"/>
  <c r="O475" i="2" s="1" a="1"/>
  <c r="O475" i="2" s="1"/>
  <c r="N476" i="2"/>
  <c r="O476" i="2" s="1" a="1"/>
  <c r="O476" i="2" s="1"/>
  <c r="N477" i="2"/>
  <c r="O477" i="2" s="1" a="1"/>
  <c r="O477" i="2" s="1"/>
  <c r="N478" i="2"/>
  <c r="O478" i="2" s="1" a="1"/>
  <c r="O478" i="2" s="1"/>
  <c r="N479" i="2"/>
  <c r="O479" i="2" s="1" a="1"/>
  <c r="O479" i="2" s="1"/>
  <c r="N480" i="2"/>
  <c r="O480" i="2" s="1" a="1"/>
  <c r="O480" i="2" s="1"/>
  <c r="N481" i="2"/>
  <c r="O481" i="2" s="1" a="1"/>
  <c r="O481" i="2" s="1"/>
  <c r="N482" i="2"/>
  <c r="O482" i="2" s="1" a="1"/>
  <c r="O482" i="2" s="1"/>
  <c r="N483" i="2"/>
  <c r="O483" i="2" s="1" a="1"/>
  <c r="O483" i="2" s="1"/>
  <c r="N484" i="2"/>
  <c r="O484" i="2" s="1" a="1"/>
  <c r="O484" i="2" s="1"/>
  <c r="N485" i="2"/>
  <c r="O485" i="2" s="1" a="1"/>
  <c r="O485" i="2" s="1"/>
  <c r="N486" i="2"/>
  <c r="O486" i="2" s="1" a="1"/>
  <c r="N487" i="2"/>
  <c r="O487" i="2" s="1" a="1"/>
  <c r="O487" i="2" s="1"/>
  <c r="N488" i="2"/>
  <c r="O488" i="2" s="1" a="1"/>
  <c r="O488" i="2" s="1"/>
  <c r="N489" i="2"/>
  <c r="O489" i="2" s="1" a="1"/>
  <c r="O489" i="2" s="1"/>
  <c r="N490" i="2"/>
  <c r="O490" i="2" s="1" a="1"/>
  <c r="O490" i="2" s="1"/>
  <c r="N491" i="2"/>
  <c r="O491" i="2" s="1" a="1"/>
  <c r="O491" i="2" s="1"/>
  <c r="N492" i="2"/>
  <c r="O492" i="2" s="1" a="1"/>
  <c r="O492" i="2" s="1"/>
  <c r="N493" i="2"/>
  <c r="O493" i="2" s="1" a="1"/>
  <c r="O493" i="2" s="1"/>
  <c r="N494" i="2"/>
  <c r="O494" i="2" s="1" a="1"/>
  <c r="O494" i="2" s="1"/>
  <c r="N495" i="2"/>
  <c r="O495" i="2" s="1" a="1"/>
  <c r="O495" i="2" s="1"/>
  <c r="N496" i="2"/>
  <c r="O496" i="2" s="1" a="1"/>
  <c r="O496" i="2" s="1"/>
  <c r="N497" i="2"/>
  <c r="O497" i="2" s="1" a="1"/>
  <c r="O497" i="2" s="1"/>
  <c r="N498" i="2"/>
  <c r="O498" i="2" s="1" a="1"/>
  <c r="O498" i="2" s="1"/>
  <c r="N499" i="2"/>
  <c r="O499" i="2" s="1" a="1"/>
  <c r="O499" i="2" s="1"/>
  <c r="N500" i="2"/>
  <c r="O500" i="2" s="1" a="1"/>
  <c r="O500" i="2" s="1"/>
  <c r="N501" i="2"/>
  <c r="O501" i="2" s="1" a="1"/>
  <c r="O501" i="2" s="1"/>
  <c r="N502" i="2"/>
  <c r="O502" i="2" s="1" a="1"/>
  <c r="O502" i="2" s="1"/>
  <c r="N503" i="2"/>
  <c r="O503" i="2" s="1" a="1"/>
  <c r="O503" i="2" s="1"/>
  <c r="N504" i="2"/>
  <c r="O504" i="2" s="1" a="1"/>
  <c r="O504" i="2" s="1"/>
  <c r="N505" i="2"/>
  <c r="O505" i="2" s="1" a="1"/>
  <c r="O505" i="2" s="1"/>
  <c r="N506" i="2"/>
  <c r="O506" i="2" s="1" a="1"/>
  <c r="O506" i="2" s="1"/>
  <c r="N507" i="2"/>
  <c r="O507" i="2" s="1" a="1"/>
  <c r="O507" i="2" s="1"/>
  <c r="N508" i="2"/>
  <c r="O508" i="2" s="1" a="1"/>
  <c r="O508" i="2" s="1"/>
  <c r="N509" i="2"/>
  <c r="O509" i="2" s="1" a="1"/>
  <c r="O509" i="2" s="1"/>
  <c r="N510" i="2"/>
  <c r="O510" i="2" s="1" a="1"/>
  <c r="O510" i="2" s="1"/>
  <c r="N511" i="2"/>
  <c r="O511" i="2" s="1" a="1"/>
  <c r="O511" i="2" s="1"/>
  <c r="N512" i="2"/>
  <c r="O512" i="2" s="1" a="1"/>
  <c r="O512" i="2" s="1"/>
  <c r="N513" i="2"/>
  <c r="O513" i="2" s="1" a="1"/>
  <c r="O513" i="2" s="1"/>
  <c r="N514" i="2"/>
  <c r="O514" i="2" s="1" a="1"/>
  <c r="O514" i="2" s="1"/>
  <c r="N515" i="2"/>
  <c r="O515" i="2" s="1" a="1"/>
  <c r="O515" i="2" s="1"/>
  <c r="N516" i="2"/>
  <c r="O516" i="2" s="1" a="1"/>
  <c r="O516" i="2" s="1"/>
  <c r="N517" i="2"/>
  <c r="O517" i="2" s="1" a="1"/>
  <c r="O517" i="2" s="1"/>
  <c r="N518" i="2"/>
  <c r="O518" i="2" s="1" a="1"/>
  <c r="O518" i="2" s="1"/>
  <c r="N519" i="2"/>
  <c r="O519" i="2" s="1" a="1"/>
  <c r="O519" i="2" s="1"/>
  <c r="N520" i="2"/>
  <c r="O520" i="2" s="1" a="1"/>
  <c r="O520" i="2" s="1"/>
  <c r="N521" i="2"/>
  <c r="O521" i="2" s="1" a="1"/>
  <c r="O521" i="2" s="1"/>
  <c r="N522" i="2"/>
  <c r="O522" i="2" s="1" a="1"/>
  <c r="O522" i="2" s="1"/>
  <c r="N523" i="2"/>
  <c r="O523" i="2" s="1" a="1"/>
  <c r="O523" i="2" s="1"/>
  <c r="N524" i="2"/>
  <c r="O524" i="2" s="1" a="1"/>
  <c r="O524" i="2" s="1"/>
  <c r="N525" i="2"/>
  <c r="O525" i="2" s="1" a="1"/>
  <c r="O525" i="2" s="1"/>
  <c r="N526" i="2"/>
  <c r="O526" i="2" s="1" a="1"/>
  <c r="O526" i="2" s="1"/>
  <c r="N527" i="2"/>
  <c r="O527" i="2" s="1" a="1"/>
  <c r="O527" i="2" s="1"/>
  <c r="N528" i="2"/>
  <c r="O528" i="2" s="1" a="1"/>
  <c r="O528" i="2" s="1"/>
  <c r="N529" i="2"/>
  <c r="O529" i="2" s="1" a="1"/>
  <c r="O529" i="2" s="1"/>
  <c r="N530" i="2"/>
  <c r="O530" i="2" s="1" a="1"/>
  <c r="O530" i="2" s="1"/>
  <c r="N531" i="2"/>
  <c r="O531" i="2" s="1" a="1"/>
  <c r="O531" i="2" s="1"/>
  <c r="N532" i="2"/>
  <c r="O532" i="2" s="1" a="1"/>
  <c r="O532" i="2" s="1"/>
  <c r="N533" i="2"/>
  <c r="O533" i="2" s="1" a="1"/>
  <c r="O533" i="2" s="1"/>
  <c r="N534" i="2"/>
  <c r="O534" i="2" s="1" a="1"/>
  <c r="O534" i="2" s="1"/>
  <c r="N535" i="2"/>
  <c r="O535" i="2" s="1" a="1"/>
  <c r="O535" i="2" s="1"/>
  <c r="N536" i="2"/>
  <c r="O536" i="2" s="1" a="1"/>
  <c r="O536" i="2" s="1"/>
  <c r="N537" i="2"/>
  <c r="O537" i="2" s="1" a="1"/>
  <c r="O537" i="2" s="1"/>
  <c r="N538" i="2"/>
  <c r="O538" i="2" s="1" a="1"/>
  <c r="O538" i="2" s="1"/>
  <c r="N539" i="2"/>
  <c r="O539" i="2" s="1" a="1"/>
  <c r="O539" i="2" s="1"/>
  <c r="N540" i="2"/>
  <c r="O540" i="2" s="1" a="1"/>
  <c r="O540" i="2" s="1"/>
  <c r="N541" i="2"/>
  <c r="N542" i="2"/>
  <c r="O542" i="2" s="1" a="1"/>
  <c r="O542" i="2" s="1"/>
  <c r="N543" i="2"/>
  <c r="O543" i="2" s="1" a="1"/>
  <c r="O543" i="2" s="1"/>
  <c r="N544" i="2"/>
  <c r="O544" i="2" s="1" a="1"/>
  <c r="O544" i="2" s="1"/>
  <c r="N545" i="2"/>
  <c r="O545" i="2" s="1" a="1"/>
  <c r="O545" i="2" s="1"/>
  <c r="N546" i="2"/>
  <c r="O546" i="2" s="1" a="1"/>
  <c r="O546" i="2" s="1"/>
  <c r="N547" i="2"/>
  <c r="O547" i="2" s="1" a="1"/>
  <c r="O547" i="2" s="1"/>
  <c r="N548" i="2"/>
  <c r="O548" i="2" s="1" a="1"/>
  <c r="O548" i="2" s="1"/>
  <c r="N549" i="2"/>
  <c r="O549" i="2" s="1" a="1"/>
  <c r="O549" i="2" s="1"/>
  <c r="N550" i="2"/>
  <c r="N551" i="2"/>
  <c r="O551" i="2" s="1" a="1"/>
  <c r="O551" i="2" s="1"/>
  <c r="N552" i="2"/>
  <c r="O552" i="2" s="1" a="1"/>
  <c r="O552" i="2" s="1"/>
  <c r="N553" i="2"/>
  <c r="O553" i="2" s="1" a="1"/>
  <c r="O553" i="2" s="1"/>
  <c r="N554" i="2"/>
  <c r="O554" i="2" s="1" a="1"/>
  <c r="O554" i="2" s="1"/>
  <c r="N555" i="2"/>
  <c r="O555" i="2" s="1" a="1"/>
  <c r="O555" i="2" s="1"/>
  <c r="N556" i="2"/>
  <c r="O556" i="2" s="1" a="1"/>
  <c r="O556" i="2" s="1"/>
  <c r="N557" i="2"/>
  <c r="O557" i="2" s="1" a="1"/>
  <c r="O557" i="2" s="1"/>
  <c r="N558" i="2"/>
  <c r="O558" i="2" s="1" a="1"/>
  <c r="O558" i="2" s="1"/>
  <c r="N559" i="2"/>
  <c r="O559" i="2" s="1" a="1"/>
  <c r="O559" i="2" s="1"/>
  <c r="N560" i="2"/>
  <c r="O560" i="2" s="1" a="1"/>
  <c r="O560" i="2" s="1"/>
  <c r="N561" i="2"/>
  <c r="O561" i="2" s="1" a="1"/>
  <c r="O561" i="2" s="1"/>
  <c r="N562" i="2"/>
  <c r="O562" i="2" s="1" a="1"/>
  <c r="O562" i="2" s="1"/>
  <c r="N563" i="2"/>
  <c r="O563" i="2" s="1" a="1"/>
  <c r="O563" i="2" s="1"/>
  <c r="N564" i="2"/>
  <c r="O564" i="2" s="1" a="1"/>
  <c r="O564" i="2" s="1"/>
  <c r="N565" i="2"/>
  <c r="O565" i="2" s="1" a="1"/>
  <c r="O565" i="2" s="1"/>
  <c r="N566" i="2"/>
  <c r="O566" i="2" s="1" a="1"/>
  <c r="O566" i="2" s="1"/>
  <c r="N567" i="2"/>
  <c r="O567" i="2" s="1" a="1"/>
  <c r="O567" i="2" s="1"/>
  <c r="N568" i="2"/>
  <c r="O568" i="2" s="1" a="1"/>
  <c r="O568" i="2" s="1"/>
  <c r="N569" i="2"/>
  <c r="O569" i="2" s="1" a="1"/>
  <c r="O569" i="2" s="1"/>
  <c r="N570" i="2"/>
  <c r="O570" i="2" s="1" a="1"/>
  <c r="O570" i="2" s="1"/>
  <c r="N571" i="2"/>
  <c r="O571" i="2" s="1" a="1"/>
  <c r="O571" i="2" s="1"/>
  <c r="N572" i="2"/>
  <c r="O572" i="2" s="1" a="1"/>
  <c r="O572" i="2" s="1"/>
  <c r="N573" i="2"/>
  <c r="O573" i="2" s="1" a="1"/>
  <c r="O573" i="2" s="1"/>
  <c r="N574" i="2"/>
  <c r="O574" i="2" s="1" a="1"/>
  <c r="O574" i="2" s="1"/>
  <c r="N575" i="2"/>
  <c r="O575" i="2" s="1" a="1"/>
  <c r="O575" i="2" s="1"/>
  <c r="N576" i="2"/>
  <c r="O576" i="2" s="1" a="1"/>
  <c r="O576" i="2" s="1"/>
  <c r="N577" i="2"/>
  <c r="O577" i="2" s="1" a="1"/>
  <c r="O577" i="2" s="1"/>
  <c r="N578" i="2"/>
  <c r="O578" i="2" s="1" a="1"/>
  <c r="O578" i="2" s="1"/>
  <c r="N579" i="2"/>
  <c r="O579" i="2" s="1" a="1"/>
  <c r="O579" i="2" s="1"/>
  <c r="N580" i="2"/>
  <c r="O580" i="2" s="1" a="1"/>
  <c r="O580" i="2" s="1"/>
  <c r="N581" i="2"/>
  <c r="O581" i="2" s="1" a="1"/>
  <c r="O581" i="2" s="1"/>
  <c r="N582" i="2"/>
  <c r="O582" i="2" s="1" a="1"/>
  <c r="O582" i="2" s="1"/>
  <c r="N583" i="2"/>
  <c r="O583" i="2" s="1" a="1"/>
  <c r="O583" i="2" s="1"/>
  <c r="N584" i="2"/>
  <c r="O584" i="2" s="1" a="1"/>
  <c r="O584" i="2" s="1"/>
  <c r="N585" i="2"/>
  <c r="O585" i="2" s="1" a="1"/>
  <c r="O585" i="2" s="1"/>
  <c r="N586" i="2"/>
  <c r="O586" i="2" s="1" a="1"/>
  <c r="O586" i="2" s="1"/>
  <c r="N587" i="2"/>
  <c r="O587" i="2" s="1" a="1"/>
  <c r="O587" i="2" s="1"/>
  <c r="N588" i="2"/>
  <c r="O588" i="2" s="1" a="1"/>
  <c r="O588" i="2" s="1"/>
  <c r="N589" i="2"/>
  <c r="O589" i="2" s="1" a="1"/>
  <c r="O589" i="2" s="1"/>
  <c r="N590" i="2"/>
  <c r="O590" i="2" s="1" a="1"/>
  <c r="O590" i="2" s="1"/>
  <c r="N591" i="2"/>
  <c r="O591" i="2" s="1" a="1"/>
  <c r="O591" i="2" s="1"/>
  <c r="N592" i="2"/>
  <c r="O592" i="2" s="1" a="1"/>
  <c r="O592" i="2" s="1"/>
  <c r="N593" i="2"/>
  <c r="O593" i="2" s="1" a="1"/>
  <c r="O593" i="2" s="1"/>
  <c r="N594" i="2"/>
  <c r="O594" i="2" s="1" a="1"/>
  <c r="O594" i="2" s="1"/>
  <c r="N595" i="2"/>
  <c r="O595" i="2" s="1" a="1"/>
  <c r="O595" i="2" s="1"/>
  <c r="N596" i="2"/>
  <c r="O596" i="2" s="1" a="1"/>
  <c r="O596" i="2" s="1"/>
  <c r="N597" i="2"/>
  <c r="O597" i="2" s="1" a="1"/>
  <c r="O597" i="2" s="1"/>
  <c r="N598" i="2"/>
  <c r="O598" i="2" s="1" a="1"/>
  <c r="O598" i="2" s="1"/>
  <c r="N599" i="2"/>
  <c r="O599" i="2" s="1" a="1"/>
  <c r="O599" i="2" s="1"/>
  <c r="N600" i="2"/>
  <c r="O600" i="2" s="1" a="1"/>
  <c r="O600" i="2" s="1"/>
  <c r="N601" i="2"/>
  <c r="O601" i="2" s="1" a="1"/>
  <c r="O601" i="2" s="1"/>
  <c r="N602" i="2"/>
  <c r="O602" i="2" s="1" a="1"/>
  <c r="O602" i="2" s="1"/>
  <c r="N603" i="2"/>
  <c r="O603" i="2" s="1" a="1"/>
  <c r="O603" i="2" s="1"/>
  <c r="N604" i="2"/>
  <c r="O604" i="2" s="1" a="1"/>
  <c r="O604" i="2" s="1"/>
  <c r="N605" i="2"/>
  <c r="O605" i="2" s="1" a="1"/>
  <c r="O605" i="2" s="1"/>
  <c r="N606" i="2"/>
  <c r="O606" i="2" s="1" a="1"/>
  <c r="O606" i="2" s="1"/>
  <c r="N607" i="2"/>
  <c r="O607" i="2" s="1" a="1"/>
  <c r="O607" i="2" s="1"/>
  <c r="N608" i="2"/>
  <c r="O608" i="2" s="1" a="1"/>
  <c r="O608" i="2" s="1"/>
  <c r="N609" i="2"/>
  <c r="O609" i="2" s="1" a="1"/>
  <c r="O609" i="2" s="1"/>
  <c r="N610" i="2"/>
  <c r="O610" i="2" s="1" a="1"/>
  <c r="O610" i="2" s="1"/>
  <c r="N611" i="2"/>
  <c r="O611" i="2" s="1" a="1"/>
  <c r="O611" i="2" s="1"/>
  <c r="N612" i="2"/>
  <c r="O612" i="2" s="1" a="1"/>
  <c r="O612" i="2" s="1"/>
  <c r="N613" i="2"/>
  <c r="O613" i="2" s="1" a="1"/>
  <c r="O613" i="2" s="1"/>
  <c r="N614" i="2"/>
  <c r="O614" i="2" s="1" a="1"/>
  <c r="O614" i="2" s="1"/>
  <c r="N615" i="2"/>
  <c r="O615" i="2" s="1" a="1"/>
  <c r="O615" i="2" s="1"/>
  <c r="N616" i="2"/>
  <c r="O616" i="2" s="1" a="1"/>
  <c r="O616" i="2" s="1"/>
  <c r="N617" i="2"/>
  <c r="N618" i="2"/>
  <c r="O618" i="2" s="1" a="1"/>
  <c r="O618" i="2" s="1"/>
  <c r="N619" i="2"/>
  <c r="O619" i="2" s="1" a="1"/>
  <c r="O619" i="2" s="1"/>
  <c r="N620" i="2"/>
  <c r="O620" i="2" s="1" a="1"/>
  <c r="O620" i="2" s="1"/>
  <c r="N621" i="2"/>
  <c r="O621" i="2" s="1" a="1"/>
  <c r="O621" i="2" s="1"/>
  <c r="N622" i="2"/>
  <c r="O622" i="2" s="1" a="1"/>
  <c r="O622" i="2" s="1"/>
  <c r="N623" i="2"/>
  <c r="O623" i="2" s="1" a="1"/>
  <c r="O623" i="2" s="1"/>
  <c r="N624" i="2"/>
  <c r="O624" i="2" s="1" a="1"/>
  <c r="O624" i="2" s="1"/>
  <c r="N625" i="2"/>
  <c r="O625" i="2" s="1" a="1"/>
  <c r="O625" i="2" s="1"/>
  <c r="N626" i="2"/>
  <c r="O626" i="2" s="1" a="1"/>
  <c r="O626" i="2" s="1"/>
  <c r="N627" i="2"/>
  <c r="O627" i="2" s="1" a="1"/>
  <c r="O627" i="2" s="1"/>
  <c r="N628" i="2"/>
  <c r="O628" i="2" s="1" a="1"/>
  <c r="O628" i="2" s="1"/>
  <c r="N629" i="2"/>
  <c r="O629" i="2" s="1" a="1"/>
  <c r="O629" i="2" s="1"/>
  <c r="N630" i="2"/>
  <c r="O630" i="2" s="1" a="1"/>
  <c r="O630" i="2" s="1"/>
  <c r="N631" i="2"/>
  <c r="O631" i="2" s="1" a="1"/>
  <c r="O631" i="2" s="1"/>
  <c r="N632" i="2"/>
  <c r="O632" i="2" s="1" a="1"/>
  <c r="O632" i="2" s="1"/>
  <c r="N633" i="2"/>
  <c r="O633" i="2" s="1" a="1"/>
  <c r="O633" i="2" s="1"/>
  <c r="N634" i="2"/>
  <c r="O634" i="2" s="1" a="1"/>
  <c r="O634" i="2" s="1"/>
  <c r="N635" i="2"/>
  <c r="O635" i="2" s="1" a="1"/>
  <c r="O635" i="2" s="1"/>
  <c r="N636" i="2"/>
  <c r="O636" i="2" s="1" a="1"/>
  <c r="O636" i="2" s="1"/>
  <c r="N637" i="2"/>
  <c r="N638" i="2"/>
  <c r="O638" i="2" s="1" a="1"/>
  <c r="O638" i="2" s="1"/>
  <c r="N639" i="2"/>
  <c r="O639" i="2" s="1" a="1"/>
  <c r="O639" i="2" s="1"/>
  <c r="N640" i="2"/>
  <c r="O640" i="2" s="1" a="1"/>
  <c r="O640" i="2" s="1"/>
  <c r="N641" i="2"/>
  <c r="O641" i="2" s="1" a="1"/>
  <c r="O641" i="2" s="1"/>
  <c r="N642" i="2"/>
  <c r="O642" i="2" s="1" a="1"/>
  <c r="O642" i="2" s="1"/>
  <c r="N643" i="2"/>
  <c r="O643" i="2" s="1" a="1"/>
  <c r="O643" i="2" s="1"/>
  <c r="N644" i="2"/>
  <c r="O644" i="2" s="1" a="1"/>
  <c r="O644" i="2" s="1"/>
  <c r="N645" i="2"/>
  <c r="O645" i="2" s="1" a="1"/>
  <c r="O645" i="2" s="1"/>
  <c r="N646" i="2"/>
  <c r="O646" i="2" s="1" a="1"/>
  <c r="O646" i="2" s="1"/>
  <c r="N647" i="2"/>
  <c r="O647" i="2" s="1" a="1"/>
  <c r="O647" i="2" s="1"/>
  <c r="N648" i="2"/>
  <c r="O648" i="2" s="1" a="1"/>
  <c r="O648" i="2" s="1"/>
  <c r="N649" i="2"/>
  <c r="O649" i="2" s="1" a="1"/>
  <c r="O649" i="2" s="1"/>
  <c r="N650" i="2"/>
  <c r="O650" i="2" s="1" a="1"/>
  <c r="O650" i="2" s="1"/>
  <c r="N651" i="2"/>
  <c r="O651" i="2" s="1" a="1"/>
  <c r="O651" i="2" s="1"/>
  <c r="N652" i="2"/>
  <c r="O652" i="2" s="1" a="1"/>
  <c r="O652" i="2" s="1"/>
  <c r="N653" i="2"/>
  <c r="O653" i="2" s="1" a="1"/>
  <c r="O653" i="2" s="1"/>
  <c r="N654" i="2"/>
  <c r="O654" i="2" s="1" a="1"/>
  <c r="O654" i="2" s="1"/>
  <c r="N655" i="2"/>
  <c r="O655" i="2" s="1" a="1"/>
  <c r="O655" i="2" s="1"/>
  <c r="N656" i="2"/>
  <c r="O656" i="2" s="1" a="1"/>
  <c r="O656" i="2" s="1"/>
  <c r="N657" i="2"/>
  <c r="O657" i="2" s="1" a="1"/>
  <c r="O657" i="2" s="1"/>
  <c r="N658" i="2"/>
  <c r="O658" i="2" s="1" a="1"/>
  <c r="O658" i="2" s="1"/>
  <c r="N659" i="2"/>
  <c r="O659" i="2" s="1" a="1"/>
  <c r="O659" i="2" s="1"/>
  <c r="N660" i="2"/>
  <c r="O660" i="2" s="1" a="1"/>
  <c r="O660" i="2" s="1"/>
  <c r="N661" i="2"/>
  <c r="O661" i="2" s="1" a="1"/>
  <c r="O661" i="2" s="1"/>
  <c r="N662" i="2"/>
  <c r="O662" i="2" s="1" a="1"/>
  <c r="N663" i="2"/>
  <c r="O663" i="2" s="1" a="1"/>
  <c r="O663" i="2" s="1"/>
  <c r="N664" i="2"/>
  <c r="O664" i="2" s="1" a="1"/>
  <c r="O664" i="2" s="1"/>
  <c r="N665" i="2"/>
  <c r="O665" i="2" s="1" a="1"/>
  <c r="O665" i="2" s="1"/>
  <c r="N666" i="2"/>
  <c r="O666" i="2" s="1" a="1"/>
  <c r="O666" i="2" s="1"/>
  <c r="N667" i="2"/>
  <c r="O667" i="2" s="1" a="1"/>
  <c r="O667" i="2" s="1"/>
  <c r="N668" i="2"/>
  <c r="O668" i="2" s="1" a="1"/>
  <c r="O668" i="2" s="1"/>
  <c r="N669" i="2"/>
  <c r="N670" i="2"/>
  <c r="O670" i="2" s="1" a="1"/>
  <c r="O670" i="2" s="1"/>
  <c r="N671" i="2"/>
  <c r="O671" i="2" s="1" a="1"/>
  <c r="O671" i="2" s="1"/>
  <c r="N672" i="2"/>
  <c r="O672" i="2" s="1" a="1"/>
  <c r="O672" i="2" s="1"/>
  <c r="N673" i="2"/>
  <c r="O673" i="2" s="1" a="1"/>
  <c r="O673" i="2" s="1"/>
  <c r="N674" i="2"/>
  <c r="O674" i="2" s="1" a="1"/>
  <c r="O674" i="2" s="1"/>
  <c r="N675" i="2"/>
  <c r="O675" i="2" s="1" a="1"/>
  <c r="O675" i="2" s="1"/>
  <c r="N676" i="2"/>
  <c r="O676" i="2" s="1" a="1"/>
  <c r="O676" i="2" s="1"/>
  <c r="N677" i="2"/>
  <c r="O677" i="2" s="1" a="1"/>
  <c r="O677" i="2" s="1"/>
  <c r="N678" i="2"/>
  <c r="O678" i="2" s="1" a="1"/>
  <c r="O678" i="2" s="1"/>
  <c r="N679" i="2"/>
  <c r="O679" i="2" s="1" a="1"/>
  <c r="O679" i="2" s="1"/>
  <c r="N680" i="2"/>
  <c r="O680" i="2" s="1" a="1"/>
  <c r="O680" i="2" s="1"/>
  <c r="N681" i="2"/>
  <c r="O681" i="2" s="1" a="1"/>
  <c r="O681" i="2" s="1"/>
  <c r="N682" i="2"/>
  <c r="O682" i="2" s="1" a="1"/>
  <c r="O682" i="2" s="1"/>
  <c r="N683" i="2"/>
  <c r="O683" i="2" s="1" a="1"/>
  <c r="O683" i="2" s="1"/>
  <c r="N684" i="2"/>
  <c r="O684" i="2" s="1" a="1"/>
  <c r="O684" i="2" s="1"/>
  <c r="N685" i="2"/>
  <c r="O685" i="2" s="1" a="1"/>
  <c r="O685" i="2" s="1"/>
  <c r="N686" i="2"/>
  <c r="O686" i="2" s="1" a="1"/>
  <c r="O686" i="2" s="1"/>
  <c r="N687" i="2"/>
  <c r="O687" i="2" s="1" a="1"/>
  <c r="O687" i="2" s="1"/>
  <c r="N688" i="2"/>
  <c r="O688" i="2" s="1" a="1"/>
  <c r="O688" i="2" s="1"/>
  <c r="N689" i="2"/>
  <c r="O689" i="2" s="1" a="1"/>
  <c r="O689" i="2" s="1"/>
  <c r="N690" i="2"/>
  <c r="O690" i="2" s="1" a="1"/>
  <c r="O690" i="2" s="1"/>
  <c r="N691" i="2"/>
  <c r="O691" i="2" s="1" a="1"/>
  <c r="O691" i="2" s="1"/>
  <c r="N692" i="2"/>
  <c r="O692" i="2" s="1" a="1"/>
  <c r="O692" i="2" s="1"/>
  <c r="N693" i="2"/>
  <c r="O693" i="2" s="1" a="1"/>
  <c r="O693" i="2" s="1"/>
  <c r="N694" i="2"/>
  <c r="O694" i="2" s="1" a="1"/>
  <c r="N695" i="2"/>
  <c r="O695" i="2" s="1" a="1"/>
  <c r="O695" i="2" s="1"/>
  <c r="N696" i="2"/>
  <c r="O696" i="2" s="1" a="1"/>
  <c r="O696" i="2" s="1"/>
  <c r="N697" i="2"/>
  <c r="O697" i="2" s="1" a="1"/>
  <c r="O697" i="2" s="1"/>
  <c r="N698" i="2"/>
  <c r="O698" i="2" s="1" a="1"/>
  <c r="O698" i="2" s="1"/>
  <c r="N699" i="2"/>
  <c r="O699" i="2" s="1" a="1"/>
  <c r="O699" i="2" s="1"/>
  <c r="N700" i="2"/>
  <c r="O700" i="2" s="1" a="1"/>
  <c r="O700" i="2" s="1"/>
  <c r="N701" i="2"/>
  <c r="O701" i="2" s="1" a="1"/>
  <c r="O701" i="2" s="1"/>
  <c r="N702" i="2"/>
  <c r="O702" i="2" s="1" a="1"/>
  <c r="O702" i="2" s="1"/>
  <c r="N703" i="2"/>
  <c r="O703" i="2" s="1" a="1"/>
  <c r="O703" i="2" s="1"/>
  <c r="N704" i="2"/>
  <c r="O704" i="2" s="1" a="1"/>
  <c r="O704" i="2" s="1"/>
  <c r="N705" i="2"/>
  <c r="O705" i="2" s="1" a="1"/>
  <c r="O705" i="2" s="1"/>
  <c r="N706" i="2"/>
  <c r="O706" i="2" s="1" a="1"/>
  <c r="O706" i="2" s="1"/>
  <c r="N707" i="2"/>
  <c r="O707" i="2" s="1" a="1"/>
  <c r="O707" i="2" s="1"/>
  <c r="N708" i="2"/>
  <c r="O708" i="2" s="1" a="1"/>
  <c r="O708" i="2" s="1"/>
  <c r="N709" i="2"/>
  <c r="O709" i="2" s="1" a="1"/>
  <c r="O709" i="2" s="1"/>
  <c r="N710" i="2"/>
  <c r="O710" i="2" s="1" a="1"/>
  <c r="O710" i="2" s="1"/>
  <c r="N711" i="2"/>
  <c r="O711" i="2" s="1" a="1"/>
  <c r="O711" i="2" s="1"/>
  <c r="N712" i="2"/>
  <c r="O712" i="2" s="1" a="1"/>
  <c r="O712" i="2" s="1"/>
  <c r="N713" i="2"/>
  <c r="N714" i="2"/>
  <c r="O714" i="2" s="1" a="1"/>
  <c r="O714" i="2" s="1"/>
  <c r="N715" i="2"/>
  <c r="O715" i="2" s="1" a="1"/>
  <c r="O715" i="2" s="1"/>
  <c r="N716" i="2"/>
  <c r="O716" i="2" s="1" a="1"/>
  <c r="O716" i="2" s="1"/>
  <c r="N717" i="2"/>
  <c r="O717" i="2" s="1" a="1"/>
  <c r="O717" i="2" s="1"/>
  <c r="N718" i="2"/>
  <c r="O718" i="2" s="1" a="1"/>
  <c r="N719" i="2"/>
  <c r="O719" i="2" s="1" a="1"/>
  <c r="O719" i="2" s="1"/>
  <c r="N720" i="2"/>
  <c r="O720" i="2" s="1" a="1"/>
  <c r="O720" i="2" s="1"/>
  <c r="N721" i="2"/>
  <c r="O721" i="2" s="1" a="1"/>
  <c r="O721" i="2" s="1"/>
  <c r="N722" i="2"/>
  <c r="O722" i="2" s="1" a="1"/>
  <c r="O722" i="2" s="1"/>
  <c r="N723" i="2"/>
  <c r="O723" i="2" s="1" a="1"/>
  <c r="O723" i="2" s="1"/>
  <c r="N724" i="2"/>
  <c r="O724" i="2" s="1" a="1"/>
  <c r="O724" i="2" s="1"/>
  <c r="N725" i="2"/>
  <c r="O725" i="2" s="1" a="1"/>
  <c r="O725" i="2" s="1"/>
  <c r="N726" i="2"/>
  <c r="O726" i="2" s="1" a="1"/>
  <c r="O726" i="2" s="1"/>
  <c r="N727" i="2"/>
  <c r="O727" i="2" s="1" a="1"/>
  <c r="O727" i="2" s="1"/>
  <c r="N728" i="2"/>
  <c r="O728" i="2" s="1" a="1"/>
  <c r="O728" i="2" s="1"/>
  <c r="N729" i="2"/>
  <c r="O729" i="2" s="1" a="1"/>
  <c r="O729" i="2" s="1"/>
  <c r="N730" i="2"/>
  <c r="O730" i="2" s="1" a="1"/>
  <c r="O730" i="2" s="1"/>
  <c r="N731" i="2"/>
  <c r="O731" i="2" s="1" a="1"/>
  <c r="O731" i="2" s="1"/>
  <c r="N732" i="2"/>
  <c r="O732" i="2" s="1" a="1"/>
  <c r="O732" i="2" s="1"/>
  <c r="N733" i="2"/>
  <c r="O733" i="2" s="1" a="1"/>
  <c r="O733" i="2" s="1"/>
  <c r="N734" i="2"/>
  <c r="O734" i="2" s="1" a="1"/>
  <c r="N735" i="2"/>
  <c r="O735" i="2" s="1" a="1"/>
  <c r="O735" i="2" s="1"/>
  <c r="N736" i="2"/>
  <c r="O736" i="2" s="1" a="1"/>
  <c r="O736" i="2" s="1"/>
  <c r="N737" i="2"/>
  <c r="O737" i="2" s="1" a="1"/>
  <c r="O737" i="2" s="1"/>
  <c r="N738" i="2"/>
  <c r="O738" i="2" s="1" a="1"/>
  <c r="O738" i="2" s="1"/>
  <c r="N739" i="2"/>
  <c r="O739" i="2" s="1" a="1"/>
  <c r="O739" i="2" s="1"/>
  <c r="N740" i="2"/>
  <c r="O740" i="2" s="1" a="1"/>
  <c r="O740" i="2" s="1"/>
  <c r="N741" i="2"/>
  <c r="O741" i="2" s="1" a="1"/>
  <c r="O741" i="2" s="1"/>
  <c r="N742" i="2"/>
  <c r="O742" i="2" s="1" a="1"/>
  <c r="O742" i="2" s="1"/>
  <c r="N743" i="2"/>
  <c r="O743" i="2" s="1" a="1"/>
  <c r="O743" i="2" s="1"/>
  <c r="N744" i="2"/>
  <c r="O744" i="2" s="1" a="1"/>
  <c r="O744" i="2" s="1"/>
  <c r="N745" i="2"/>
  <c r="O745" i="2" s="1" a="1"/>
  <c r="O745" i="2" s="1"/>
  <c r="N746" i="2"/>
  <c r="O746" i="2" s="1" a="1"/>
  <c r="O746" i="2" s="1"/>
  <c r="N747" i="2"/>
  <c r="O747" i="2" s="1" a="1"/>
  <c r="O747" i="2" s="1"/>
  <c r="N748" i="2"/>
  <c r="O748" i="2" s="1" a="1"/>
  <c r="O748" i="2" s="1"/>
  <c r="N749" i="2"/>
  <c r="O749" i="2" s="1" a="1"/>
  <c r="O749" i="2" s="1"/>
  <c r="N750" i="2"/>
  <c r="O750" i="2" s="1" a="1"/>
  <c r="O750" i="2" s="1"/>
  <c r="N751" i="2"/>
  <c r="O751" i="2" s="1" a="1"/>
  <c r="O751" i="2" s="1"/>
  <c r="N752" i="2"/>
  <c r="O752" i="2" s="1" a="1"/>
  <c r="O752" i="2" s="1"/>
  <c r="N753" i="2"/>
  <c r="O753" i="2" s="1" a="1"/>
  <c r="O753" i="2" s="1"/>
  <c r="N754" i="2"/>
  <c r="O754" i="2" s="1" a="1"/>
  <c r="O754" i="2" s="1"/>
  <c r="N755" i="2"/>
  <c r="O755" i="2" s="1" a="1"/>
  <c r="O755" i="2" s="1"/>
  <c r="N756" i="2"/>
  <c r="O756" i="2" s="1" a="1"/>
  <c r="O756" i="2" s="1"/>
  <c r="N757" i="2"/>
  <c r="O757" i="2" s="1" a="1"/>
  <c r="O757" i="2" s="1"/>
  <c r="N758" i="2"/>
  <c r="O758" i="2" s="1" a="1"/>
  <c r="O758" i="2" s="1"/>
  <c r="N759" i="2"/>
  <c r="O759" i="2" s="1" a="1"/>
  <c r="O759" i="2" s="1"/>
  <c r="N760" i="2"/>
  <c r="O760" i="2" s="1" a="1"/>
  <c r="O760" i="2" s="1"/>
  <c r="N761" i="2"/>
  <c r="N762" i="2"/>
  <c r="O762" i="2" s="1" a="1"/>
  <c r="O762" i="2" s="1"/>
  <c r="N763" i="2"/>
  <c r="O763" i="2" s="1" a="1"/>
  <c r="O763" i="2" s="1"/>
  <c r="N764" i="2"/>
  <c r="O764" i="2" s="1" a="1"/>
  <c r="O764" i="2" s="1"/>
  <c r="N765" i="2"/>
  <c r="O765" i="2" s="1" a="1"/>
  <c r="O765" i="2" s="1"/>
  <c r="N766" i="2"/>
  <c r="O766" i="2" s="1" a="1"/>
  <c r="O766" i="2" s="1"/>
  <c r="N767" i="2"/>
  <c r="O767" i="2" s="1" a="1"/>
  <c r="O767" i="2" s="1"/>
  <c r="N768" i="2"/>
  <c r="O768" i="2" s="1" a="1"/>
  <c r="O768" i="2" s="1"/>
  <c r="N769" i="2"/>
  <c r="O769" i="2" s="1" a="1"/>
  <c r="O769" i="2" s="1"/>
  <c r="N770" i="2"/>
  <c r="O770" i="2" s="1" a="1"/>
  <c r="O770" i="2" s="1"/>
  <c r="N771" i="2"/>
  <c r="O771" i="2" s="1" a="1"/>
  <c r="O771" i="2" s="1"/>
  <c r="N772" i="2"/>
  <c r="O772" i="2" s="1" a="1"/>
  <c r="O772" i="2" s="1"/>
  <c r="N773" i="2"/>
  <c r="O773" i="2" s="1" a="1"/>
  <c r="O773" i="2" s="1"/>
  <c r="N774" i="2"/>
  <c r="O774" i="2" s="1" a="1"/>
  <c r="O774" i="2" s="1"/>
  <c r="N775" i="2"/>
  <c r="O775" i="2" s="1" a="1"/>
  <c r="O775" i="2" s="1"/>
  <c r="N776" i="2"/>
  <c r="O776" i="2" s="1" a="1"/>
  <c r="O776" i="2" s="1"/>
  <c r="N777" i="2"/>
  <c r="N778" i="2"/>
  <c r="O778" i="2" s="1" a="1"/>
  <c r="O778" i="2" s="1"/>
  <c r="N779" i="2"/>
  <c r="O779" i="2" s="1" a="1"/>
  <c r="O779" i="2" s="1"/>
  <c r="N780" i="2"/>
  <c r="O780" i="2" s="1" a="1"/>
  <c r="O780" i="2" s="1"/>
  <c r="N781" i="2"/>
  <c r="O781" i="2" s="1" a="1"/>
  <c r="O781" i="2" s="1"/>
  <c r="N782" i="2"/>
  <c r="O782" i="2" s="1" a="1"/>
  <c r="N783" i="2"/>
  <c r="O783" i="2" s="1" a="1"/>
  <c r="O783" i="2" s="1"/>
  <c r="N784" i="2"/>
  <c r="O784" i="2" s="1" a="1"/>
  <c r="O784" i="2" s="1"/>
  <c r="N785" i="2"/>
  <c r="O785" i="2" s="1" a="1"/>
  <c r="O785" i="2" s="1"/>
  <c r="N786" i="2"/>
  <c r="O786" i="2" s="1" a="1"/>
  <c r="O786" i="2" s="1"/>
  <c r="N787" i="2"/>
  <c r="O787" i="2" s="1" a="1"/>
  <c r="O787" i="2" s="1"/>
  <c r="N788" i="2"/>
  <c r="O788" i="2" s="1" a="1"/>
  <c r="O788" i="2" s="1"/>
  <c r="N789" i="2"/>
  <c r="O789" i="2" s="1" a="1"/>
  <c r="O789" i="2" s="1"/>
  <c r="N790" i="2"/>
  <c r="O790" i="2" s="1" a="1"/>
  <c r="O790" i="2" s="1"/>
  <c r="N791" i="2"/>
  <c r="O791" i="2" s="1" a="1"/>
  <c r="O791" i="2" s="1"/>
  <c r="N792" i="2"/>
  <c r="O792" i="2" s="1" a="1"/>
  <c r="O792" i="2" s="1"/>
  <c r="N793" i="2"/>
  <c r="O793" i="2" s="1" a="1"/>
  <c r="O793" i="2" s="1"/>
  <c r="N794" i="2"/>
  <c r="O794" i="2" s="1" a="1"/>
  <c r="O794" i="2" s="1"/>
  <c r="N795" i="2"/>
  <c r="O795" i="2" s="1" a="1"/>
  <c r="O795" i="2" s="1"/>
  <c r="N796" i="2"/>
  <c r="O796" i="2" s="1" a="1"/>
  <c r="O796" i="2" s="1"/>
  <c r="N797" i="2"/>
  <c r="O797" i="2" s="1" a="1"/>
  <c r="O797" i="2" s="1"/>
  <c r="N798" i="2"/>
  <c r="O798" i="2" s="1" a="1"/>
  <c r="N799" i="2"/>
  <c r="O799" i="2" s="1" a="1"/>
  <c r="O799" i="2" s="1"/>
  <c r="N800" i="2"/>
  <c r="O800" i="2" s="1" a="1"/>
  <c r="O800" i="2" s="1"/>
  <c r="N801" i="2"/>
  <c r="O801" i="2" s="1" a="1"/>
  <c r="O801" i="2" s="1"/>
  <c r="N802" i="2"/>
  <c r="O802" i="2" s="1" a="1"/>
  <c r="O802" i="2" s="1"/>
  <c r="N803" i="2"/>
  <c r="O803" i="2" s="1" a="1"/>
  <c r="O803" i="2" s="1"/>
  <c r="N804" i="2"/>
  <c r="O804" i="2" s="1" a="1"/>
  <c r="O804" i="2" s="1"/>
  <c r="N805" i="2"/>
  <c r="O805" i="2" s="1" a="1"/>
  <c r="O805" i="2" s="1"/>
  <c r="N806" i="2"/>
  <c r="O806" i="2" s="1" a="1"/>
  <c r="O806" i="2" s="1"/>
  <c r="N807" i="2"/>
  <c r="O807" i="2" s="1" a="1"/>
  <c r="O807" i="2" s="1"/>
  <c r="N808" i="2"/>
  <c r="O808" i="2" s="1" a="1"/>
  <c r="O808" i="2" s="1"/>
  <c r="N809" i="2"/>
  <c r="O809" i="2" s="1" a="1"/>
  <c r="O809" i="2" s="1"/>
  <c r="N810" i="2"/>
  <c r="O810" i="2" s="1" a="1"/>
  <c r="O810" i="2" s="1"/>
  <c r="N811" i="2"/>
  <c r="O811" i="2" s="1" a="1"/>
  <c r="O811" i="2" s="1"/>
  <c r="N812" i="2"/>
  <c r="O812" i="2" s="1" a="1"/>
  <c r="O812" i="2" s="1"/>
  <c r="N813" i="2"/>
  <c r="O813" i="2" s="1" a="1"/>
  <c r="O813" i="2" s="1"/>
  <c r="N814" i="2"/>
  <c r="O814" i="2" s="1" a="1"/>
  <c r="O814" i="2" s="1"/>
  <c r="N815" i="2"/>
  <c r="O815" i="2" s="1" a="1"/>
  <c r="O815" i="2" s="1"/>
  <c r="N816" i="2"/>
  <c r="O816" i="2" s="1" a="1"/>
  <c r="O816" i="2" s="1"/>
  <c r="N817" i="2"/>
  <c r="O817" i="2" s="1" a="1"/>
  <c r="O817" i="2" s="1"/>
  <c r="N818" i="2"/>
  <c r="O818" i="2" s="1" a="1"/>
  <c r="O818" i="2" s="1"/>
  <c r="N819" i="2"/>
  <c r="O819" i="2" s="1" a="1"/>
  <c r="O819" i="2" s="1"/>
  <c r="N820" i="2"/>
  <c r="O820" i="2" s="1" a="1"/>
  <c r="O820" i="2" s="1"/>
  <c r="N821" i="2"/>
  <c r="O821" i="2" s="1" a="1"/>
  <c r="O821" i="2" s="1"/>
  <c r="N822" i="2"/>
  <c r="O822" i="2" s="1" a="1"/>
  <c r="O822" i="2" s="1"/>
  <c r="N823" i="2"/>
  <c r="O823" i="2" s="1" a="1"/>
  <c r="O823" i="2" s="1"/>
  <c r="N824" i="2"/>
  <c r="O824" i="2" s="1" a="1"/>
  <c r="O824" i="2" s="1"/>
  <c r="N825" i="2"/>
  <c r="N826" i="2"/>
  <c r="O826" i="2" s="1" a="1"/>
  <c r="O826" i="2" s="1"/>
  <c r="N827" i="2"/>
  <c r="O827" i="2" s="1" a="1"/>
  <c r="O827" i="2" s="1"/>
  <c r="N828" i="2"/>
  <c r="O828" i="2" s="1" a="1"/>
  <c r="O828" i="2" s="1"/>
  <c r="N829" i="2"/>
  <c r="O829" i="2" s="1" a="1"/>
  <c r="O829" i="2" s="1"/>
  <c r="N830" i="2"/>
  <c r="O830" i="2" s="1" a="1"/>
  <c r="O830" i="2" s="1"/>
  <c r="N831" i="2"/>
  <c r="O831" i="2" s="1" a="1"/>
  <c r="O831" i="2" s="1"/>
  <c r="N832" i="2"/>
  <c r="O832" i="2" s="1" a="1"/>
  <c r="O832" i="2" s="1"/>
  <c r="N833" i="2"/>
  <c r="O833" i="2" s="1" a="1"/>
  <c r="O833" i="2" s="1"/>
  <c r="N834" i="2"/>
  <c r="O834" i="2" s="1" a="1"/>
  <c r="O834" i="2" s="1"/>
  <c r="N835" i="2"/>
  <c r="O835" i="2" s="1" a="1"/>
  <c r="O835" i="2" s="1"/>
  <c r="N836" i="2"/>
  <c r="O836" i="2" s="1" a="1"/>
  <c r="O836" i="2" s="1"/>
  <c r="N837" i="2"/>
  <c r="O837" i="2" s="1" a="1"/>
  <c r="O837" i="2" s="1"/>
  <c r="N838" i="2"/>
  <c r="O838" i="2" s="1" a="1"/>
  <c r="O838" i="2" s="1"/>
  <c r="N839" i="2"/>
  <c r="O839" i="2" s="1" a="1"/>
  <c r="O839" i="2" s="1"/>
  <c r="N840" i="2"/>
  <c r="O840" i="2" s="1" a="1"/>
  <c r="O840" i="2" s="1"/>
  <c r="N841" i="2"/>
  <c r="N842" i="2"/>
  <c r="O842" i="2" s="1" a="1"/>
  <c r="O842" i="2" s="1"/>
  <c r="N843" i="2"/>
  <c r="O843" i="2" s="1" a="1"/>
  <c r="O843" i="2" s="1"/>
  <c r="N844" i="2"/>
  <c r="O844" i="2" s="1" a="1"/>
  <c r="O844" i="2" s="1"/>
  <c r="N845" i="2"/>
  <c r="O845" i="2" s="1" a="1"/>
  <c r="O845" i="2" s="1"/>
  <c r="N846" i="2"/>
  <c r="O846" i="2" s="1" a="1"/>
  <c r="N847" i="2"/>
  <c r="O847" i="2" s="1" a="1"/>
  <c r="O847" i="2" s="1"/>
  <c r="N848" i="2"/>
  <c r="O848" i="2" s="1" a="1"/>
  <c r="O848" i="2" s="1"/>
  <c r="N849" i="2"/>
  <c r="O849" i="2" s="1" a="1"/>
  <c r="O849" i="2" s="1"/>
  <c r="N850" i="2"/>
  <c r="O850" i="2" s="1" a="1"/>
  <c r="O850" i="2" s="1"/>
  <c r="N851" i="2"/>
  <c r="O851" i="2" s="1" a="1"/>
  <c r="O851" i="2" s="1"/>
  <c r="N852" i="2"/>
  <c r="O852" i="2" s="1" a="1"/>
  <c r="O852" i="2" s="1"/>
  <c r="N853" i="2"/>
  <c r="O853" i="2" s="1" a="1"/>
  <c r="O853" i="2" s="1"/>
  <c r="N854" i="2"/>
  <c r="O854" i="2" s="1" a="1"/>
  <c r="O854" i="2" s="1"/>
  <c r="N855" i="2"/>
  <c r="O855" i="2" s="1" a="1"/>
  <c r="O855" i="2" s="1"/>
  <c r="N856" i="2"/>
  <c r="O856" i="2" s="1" a="1"/>
  <c r="O856" i="2" s="1"/>
  <c r="N857" i="2"/>
  <c r="O857" i="2" s="1" a="1"/>
  <c r="O857" i="2" s="1"/>
  <c r="N858" i="2"/>
  <c r="O858" i="2" s="1" a="1"/>
  <c r="O858" i="2" s="1"/>
  <c r="N859" i="2"/>
  <c r="O859" i="2" s="1" a="1"/>
  <c r="O859" i="2" s="1"/>
  <c r="N860" i="2"/>
  <c r="O860" i="2" s="1" a="1"/>
  <c r="O860" i="2" s="1"/>
  <c r="N861" i="2"/>
  <c r="O861" i="2" s="1" a="1"/>
  <c r="O861" i="2" s="1"/>
  <c r="N862" i="2"/>
  <c r="O862" i="2" s="1" a="1"/>
  <c r="N863" i="2"/>
  <c r="O863" i="2" s="1" a="1"/>
  <c r="O863" i="2" s="1"/>
  <c r="N864" i="2"/>
  <c r="O864" i="2" s="1" a="1"/>
  <c r="O864" i="2" s="1"/>
  <c r="N865" i="2"/>
  <c r="O865" i="2" s="1" a="1"/>
  <c r="O865" i="2" s="1"/>
  <c r="N866" i="2"/>
  <c r="O866" i="2" s="1" a="1"/>
  <c r="O866" i="2" s="1"/>
  <c r="N867" i="2"/>
  <c r="O867" i="2" s="1" a="1"/>
  <c r="O867" i="2" s="1"/>
  <c r="N868" i="2"/>
  <c r="O868" i="2" s="1" a="1"/>
  <c r="O868" i="2" s="1"/>
  <c r="N869" i="2"/>
  <c r="O869" i="2" s="1" a="1"/>
  <c r="O869" i="2" s="1"/>
  <c r="N870" i="2"/>
  <c r="O870" i="2" s="1" a="1"/>
  <c r="O870" i="2" s="1"/>
  <c r="N871" i="2"/>
  <c r="O871" i="2" s="1" a="1"/>
  <c r="O871" i="2" s="1"/>
  <c r="N872" i="2"/>
  <c r="O872" i="2" s="1" a="1"/>
  <c r="O872" i="2" s="1"/>
  <c r="N873" i="2"/>
  <c r="O873" i="2" s="1" a="1"/>
  <c r="O873" i="2" s="1"/>
  <c r="N874" i="2"/>
  <c r="O874" i="2" s="1" a="1"/>
  <c r="O874" i="2" s="1"/>
  <c r="N875" i="2"/>
  <c r="O875" i="2" s="1" a="1"/>
  <c r="O875" i="2" s="1"/>
  <c r="N876" i="2"/>
  <c r="O876" i="2" s="1" a="1"/>
  <c r="O876" i="2" s="1"/>
  <c r="N877" i="2"/>
  <c r="O877" i="2" s="1" a="1"/>
  <c r="O877" i="2" s="1"/>
  <c r="N878" i="2"/>
  <c r="O878" i="2" s="1" a="1"/>
  <c r="O878" i="2" s="1"/>
  <c r="N879" i="2"/>
  <c r="O879" i="2" s="1" a="1"/>
  <c r="O879" i="2" s="1"/>
  <c r="N880" i="2"/>
  <c r="O880" i="2" s="1" a="1"/>
  <c r="O880" i="2" s="1"/>
  <c r="N881" i="2"/>
  <c r="O881" i="2" s="1" a="1"/>
  <c r="O881" i="2" s="1"/>
  <c r="N882" i="2"/>
  <c r="O882" i="2" s="1" a="1"/>
  <c r="O882" i="2" s="1"/>
  <c r="N883" i="2"/>
  <c r="O883" i="2" s="1" a="1"/>
  <c r="O883" i="2" s="1"/>
  <c r="N884" i="2"/>
  <c r="O884" i="2" s="1" a="1"/>
  <c r="O884" i="2" s="1"/>
  <c r="N885" i="2"/>
  <c r="O885" i="2" s="1" a="1"/>
  <c r="O885" i="2" s="1"/>
  <c r="N886" i="2"/>
  <c r="O886" i="2" s="1" a="1"/>
  <c r="O886" i="2" s="1"/>
  <c r="N887" i="2"/>
  <c r="O887" i="2" s="1" a="1"/>
  <c r="O887" i="2" s="1"/>
  <c r="N888" i="2"/>
  <c r="O888" i="2" s="1" a="1"/>
  <c r="O888" i="2" s="1"/>
  <c r="N889" i="2"/>
  <c r="N890" i="2"/>
  <c r="O890" i="2" s="1" a="1"/>
  <c r="O890" i="2" s="1"/>
  <c r="N891" i="2"/>
  <c r="O891" i="2" s="1" a="1"/>
  <c r="O891" i="2" s="1"/>
  <c r="N892" i="2"/>
  <c r="O892" i="2" s="1" a="1"/>
  <c r="O892" i="2" s="1"/>
  <c r="N893" i="2"/>
  <c r="O893" i="2" s="1" a="1"/>
  <c r="O893" i="2" s="1"/>
  <c r="N894" i="2"/>
  <c r="O894" i="2" s="1" a="1"/>
  <c r="O894" i="2" s="1"/>
  <c r="N895" i="2"/>
  <c r="O895" i="2" s="1" a="1"/>
  <c r="O895" i="2" s="1"/>
  <c r="N896" i="2"/>
  <c r="O896" i="2" s="1" a="1"/>
  <c r="O896" i="2" s="1"/>
  <c r="N897" i="2"/>
  <c r="O897" i="2" s="1" a="1"/>
  <c r="O897" i="2" s="1"/>
  <c r="N898" i="2"/>
  <c r="O898" i="2" s="1" a="1"/>
  <c r="O898" i="2" s="1"/>
  <c r="N899" i="2"/>
  <c r="O899" i="2" s="1" a="1"/>
  <c r="O899" i="2" s="1"/>
  <c r="N900" i="2"/>
  <c r="O900" i="2" s="1" a="1"/>
  <c r="O900" i="2" s="1"/>
  <c r="N901" i="2"/>
  <c r="O901" i="2" s="1" a="1"/>
  <c r="O901" i="2" s="1"/>
  <c r="N902" i="2"/>
  <c r="O902" i="2" s="1" a="1"/>
  <c r="O902" i="2" s="1"/>
  <c r="N903" i="2"/>
  <c r="O903" i="2" s="1" a="1"/>
  <c r="O903" i="2" s="1"/>
  <c r="N904" i="2"/>
  <c r="O904" i="2" s="1" a="1"/>
  <c r="O904" i="2" s="1"/>
  <c r="N905" i="2"/>
  <c r="N906" i="2"/>
  <c r="O906" i="2" s="1" a="1"/>
  <c r="O906" i="2" s="1"/>
  <c r="N907" i="2"/>
  <c r="O907" i="2" s="1" a="1"/>
  <c r="O907" i="2" s="1"/>
  <c r="N908" i="2"/>
  <c r="O908" i="2" s="1" a="1"/>
  <c r="O908" i="2" s="1"/>
  <c r="N909" i="2"/>
  <c r="O909" i="2" s="1" a="1"/>
  <c r="O909" i="2" s="1"/>
  <c r="N910" i="2"/>
  <c r="O910" i="2" s="1" a="1"/>
  <c r="N911" i="2"/>
  <c r="O911" i="2" s="1" a="1"/>
  <c r="O911" i="2" s="1"/>
  <c r="N912" i="2"/>
  <c r="O912" i="2" s="1" a="1"/>
  <c r="O912" i="2" s="1"/>
  <c r="N913" i="2"/>
  <c r="O913" i="2" s="1" a="1"/>
  <c r="O913" i="2" s="1"/>
  <c r="N914" i="2"/>
  <c r="O914" i="2" s="1" a="1"/>
  <c r="O914" i="2" s="1"/>
  <c r="N915" i="2"/>
  <c r="O915" i="2" s="1" a="1"/>
  <c r="O915" i="2" s="1"/>
  <c r="N916" i="2"/>
  <c r="O916" i="2" s="1" a="1"/>
  <c r="O916" i="2" s="1"/>
  <c r="N917" i="2"/>
  <c r="O917" i="2" s="1" a="1"/>
  <c r="O917" i="2" s="1"/>
  <c r="N918" i="2"/>
  <c r="O918" i="2" s="1" a="1"/>
  <c r="O918" i="2" s="1"/>
  <c r="N919" i="2"/>
  <c r="O919" i="2" s="1" a="1"/>
  <c r="O919" i="2" s="1"/>
  <c r="N920" i="2"/>
  <c r="O920" i="2" s="1" a="1"/>
  <c r="O920" i="2" s="1"/>
  <c r="N921" i="2"/>
  <c r="O921" i="2" s="1" a="1"/>
  <c r="O921" i="2" s="1"/>
  <c r="N922" i="2"/>
  <c r="O922" i="2" s="1" a="1"/>
  <c r="O922" i="2" s="1"/>
  <c r="N923" i="2"/>
  <c r="O923" i="2" s="1" a="1"/>
  <c r="O923" i="2" s="1"/>
  <c r="N924" i="2"/>
  <c r="O924" i="2" s="1" a="1"/>
  <c r="O924" i="2" s="1"/>
  <c r="N925" i="2"/>
  <c r="O925" i="2" s="1" a="1"/>
  <c r="O925" i="2" s="1"/>
  <c r="N926" i="2"/>
  <c r="N927" i="2"/>
  <c r="O927" i="2" s="1" a="1"/>
  <c r="O927" i="2" s="1"/>
  <c r="N928" i="2"/>
  <c r="O928" i="2" s="1" a="1"/>
  <c r="O928" i="2" s="1"/>
  <c r="N929" i="2"/>
  <c r="N930" i="2"/>
  <c r="O930" i="2" s="1" a="1"/>
  <c r="O930" i="2" s="1"/>
  <c r="N931" i="2"/>
  <c r="O931" i="2" s="1" a="1"/>
  <c r="O931" i="2" s="1"/>
  <c r="N932" i="2"/>
  <c r="O932" i="2" s="1" a="1"/>
  <c r="O932" i="2" s="1"/>
  <c r="N933" i="2"/>
  <c r="O933" i="2" s="1" a="1"/>
  <c r="O933" i="2" s="1"/>
  <c r="N934" i="2"/>
  <c r="O934" i="2" s="1" a="1"/>
  <c r="O934" i="2" s="1"/>
  <c r="N935" i="2"/>
  <c r="O935" i="2" s="1" a="1"/>
  <c r="O935" i="2" s="1"/>
  <c r="N936" i="2"/>
  <c r="O936" i="2" s="1" a="1"/>
  <c r="O936" i="2" s="1"/>
  <c r="N937" i="2"/>
  <c r="O937" i="2" s="1" a="1"/>
  <c r="O937" i="2" s="1"/>
  <c r="N938" i="2"/>
  <c r="O938" i="2" s="1" a="1"/>
  <c r="O938" i="2" s="1"/>
  <c r="N939" i="2"/>
  <c r="O939" i="2" s="1" a="1"/>
  <c r="O939" i="2" s="1"/>
  <c r="N940" i="2"/>
  <c r="O940" i="2" s="1" a="1"/>
  <c r="O940" i="2" s="1"/>
  <c r="N941" i="2"/>
  <c r="O941" i="2" s="1" a="1"/>
  <c r="O941" i="2" s="1"/>
  <c r="N942" i="2"/>
  <c r="N943" i="2"/>
  <c r="O943" i="2" s="1" a="1"/>
  <c r="O943" i="2" s="1"/>
  <c r="N944" i="2"/>
  <c r="O944" i="2" s="1" a="1"/>
  <c r="O944" i="2" s="1"/>
  <c r="N945" i="2"/>
  <c r="N946" i="2"/>
  <c r="O946" i="2" s="1" a="1"/>
  <c r="O946" i="2" s="1"/>
  <c r="N947" i="2"/>
  <c r="O947" i="2" s="1" a="1"/>
  <c r="O947" i="2" s="1"/>
  <c r="N948" i="2"/>
  <c r="O948" i="2" s="1" a="1"/>
  <c r="O948" i="2" s="1"/>
  <c r="N949" i="2"/>
  <c r="O949" i="2" s="1" a="1"/>
  <c r="O949" i="2" s="1"/>
  <c r="N950" i="2"/>
  <c r="O950" i="2" s="1" a="1"/>
  <c r="O950" i="2" s="1"/>
  <c r="N951" i="2"/>
  <c r="O951" i="2" s="1" a="1"/>
  <c r="O951" i="2" s="1"/>
  <c r="N952" i="2"/>
  <c r="O952" i="2" s="1" a="1"/>
  <c r="O952" i="2" s="1"/>
  <c r="N953" i="2"/>
  <c r="O953" i="2" s="1" a="1"/>
  <c r="O953" i="2" s="1"/>
  <c r="N954" i="2"/>
  <c r="O954" i="2" s="1" a="1"/>
  <c r="O954" i="2" s="1"/>
  <c r="N955" i="2"/>
  <c r="O955" i="2" s="1" a="1"/>
  <c r="O955" i="2" s="1"/>
  <c r="N956" i="2"/>
  <c r="O956" i="2" s="1" a="1"/>
  <c r="O956" i="2" s="1"/>
  <c r="N957" i="2"/>
  <c r="O957" i="2" s="1" a="1"/>
  <c r="O957" i="2" s="1"/>
  <c r="N958" i="2"/>
  <c r="N959" i="2"/>
  <c r="O959" i="2" s="1" a="1"/>
  <c r="O959" i="2" s="1"/>
  <c r="N960" i="2"/>
  <c r="O960" i="2" s="1" a="1"/>
  <c r="O960" i="2" s="1"/>
  <c r="N961" i="2"/>
  <c r="N962" i="2"/>
  <c r="O962" i="2" s="1" a="1"/>
  <c r="O962" i="2" s="1"/>
  <c r="N963" i="2"/>
  <c r="O963" i="2" s="1" a="1"/>
  <c r="O963" i="2" s="1"/>
  <c r="N964" i="2"/>
  <c r="O964" i="2" s="1" a="1"/>
  <c r="O964" i="2" s="1"/>
  <c r="N965" i="2"/>
  <c r="O965" i="2" s="1" a="1"/>
  <c r="O965" i="2" s="1"/>
  <c r="N966" i="2"/>
  <c r="O966" i="2" s="1" a="1"/>
  <c r="O966" i="2" s="1"/>
  <c r="N967" i="2"/>
  <c r="O967" i="2" s="1" a="1"/>
  <c r="O967" i="2" s="1"/>
  <c r="N968" i="2"/>
  <c r="O968" i="2" s="1" a="1"/>
  <c r="O968" i="2" s="1"/>
  <c r="N969" i="2"/>
  <c r="O969" i="2" s="1" a="1"/>
  <c r="O969" i="2" s="1"/>
  <c r="N970" i="2"/>
  <c r="O970" i="2" s="1" a="1"/>
  <c r="O970" i="2" s="1"/>
  <c r="N971" i="2"/>
  <c r="O971" i="2" s="1" a="1"/>
  <c r="O971" i="2" s="1"/>
  <c r="N972" i="2"/>
  <c r="O972" i="2" s="1" a="1"/>
  <c r="O972" i="2" s="1"/>
  <c r="N973" i="2"/>
  <c r="O973" i="2" s="1" a="1"/>
  <c r="O973" i="2" s="1"/>
  <c r="N974" i="2"/>
  <c r="N975" i="2"/>
  <c r="O975" i="2" s="1" a="1"/>
  <c r="O975" i="2" s="1"/>
  <c r="N976" i="2"/>
  <c r="O976" i="2" s="1" a="1"/>
  <c r="O976" i="2" s="1"/>
  <c r="N977" i="2"/>
  <c r="N978" i="2"/>
  <c r="O978" i="2" s="1" a="1"/>
  <c r="O978" i="2" s="1"/>
  <c r="N979" i="2"/>
  <c r="O979" i="2" s="1" a="1"/>
  <c r="O979" i="2" s="1"/>
  <c r="N980" i="2"/>
  <c r="O980" i="2" s="1" a="1"/>
  <c r="O980" i="2" s="1"/>
  <c r="N981" i="2"/>
  <c r="O981" i="2" s="1" a="1"/>
  <c r="O981" i="2" s="1"/>
  <c r="N982" i="2"/>
  <c r="O982" i="2" s="1" a="1"/>
  <c r="O982" i="2" s="1"/>
  <c r="N983" i="2"/>
  <c r="O983" i="2" s="1" a="1"/>
  <c r="O983" i="2" s="1"/>
  <c r="N984" i="2"/>
  <c r="O984" i="2" s="1" a="1"/>
  <c r="O984" i="2" s="1"/>
  <c r="N985" i="2"/>
  <c r="O985" i="2" s="1" a="1"/>
  <c r="O985" i="2" s="1"/>
  <c r="N986" i="2"/>
  <c r="O986" i="2" s="1" a="1"/>
  <c r="O986" i="2" s="1"/>
  <c r="N987" i="2"/>
  <c r="O987" i="2" s="1" a="1"/>
  <c r="O987" i="2" s="1"/>
  <c r="N988" i="2"/>
  <c r="O988" i="2" s="1" a="1"/>
  <c r="O988" i="2" s="1"/>
  <c r="N989" i="2"/>
  <c r="O989" i="2" s="1" a="1"/>
  <c r="O989" i="2" s="1"/>
  <c r="N990" i="2"/>
  <c r="N991" i="2"/>
  <c r="O991" i="2" s="1" a="1"/>
  <c r="O991" i="2" s="1"/>
  <c r="N992" i="2"/>
  <c r="O992" i="2" s="1" a="1"/>
  <c r="O992" i="2" s="1"/>
  <c r="N993" i="2"/>
  <c r="N994" i="2"/>
  <c r="O994" i="2" s="1" a="1"/>
  <c r="O994" i="2" s="1"/>
  <c r="N995" i="2"/>
  <c r="O995" i="2" s="1" a="1"/>
  <c r="O995" i="2" s="1"/>
  <c r="N996" i="2"/>
  <c r="O996" i="2" s="1" a="1"/>
  <c r="O996" i="2" s="1"/>
  <c r="N997" i="2"/>
  <c r="O997" i="2" s="1" a="1"/>
  <c r="O997" i="2" s="1"/>
  <c r="N998" i="2"/>
  <c r="O998" i="2" s="1" a="1"/>
  <c r="O998" i="2" s="1"/>
  <c r="N999" i="2"/>
  <c r="O999" i="2" s="1" a="1"/>
  <c r="O999" i="2" s="1"/>
  <c r="N1000" i="2"/>
  <c r="O1000" i="2" s="1" a="1"/>
  <c r="O1000" i="2" s="1"/>
  <c r="N1001" i="2"/>
  <c r="O1001" i="2" s="1" a="1"/>
  <c r="O1001" i="2" s="1"/>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P502" i="2"/>
  <c r="P503" i="2"/>
  <c r="P504" i="2"/>
  <c r="P505" i="2"/>
  <c r="P506" i="2"/>
  <c r="P507" i="2"/>
  <c r="P508" i="2"/>
  <c r="P509" i="2"/>
  <c r="P510" i="2"/>
  <c r="P511" i="2"/>
  <c r="P512" i="2"/>
  <c r="P513" i="2"/>
  <c r="P514" i="2"/>
  <c r="P515" i="2"/>
  <c r="P516" i="2"/>
  <c r="P517" i="2"/>
  <c r="P518" i="2"/>
  <c r="P519" i="2"/>
  <c r="P520" i="2"/>
  <c r="P521" i="2"/>
  <c r="P522" i="2"/>
  <c r="P523" i="2"/>
  <c r="P524" i="2"/>
  <c r="P525" i="2"/>
  <c r="P526" i="2"/>
  <c r="P527" i="2"/>
  <c r="P528" i="2"/>
  <c r="P529" i="2"/>
  <c r="P530" i="2"/>
  <c r="P531" i="2"/>
  <c r="P532" i="2"/>
  <c r="P533" i="2"/>
  <c r="P534" i="2"/>
  <c r="P535" i="2"/>
  <c r="P536" i="2"/>
  <c r="P537" i="2"/>
  <c r="P538" i="2"/>
  <c r="P539" i="2"/>
  <c r="P540" i="2"/>
  <c r="P541" i="2"/>
  <c r="P542" i="2"/>
  <c r="P543" i="2"/>
  <c r="P544" i="2"/>
  <c r="P545" i="2"/>
  <c r="P546" i="2"/>
  <c r="P547" i="2"/>
  <c r="P548" i="2"/>
  <c r="P549" i="2"/>
  <c r="P550" i="2"/>
  <c r="P551" i="2"/>
  <c r="P552" i="2"/>
  <c r="P553" i="2"/>
  <c r="P554" i="2"/>
  <c r="P555" i="2"/>
  <c r="P556" i="2"/>
  <c r="P557" i="2"/>
  <c r="P558" i="2"/>
  <c r="P559" i="2"/>
  <c r="P560" i="2"/>
  <c r="P561" i="2"/>
  <c r="P562" i="2"/>
  <c r="P563" i="2"/>
  <c r="P564" i="2"/>
  <c r="P565" i="2"/>
  <c r="P566" i="2"/>
  <c r="P567" i="2"/>
  <c r="P568" i="2"/>
  <c r="P569" i="2"/>
  <c r="P570" i="2"/>
  <c r="P571" i="2"/>
  <c r="P572" i="2"/>
  <c r="P573" i="2"/>
  <c r="P574" i="2"/>
  <c r="P575" i="2"/>
  <c r="P576" i="2"/>
  <c r="P577" i="2"/>
  <c r="P578" i="2"/>
  <c r="P579" i="2"/>
  <c r="P580" i="2"/>
  <c r="P581" i="2"/>
  <c r="P582" i="2"/>
  <c r="P583" i="2"/>
  <c r="P584" i="2"/>
  <c r="P585" i="2"/>
  <c r="P586" i="2"/>
  <c r="P587" i="2"/>
  <c r="P588" i="2"/>
  <c r="P589" i="2"/>
  <c r="P590" i="2"/>
  <c r="P591" i="2"/>
  <c r="P592" i="2"/>
  <c r="P593" i="2"/>
  <c r="P594" i="2"/>
  <c r="P595" i="2"/>
  <c r="P596" i="2"/>
  <c r="P597" i="2"/>
  <c r="P598" i="2"/>
  <c r="P599" i="2"/>
  <c r="P600" i="2"/>
  <c r="P601" i="2"/>
  <c r="P602" i="2"/>
  <c r="P603" i="2"/>
  <c r="P604" i="2"/>
  <c r="P605" i="2"/>
  <c r="P606" i="2"/>
  <c r="P607" i="2"/>
  <c r="P608" i="2"/>
  <c r="P609" i="2"/>
  <c r="P610" i="2"/>
  <c r="P611" i="2"/>
  <c r="P612" i="2"/>
  <c r="P613" i="2"/>
  <c r="P614" i="2"/>
  <c r="P615" i="2"/>
  <c r="P616" i="2"/>
  <c r="P617" i="2"/>
  <c r="P618" i="2"/>
  <c r="P619" i="2"/>
  <c r="P620" i="2"/>
  <c r="P621" i="2"/>
  <c r="P622" i="2"/>
  <c r="P623" i="2"/>
  <c r="P624" i="2"/>
  <c r="P625" i="2"/>
  <c r="P626" i="2"/>
  <c r="P627" i="2"/>
  <c r="P628" i="2"/>
  <c r="P629" i="2"/>
  <c r="P630" i="2"/>
  <c r="P631" i="2"/>
  <c r="P632" i="2"/>
  <c r="P633" i="2"/>
  <c r="P634" i="2"/>
  <c r="P635" i="2"/>
  <c r="P636" i="2"/>
  <c r="P637" i="2"/>
  <c r="P638" i="2"/>
  <c r="P639" i="2"/>
  <c r="P640" i="2"/>
  <c r="P641" i="2"/>
  <c r="P642" i="2"/>
  <c r="P643" i="2"/>
  <c r="P644" i="2"/>
  <c r="P645" i="2"/>
  <c r="P646" i="2"/>
  <c r="P647" i="2"/>
  <c r="P648" i="2"/>
  <c r="P649" i="2"/>
  <c r="P650" i="2"/>
  <c r="P651" i="2"/>
  <c r="P652" i="2"/>
  <c r="P653" i="2"/>
  <c r="P654" i="2"/>
  <c r="P655" i="2"/>
  <c r="P656" i="2"/>
  <c r="P657" i="2"/>
  <c r="P658" i="2"/>
  <c r="P659" i="2"/>
  <c r="P660" i="2"/>
  <c r="P661" i="2"/>
  <c r="P662" i="2"/>
  <c r="P663" i="2"/>
  <c r="P664" i="2"/>
  <c r="P665" i="2"/>
  <c r="P666" i="2"/>
  <c r="P667" i="2"/>
  <c r="P668" i="2"/>
  <c r="P669" i="2"/>
  <c r="P670" i="2"/>
  <c r="P671" i="2"/>
  <c r="P672" i="2"/>
  <c r="P673" i="2"/>
  <c r="P674" i="2"/>
  <c r="P675" i="2"/>
  <c r="P676" i="2"/>
  <c r="P677" i="2"/>
  <c r="P678" i="2"/>
  <c r="P679" i="2"/>
  <c r="P680" i="2"/>
  <c r="P681" i="2"/>
  <c r="P682" i="2"/>
  <c r="P683" i="2"/>
  <c r="P684" i="2"/>
  <c r="P685" i="2"/>
  <c r="P686" i="2"/>
  <c r="P687" i="2"/>
  <c r="P688" i="2"/>
  <c r="P689" i="2"/>
  <c r="P690" i="2"/>
  <c r="P691" i="2"/>
  <c r="P692" i="2"/>
  <c r="P693" i="2"/>
  <c r="P694" i="2"/>
  <c r="P695" i="2"/>
  <c r="P696" i="2"/>
  <c r="P697" i="2"/>
  <c r="P698" i="2"/>
  <c r="P699" i="2"/>
  <c r="P700" i="2"/>
  <c r="P701" i="2"/>
  <c r="P702" i="2"/>
  <c r="P703" i="2"/>
  <c r="P704" i="2"/>
  <c r="P705" i="2"/>
  <c r="P706" i="2"/>
  <c r="P707" i="2"/>
  <c r="P708" i="2"/>
  <c r="P709" i="2"/>
  <c r="P710" i="2"/>
  <c r="P711" i="2"/>
  <c r="P712" i="2"/>
  <c r="P713" i="2"/>
  <c r="P714" i="2"/>
  <c r="P715" i="2"/>
  <c r="P716" i="2"/>
  <c r="P717" i="2"/>
  <c r="P718" i="2"/>
  <c r="P719" i="2"/>
  <c r="P720" i="2"/>
  <c r="P721" i="2"/>
  <c r="P722" i="2"/>
  <c r="P723" i="2"/>
  <c r="P724" i="2"/>
  <c r="P725" i="2"/>
  <c r="P726" i="2"/>
  <c r="P727" i="2"/>
  <c r="P728" i="2"/>
  <c r="P729" i="2"/>
  <c r="P730" i="2"/>
  <c r="P731" i="2"/>
  <c r="P732" i="2"/>
  <c r="P733" i="2"/>
  <c r="P734" i="2"/>
  <c r="P735" i="2"/>
  <c r="P736" i="2"/>
  <c r="P737" i="2"/>
  <c r="P738" i="2"/>
  <c r="P739" i="2"/>
  <c r="P740" i="2"/>
  <c r="P741" i="2"/>
  <c r="P742" i="2"/>
  <c r="P743" i="2"/>
  <c r="P744" i="2"/>
  <c r="P745" i="2"/>
  <c r="P746" i="2"/>
  <c r="P747" i="2"/>
  <c r="P748" i="2"/>
  <c r="P749" i="2"/>
  <c r="P750" i="2"/>
  <c r="P751" i="2"/>
  <c r="P752" i="2"/>
  <c r="P753" i="2"/>
  <c r="P754" i="2"/>
  <c r="P755" i="2"/>
  <c r="P756" i="2"/>
  <c r="P757" i="2"/>
  <c r="P758" i="2"/>
  <c r="P759" i="2"/>
  <c r="P760" i="2"/>
  <c r="P761" i="2"/>
  <c r="P762" i="2"/>
  <c r="P763" i="2"/>
  <c r="P764" i="2"/>
  <c r="P765" i="2"/>
  <c r="P766" i="2"/>
  <c r="P767" i="2"/>
  <c r="P768" i="2"/>
  <c r="P769" i="2"/>
  <c r="P770" i="2"/>
  <c r="P771" i="2"/>
  <c r="P772" i="2"/>
  <c r="P773" i="2"/>
  <c r="P774" i="2"/>
  <c r="P775" i="2"/>
  <c r="P776" i="2"/>
  <c r="P777" i="2"/>
  <c r="P778" i="2"/>
  <c r="P779" i="2"/>
  <c r="P780" i="2"/>
  <c r="P781" i="2"/>
  <c r="P782" i="2"/>
  <c r="P783" i="2"/>
  <c r="P784" i="2"/>
  <c r="P785" i="2"/>
  <c r="P786" i="2"/>
  <c r="P787" i="2"/>
  <c r="P788" i="2"/>
  <c r="P789" i="2"/>
  <c r="P790" i="2"/>
  <c r="P791" i="2"/>
  <c r="P792" i="2"/>
  <c r="P793" i="2"/>
  <c r="P794" i="2"/>
  <c r="P795" i="2"/>
  <c r="P796" i="2"/>
  <c r="P797" i="2"/>
  <c r="P798" i="2"/>
  <c r="P799" i="2"/>
  <c r="P800" i="2"/>
  <c r="P801" i="2"/>
  <c r="P802" i="2"/>
  <c r="P803" i="2"/>
  <c r="P804" i="2"/>
  <c r="P805" i="2"/>
  <c r="P806" i="2"/>
  <c r="P807" i="2"/>
  <c r="P808" i="2"/>
  <c r="P809" i="2"/>
  <c r="P810" i="2"/>
  <c r="P811" i="2"/>
  <c r="P812" i="2"/>
  <c r="P813" i="2"/>
  <c r="P814" i="2"/>
  <c r="P815" i="2"/>
  <c r="P816" i="2"/>
  <c r="P817" i="2"/>
  <c r="P818" i="2"/>
  <c r="P819" i="2"/>
  <c r="P820" i="2"/>
  <c r="P821" i="2"/>
  <c r="P822" i="2"/>
  <c r="P823" i="2"/>
  <c r="P824" i="2"/>
  <c r="P825" i="2"/>
  <c r="P826" i="2"/>
  <c r="P827" i="2"/>
  <c r="P828" i="2"/>
  <c r="P829" i="2"/>
  <c r="P830" i="2"/>
  <c r="P831" i="2"/>
  <c r="P832" i="2"/>
  <c r="P833" i="2"/>
  <c r="P834" i="2"/>
  <c r="P835" i="2"/>
  <c r="P836" i="2"/>
  <c r="P837" i="2"/>
  <c r="P838" i="2"/>
  <c r="P839" i="2"/>
  <c r="P840" i="2"/>
  <c r="P841" i="2"/>
  <c r="P842" i="2"/>
  <c r="P843" i="2"/>
  <c r="P844" i="2"/>
  <c r="P845" i="2"/>
  <c r="P846" i="2"/>
  <c r="P847" i="2"/>
  <c r="P848" i="2"/>
  <c r="P849" i="2"/>
  <c r="P850" i="2"/>
  <c r="P851" i="2"/>
  <c r="P852" i="2"/>
  <c r="P853" i="2"/>
  <c r="P854" i="2"/>
  <c r="P855" i="2"/>
  <c r="P856" i="2"/>
  <c r="P857" i="2"/>
  <c r="P858" i="2"/>
  <c r="P859" i="2"/>
  <c r="P860" i="2"/>
  <c r="P861" i="2"/>
  <c r="P862" i="2"/>
  <c r="P863" i="2"/>
  <c r="P864" i="2"/>
  <c r="P865" i="2"/>
  <c r="P866" i="2"/>
  <c r="P867" i="2"/>
  <c r="P868" i="2"/>
  <c r="P869" i="2"/>
  <c r="P870" i="2"/>
  <c r="P871" i="2"/>
  <c r="P872" i="2"/>
  <c r="P873" i="2"/>
  <c r="P874" i="2"/>
  <c r="P875" i="2"/>
  <c r="P876" i="2"/>
  <c r="P877" i="2"/>
  <c r="P878" i="2"/>
  <c r="P879" i="2"/>
  <c r="P880" i="2"/>
  <c r="P881" i="2"/>
  <c r="P882" i="2"/>
  <c r="P883" i="2"/>
  <c r="P884" i="2"/>
  <c r="P885" i="2"/>
  <c r="P886" i="2"/>
  <c r="P887" i="2"/>
  <c r="P888" i="2"/>
  <c r="P889" i="2"/>
  <c r="P890" i="2"/>
  <c r="P891" i="2"/>
  <c r="P892" i="2"/>
  <c r="P893" i="2"/>
  <c r="P894" i="2"/>
  <c r="P895" i="2"/>
  <c r="P896" i="2"/>
  <c r="P897" i="2"/>
  <c r="P898" i="2"/>
  <c r="P899" i="2"/>
  <c r="P900" i="2"/>
  <c r="P901" i="2"/>
  <c r="P902" i="2"/>
  <c r="P903" i="2"/>
  <c r="P904" i="2"/>
  <c r="P905" i="2"/>
  <c r="P906" i="2"/>
  <c r="P907" i="2"/>
  <c r="P908" i="2"/>
  <c r="P909" i="2"/>
  <c r="P910" i="2"/>
  <c r="P911" i="2"/>
  <c r="P912" i="2"/>
  <c r="P913" i="2"/>
  <c r="P914" i="2"/>
  <c r="P915" i="2"/>
  <c r="P916" i="2"/>
  <c r="P917" i="2"/>
  <c r="P918" i="2"/>
  <c r="P919" i="2"/>
  <c r="P920" i="2"/>
  <c r="P921" i="2"/>
  <c r="P922" i="2"/>
  <c r="P923" i="2"/>
  <c r="P924" i="2"/>
  <c r="P925" i="2"/>
  <c r="P926" i="2"/>
  <c r="P927" i="2"/>
  <c r="P928" i="2"/>
  <c r="P929" i="2"/>
  <c r="P930" i="2"/>
  <c r="P931" i="2"/>
  <c r="P932" i="2"/>
  <c r="P933" i="2"/>
  <c r="P934" i="2"/>
  <c r="P935" i="2"/>
  <c r="P936" i="2"/>
  <c r="P937" i="2"/>
  <c r="P938" i="2"/>
  <c r="P939" i="2"/>
  <c r="P940" i="2"/>
  <c r="P941" i="2"/>
  <c r="P942" i="2"/>
  <c r="P943" i="2"/>
  <c r="P944" i="2"/>
  <c r="P945" i="2"/>
  <c r="P946" i="2"/>
  <c r="P947" i="2"/>
  <c r="P948" i="2"/>
  <c r="P949" i="2"/>
  <c r="P950" i="2"/>
  <c r="P951" i="2"/>
  <c r="P952" i="2"/>
  <c r="P953" i="2"/>
  <c r="P954" i="2"/>
  <c r="P955" i="2"/>
  <c r="P956" i="2"/>
  <c r="P957" i="2"/>
  <c r="P958" i="2"/>
  <c r="P959" i="2"/>
  <c r="P960" i="2"/>
  <c r="P961" i="2"/>
  <c r="P962" i="2"/>
  <c r="P963" i="2"/>
  <c r="P964" i="2"/>
  <c r="P965" i="2"/>
  <c r="P966" i="2"/>
  <c r="P967" i="2"/>
  <c r="P968" i="2"/>
  <c r="P969" i="2"/>
  <c r="P970" i="2"/>
  <c r="P971" i="2"/>
  <c r="P972" i="2"/>
  <c r="P973" i="2"/>
  <c r="P974" i="2"/>
  <c r="P975" i="2"/>
  <c r="P976" i="2"/>
  <c r="P977" i="2"/>
  <c r="P978" i="2"/>
  <c r="P979" i="2"/>
  <c r="P980" i="2"/>
  <c r="P981" i="2"/>
  <c r="P982" i="2"/>
  <c r="P983" i="2"/>
  <c r="P984" i="2"/>
  <c r="P985" i="2"/>
  <c r="P986" i="2"/>
  <c r="P987" i="2"/>
  <c r="P988" i="2"/>
  <c r="P989" i="2"/>
  <c r="P990" i="2"/>
  <c r="P991" i="2"/>
  <c r="P992" i="2"/>
  <c r="P993" i="2"/>
  <c r="P994" i="2"/>
  <c r="P995" i="2"/>
  <c r="P996" i="2"/>
  <c r="P997" i="2"/>
  <c r="P998" i="2"/>
  <c r="P999" i="2"/>
  <c r="P1000" i="2"/>
  <c r="P1001" i="2"/>
  <c r="M2" i="2"/>
  <c r="M3" i="2"/>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FE95DF9-642C-4F5F-BA7F-420E05A52BB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1E2B985E-0B8D-4046-8D23-342BA1E97CBE}" name="WorksheetConnection_Inventory_Management_Data.xlsx!Table1" type="102" refreshedVersion="8" minRefreshableVersion="5">
    <extLst>
      <ext xmlns:x15="http://schemas.microsoft.com/office/spreadsheetml/2010/11/main" uri="{DE250136-89BD-433C-8126-D09CA5730AF9}">
        <x15:connection id="Table1" autoDelete="1">
          <x15:rangePr sourceName="_xlcn.WorksheetConnection_Inventory_Management_Data.xlsxTable1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<sst xmlns="http://schemas.openxmlformats.org/spreadsheetml/2006/main" count="10096" uniqueCount="88">
  <si>
    <t>Item_ID</t>
  </si>
  <si>
    <t>Item_Name</t>
  </si>
  <si>
    <t>Category</t>
  </si>
  <si>
    <t>Warehouse</t>
  </si>
  <si>
    <t>Supplier</t>
  </si>
  <si>
    <t>Stock_Quantity</t>
  </si>
  <si>
    <t>Unit_Cost</t>
  </si>
  <si>
    <t>Reorder_Level</t>
  </si>
  <si>
    <t>Last_Restock_Date</t>
  </si>
  <si>
    <t>Status</t>
  </si>
  <si>
    <t>Notebook</t>
  </si>
  <si>
    <t>Stationery</t>
  </si>
  <si>
    <t>California</t>
  </si>
  <si>
    <t>Urban Retail Partners</t>
  </si>
  <si>
    <t>Sufficient</t>
  </si>
  <si>
    <t>Rice</t>
  </si>
  <si>
    <t>Groceries</t>
  </si>
  <si>
    <t>New York</t>
  </si>
  <si>
    <t>Prime Wholesale Co.</t>
  </si>
  <si>
    <t>Tablet</t>
  </si>
  <si>
    <t>Electronics</t>
  </si>
  <si>
    <t>Florida</t>
  </si>
  <si>
    <t>Printer Paper</t>
  </si>
  <si>
    <t>Wireless Mouse</t>
  </si>
  <si>
    <t>Illinois</t>
  </si>
  <si>
    <t>Office Chair</t>
  </si>
  <si>
    <t>Furniture</t>
  </si>
  <si>
    <t>TechSource Inc.</t>
  </si>
  <si>
    <t>Reorder Needed</t>
  </si>
  <si>
    <t>Cooking Oil</t>
  </si>
  <si>
    <t>Texas</t>
  </si>
  <si>
    <t>Monitor</t>
  </si>
  <si>
    <t>Elite Traders Group</t>
  </si>
  <si>
    <t>Hoodie</t>
  </si>
  <si>
    <t>Clothing</t>
  </si>
  <si>
    <t>Pen</t>
  </si>
  <si>
    <t>Stapler</t>
  </si>
  <si>
    <t>National Distribution LLC</t>
  </si>
  <si>
    <t>Filing Cabinet</t>
  </si>
  <si>
    <t>Global Supplies Ltd.</t>
  </si>
  <si>
    <t>Sneakers</t>
  </si>
  <si>
    <t>Sugar</t>
  </si>
  <si>
    <t>Pasta</t>
  </si>
  <si>
    <t>Desk</t>
  </si>
  <si>
    <t>T-Shirt</t>
  </si>
  <si>
    <t>Conference Table</t>
  </si>
  <si>
    <t>Jeans</t>
  </si>
  <si>
    <t>Laptop</t>
  </si>
  <si>
    <t>Smartphone</t>
  </si>
  <si>
    <t>Milk</t>
  </si>
  <si>
    <t>Jacket</t>
  </si>
  <si>
    <t>Marker</t>
  </si>
  <si>
    <t>Cereal</t>
  </si>
  <si>
    <t>Bookshelf</t>
  </si>
  <si>
    <t>Headphones</t>
  </si>
  <si>
    <t xml:space="preserve"> </t>
  </si>
  <si>
    <t>Year</t>
  </si>
  <si>
    <t>Month_Year</t>
  </si>
  <si>
    <t>Month_Label</t>
  </si>
  <si>
    <t>Month_Number</t>
  </si>
  <si>
    <t>Quarter</t>
  </si>
  <si>
    <t>Total Stock Quantity</t>
  </si>
  <si>
    <t>Average Unit Cost ($)</t>
  </si>
  <si>
    <t>[Green]▲ 0.00%;[Red]▼ 0.00%;0.00%</t>
  </si>
  <si>
    <t>Grand Total</t>
  </si>
  <si>
    <t>Estimated_Restocked_Qty</t>
  </si>
  <si>
    <t>Expected Restocked Qty</t>
  </si>
  <si>
    <t>Estimated Restocked Qty</t>
  </si>
  <si>
    <t>Apr</t>
  </si>
  <si>
    <t>Aug</t>
  </si>
  <si>
    <t>Dec</t>
  </si>
  <si>
    <t>Feb</t>
  </si>
  <si>
    <t>Jan</t>
  </si>
  <si>
    <t>Jul</t>
  </si>
  <si>
    <t>Jun</t>
  </si>
  <si>
    <t>Mar</t>
  </si>
  <si>
    <t>May</t>
  </si>
  <si>
    <t>Nov</t>
  </si>
  <si>
    <t>Oct</t>
  </si>
  <si>
    <t>Sep</t>
  </si>
  <si>
    <t>Suppliers</t>
  </si>
  <si>
    <t>Month</t>
  </si>
  <si>
    <t>Items</t>
  </si>
  <si>
    <t>Stocked Qty</t>
  </si>
  <si>
    <t>Restocked Qty</t>
  </si>
  <si>
    <t>Avg Cost</t>
  </si>
  <si>
    <t>Stock Qty</t>
  </si>
  <si>
    <t>NAVIGATE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</si>
</sst>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yyyy\-mm\-dd\ h:mm:ss"/>
    <numFmt numFmtId="165" formatCode="_(* #,##0_);_(* \(#,##0\);_(* &quot;-&quot;??_);_(@_)"/>
    <numFmt numFmtId="166" formatCode="[&gt;=1000000]0.0,,&quot;M&quot;;[&gt;=1000]0.0,&quot;K&quot;;0"/>
    <numFmt numFmtId="167" formatCode="&quot;$&quot;#,##0.00"/>
  </numFmts>
  <fonts count="7" x14ac:knownFonts="1">
    <font>
      <sz val="11"/>
      <color theme="1"/>
      <name val="Calibri"/>
      <family val="2"/>
      <scheme val="minor"/>
    </font>
    <font>
      <sz val="11"/>
      <color theme="1"/>
      <name val="Calibri"/>
      <family val="2"/>
      <scheme val="minor"/>
    </font>
    <font>
      <b/>
      <sz val="11"/>
      <color theme="0"/>
      <name val="Calibri"/>
      <family val="2"/>
      <scheme val="minor"/>
    </font>
    <font>
      <sz val="11"/>
      <color theme="0"/>
      <name val="Calibri"/>
      <family val="2"/>
      <scheme val="minor"/>
    </font>
    <font>
      <sz val="11"/>
      <color theme="0" tint="-0.34998626667073579"/>
      <name val="Calibri"/>
      <family val="2"/>
      <scheme val="minor"/>
    </font>
    <font>
      <b/>
      <sz val="12"/>
      <color theme="0"/>
      <name val="Calibri"/>
      <family val="2"/>
      <scheme val="minor"/>
    </font>
    <font>
      <sz val="10"/>
      <color theme="1"/>
      <name val="Arial"/>
      <family val="2"/>
    </font>
  </fonts>
  <fills count="3">
    <fill>
      <patternFill patternType="none"/>
    </fill>
    <fill>
      <patternFill patternType="gray125"/>
    </fill>
    <fill>
      <patternFill patternType="solid">
        <fgColor rgb="FF4856F5"/>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20">
    <xf numFmtId="0" fontId="0" fillId="0" borderId="0" xfId="0"/>
    <xf numFmtId="164" fontId="0" fillId="0" borderId="0" xfId="0" applyNumberFormat="1"/>
    <xf numFmtId="1" fontId="0" fillId="0" borderId="0" xfId="0" applyNumberFormat="1"/>
    <xf numFmtId="44" fontId="0" fillId="0" borderId="0" xfId="1" applyFont="1"/>
    <xf numFmtId="14" fontId="0" fillId="0" borderId="0" xfId="0" applyNumberFormat="1"/>
    <xf numFmtId="49" fontId="0" fillId="0" borderId="0" xfId="0" applyNumberFormat="1"/>
    <xf numFmtId="165" fontId="0" fillId="0" borderId="0" xfId="0" applyNumberFormat="1"/>
    <xf numFmtId="10" fontId="0" fillId="0" borderId="0" xfId="0" applyNumberFormat="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3" fillId="0" borderId="0" xfId="0" applyFont="1"/>
    <xf numFmtId="0" fontId="4" fillId="0" borderId="0" xfId="0" applyFont="1"/>
    <xf numFmtId="0" fontId="5" fillId="2" borderId="0" xfId="0" applyFont="1" applyFill="1"/>
    <xf numFmtId="0" fontId="2" fillId="2" borderId="0" xfId="0" applyFont="1" applyFill="1" applyAlignment="1">
      <alignment horizontal="center"/>
    </xf>
    <xf numFmtId="165" fontId="6" fillId="0" borderId="0" xfId="0" applyNumberFormat="1" applyFont="1"/>
    <xf numFmtId="166" fontId="6" fillId="0" borderId="0" xfId="0" applyNumberFormat="1" applyFont="1"/>
    <xf numFmtId="167" fontId="6" fillId="0" borderId="0" xfId="0" applyNumberFormat="1" applyFont="1"/>
    <xf numFmtId="0" fontId="6" fillId="0" borderId="0" xfId="0" applyFont="1" applyAlignment="1">
      <alignment horizontal="left"/>
    </xf>
  </cellXfs>
  <cellStyles count="2">
    <cellStyle name="Currency" xfId="1" builtinId="4"/>
    <cellStyle name="Normal" xfId="0" builtinId="0"/>
  </cellStyles>
  <dxfs count="40">
    <dxf>
      <numFmt numFmtId="166" formatCode="[&gt;=1000000]0.0,,&quot;M&quot;;[&gt;=1000]0.0,&quot;K&quot;;0"/>
    </dxf>
    <dxf>
      <numFmt numFmtId="166" formatCode="[&gt;=1000000]0.0,,&quot;M&quot;;[&gt;=1000]0.0,&quot;K&quot;;0"/>
    </dxf>
    <dxf>
      <numFmt numFmtId="165" formatCode="_(* #,##0_);_(* \(#,##0\);_(* &quot;-&quot;??_);_(@_)"/>
    </dxf>
    <dxf>
      <font>
        <sz val="10"/>
      </font>
    </dxf>
    <dxf>
      <font>
        <sz val="10"/>
      </font>
    </dxf>
    <dxf>
      <font>
        <name val="Arial"/>
        <scheme val="none"/>
      </font>
    </dxf>
    <dxf>
      <font>
        <name val="Arial"/>
        <scheme val="none"/>
      </font>
    </dxf>
    <dxf>
      <numFmt numFmtId="167" formatCode="&quot;$&quot;#,##0.00"/>
    </dxf>
    <dxf>
      <numFmt numFmtId="166" formatCode="[&gt;=1000000]0.0,,&quot;M&quot;;[&gt;=1000]0.0,&quot;K&quot;;0"/>
    </dxf>
    <dxf>
      <numFmt numFmtId="166" formatCode="[&gt;=1000000]0.0,,&quot;M&quot;;[&gt;=1000]0.0,&quot;K&quot;;0"/>
    </dxf>
    <dxf>
      <numFmt numFmtId="166" formatCode="[&gt;=1000000]0.0,,&quot;M&quot;;[&gt;=1000]0.0,&quot;K&quot;;0"/>
    </dxf>
    <dxf>
      <numFmt numFmtId="167" formatCode="&quot;$&quot;#,##0.00"/>
    </dxf>
    <dxf>
      <numFmt numFmtId="165" formatCode="_(* #,##0_);_(* \(#,##0\);_(* &quot;-&quot;??_);_(@_)"/>
    </dxf>
    <dxf>
      <numFmt numFmtId="167" formatCode="&quot;$&quot;#,##0.00"/>
    </dxf>
    <dxf>
      <numFmt numFmtId="166" formatCode="[&gt;=1000000]0.0,,&quot;M&quot;;[&gt;=1000]0.0,&quot;K&quot;;0"/>
    </dxf>
    <dxf>
      <numFmt numFmtId="166" formatCode="[&gt;=1000000]0.0,,&quot;M&quot;;[&gt;=1000]0.0,&quot;K&quot;;0"/>
    </dxf>
    <dxf>
      <numFmt numFmtId="165" formatCode="_(* #,##0_);_(* \(#,##0\);_(* &quot;-&quot;??_);_(@_)"/>
    </dxf>
    <dxf>
      <numFmt numFmtId="166" formatCode="[&gt;=1000000]0.0,,&quot;M&quot;;[&gt;=1000]0.0,&quot;K&quot;;0"/>
    </dxf>
    <dxf>
      <numFmt numFmtId="165" formatCode="_(* #,##0_);_(* \(#,##0\);_(* &quot;-&quot;??_);_(@_)"/>
    </dxf>
    <dxf>
      <numFmt numFmtId="14" formatCode="0.00%"/>
    </dxf>
    <dxf>
      <numFmt numFmtId="165" formatCode="_(* #,##0_);_(* \(#,##0\);_(* &quot;-&quot;??_);_(@_)"/>
    </dxf>
    <dxf>
      <numFmt numFmtId="166" formatCode="[&gt;=1000000]0.0,,&quot;M&quot;;[&gt;=1000]0.0,&quot;K&quot;;0"/>
    </dxf>
    <dxf>
      <numFmt numFmtId="165" formatCode="_(* #,##0_);_(* \(#,##0\);_(* &quot;-&quot;??_);_(@_)"/>
    </dxf>
    <dxf>
      <numFmt numFmtId="0" formatCode="General"/>
    </dxf>
    <dxf>
      <numFmt numFmtId="0" formatCode="General"/>
    </dxf>
    <dxf>
      <numFmt numFmtId="0" formatCode="General"/>
    </dxf>
    <dxf>
      <numFmt numFmtId="0" formatCode="General"/>
    </dxf>
    <dxf>
      <numFmt numFmtId="0" formatCode="General"/>
    </dxf>
    <dxf>
      <numFmt numFmtId="30" formatCode="@"/>
    </dxf>
    <dxf>
      <numFmt numFmtId="19" formatCode="m/d/yyyy"/>
    </dxf>
    <dxf>
      <numFmt numFmtId="0" formatCode="General"/>
    </dxf>
    <dxf>
      <numFmt numFmtId="1" formatCode="0"/>
    </dxf>
    <dxf>
      <numFmt numFmtId="30" formatCode="@"/>
    </dxf>
    <dxf>
      <numFmt numFmtId="30" formatCode="@"/>
    </dxf>
    <dxf>
      <numFmt numFmtId="30" formatCode="@"/>
    </dxf>
    <dxf>
      <numFmt numFmtId="30" formatCode="@"/>
    </dxf>
    <dxf>
      <font>
        <color theme="0"/>
      </font>
      <fill>
        <patternFill>
          <bgColor rgb="FF0066FF"/>
        </patternFill>
      </fill>
    </dxf>
    <dxf>
      <font>
        <color theme="0"/>
      </font>
      <fill>
        <patternFill>
          <bgColor rgb="FF0066FF"/>
        </patternFill>
      </fill>
    </dxf>
    <dxf>
      <font>
        <color theme="1"/>
      </font>
      <fill>
        <patternFill>
          <bgColor theme="0" tint="-4.9989318521683403E-2"/>
        </patternFill>
      </fill>
    </dxf>
    <dxf>
      <font>
        <color theme="0"/>
      </font>
      <fill>
        <patternFill>
          <bgColor rgb="FF0066FF"/>
        </patternFill>
      </fill>
    </dxf>
  </dxfs>
  <tableStyles count="4" defaultTableStyle="TableStyleMedium9" defaultPivotStyle="PivotStyleLight16">
    <tableStyle name="PivotTable Style 1" table="0" count="1" xr9:uid="{B1718AC1-220C-4D26-9E99-5B8147AC57D5}">
      <tableStyleElement type="headerRow" dxfId="39"/>
    </tableStyle>
    <tableStyle name="PivotTable Style 2" table="0" count="3" xr9:uid="{DEFB652B-BB59-4DB6-B887-B56918C4626C}">
      <tableStyleElement type="wholeTable" dxfId="38"/>
      <tableStyleElement type="headerRow" dxfId="37"/>
      <tableStyleElement type="totalRow" dxfId="36"/>
    </tableStyle>
    <tableStyle name="Slicer Style 1" pivot="0" table="0" count="4" xr9:uid="{BB7FCF26-AE1B-43C3-9AAF-BBDBB6741E3D}"/>
    <tableStyle name="Slicer Style 2" pivot="0" table="0" count="4" xr9:uid="{053FB9CC-D918-4AD8-BDF4-BC32F4E13A34}"/>
  </tableStyles>
  <colors>
    <mruColors>
      <color rgb="FF4856F5"/>
      <color rgb="FFCDD1DA"/>
      <color rgb="FF0066FF"/>
      <color rgb="FF006BBC"/>
      <color rgb="FF1B1B1B"/>
      <color rgb="FFF7F8FC"/>
      <color rgb="FFEDEDF9"/>
    </mruColors>
  </colors>
  <extLst>
    <ext xmlns:x14="http://schemas.microsoft.com/office/spreadsheetml/2009/9/main" uri="{46F421CA-312F-682f-3DD2-61675219B42D}">
      <x14:dxfs count="8">
        <dxf>
          <fill>
            <patternFill>
              <bgColor theme="8" tint="0.39994506668294322"/>
            </patternFill>
          </fill>
        </dxf>
        <dxf>
          <font>
            <color theme="0"/>
          </font>
          <fill>
            <patternFill>
              <bgColor theme="8" tint="0.39994506668294322"/>
            </patternFill>
          </fill>
        </dxf>
        <dxf>
          <font>
            <color theme="0"/>
          </font>
          <fill>
            <patternFill>
              <bgColor rgb="FF0070C0"/>
            </patternFill>
          </fill>
        </dxf>
        <dxf>
          <font>
            <color theme="0"/>
          </font>
          <fill>
            <patternFill>
              <bgColor rgb="FF4856F5"/>
            </patternFill>
          </fill>
        </dxf>
        <dxf>
          <font>
            <color theme="1"/>
          </font>
          <fill>
            <patternFill>
              <bgColor theme="4" tint="0.59996337778862885"/>
            </patternFill>
          </fill>
        </dxf>
        <dxf>
          <font>
            <color theme="4"/>
          </font>
          <fill>
            <patternFill>
              <bgColor theme="4" tint="0.39994506668294322"/>
            </patternFill>
          </fill>
        </dxf>
        <dxf>
          <font>
            <color theme="0"/>
          </font>
          <fill>
            <patternFill>
              <bgColor rgb="FF4856F5"/>
            </patternFill>
          </fill>
        </dxf>
        <dxf>
          <font>
            <color theme="0"/>
          </font>
          <fill>
            <patternFill>
              <bgColor rgb="FF006BBC"/>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7"/>
            <x14:slicerStyleElement type="selectedItemWithData" dxfId="6"/>
            <x14:slicerStyleElement type="hoveredUnselectedItemWithData" dxfId="5"/>
            <x14:slicerStyleElement type="hoveredSelectedItemWithData" dxfId="4"/>
          </x14:slicerStyleElements>
        </x14:slicerStyle>
        <x14:slicerStyle name="Slicer Style 2">
          <x14:slicerStyleElements>
            <x14:slicerStyleElement type="unselectedItemWithData" dxfId="3"/>
            <x14:slicerStyleElement type="selectedItemWith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connections" Target="connections.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eetMetadata" Target="metadata.xml"/><Relationship Id="rId34" Type="http://schemas.openxmlformats.org/officeDocument/2006/relationships/customXml" Target="../customXml/item11.xml"/><Relationship Id="rId42" Type="http://schemas.openxmlformats.org/officeDocument/2006/relationships/customXml" Target="../customXml/item19.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microsoft.com/office/2007/relationships/slicerCache" Target="slicerCaches/slicerCache2.xml"/><Relationship Id="rId29"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45" Type="http://schemas.openxmlformats.org/officeDocument/2006/relationships/customXml" Target="../customXml/item22.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4.xml"/><Relationship Id="rId19" Type="http://schemas.openxmlformats.org/officeDocument/2006/relationships/styles" Target="styles.xml"/><Relationship Id="rId31" Type="http://schemas.openxmlformats.org/officeDocument/2006/relationships/customXml" Target="../customXml/item8.xml"/><Relationship Id="rId44" Type="http://schemas.openxmlformats.org/officeDocument/2006/relationships/customXml" Target="../customXml/item2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43" Type="http://schemas.openxmlformats.org/officeDocument/2006/relationships/customXml" Target="../customXml/item20.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theme" Target="theme/theme1.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20" Type="http://schemas.openxmlformats.org/officeDocument/2006/relationships/sharedStrings" Target="sharedStrings.xml"/><Relationship Id="rId41" Type="http://schemas.openxmlformats.org/officeDocument/2006/relationships/customXml" Target="../customXml/item18.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[Inventory_Management_Data.xlsx]Pivot Table!PivotTable2</c:name>
    <c:fmtId val="6"/>
  </c:pivotSource>
  <c:chart>
    <c:title>
      <c:tx>
        <c:rich>
          <a:bodyPr rot="0" spcFirstLastPara="1" vertOverflow="ellipsis" vert="horz" wrap="square" anchor="ctr" anchorCtr="1"/>
          <a:lstStyle/>
          <a:p>
            <a:pPr>
              <a:defRPr lang="en-US" sz="1200" b="0" i="0" u="none" strike="noStrike" kern="1200" spc="0" baseline="0">
                <a:solidFill>
                  <a:schemeClr val="tx1"/>
                </a:solidFill>
                <a:latin typeface="Arial" panose="020B0604020202020204" pitchFamily="34" charset="0"/>
                <a:ea typeface="Calibri" panose="020F0502020204030204" pitchFamily="34" charset="0"/>
                <a:cs typeface="Arial" panose="020B0604020202020204" pitchFamily="34" charset="0"/>
              </a:defRPr>
            </a:pPr>
            <a:r>
              <a:rPr lang="en-US" sz="1200" b="0" i="0" u="none" strike="noStrike" baseline="0" dirty="0">
                <a:solidFill>
                  <a:schemeClr val="tx1"/>
                </a:solidFill>
                <a:latin typeface="Arial" panose="020B0604020202020204" pitchFamily="34" charset="0"/>
                <a:ea typeface="Calibri" panose="020F0502020204030204" pitchFamily="34" charset="0"/>
                <a:cs typeface="Arial" panose="020B0604020202020204" pitchFamily="34" charset="0"/>
              </a:rPr>
              <a:t>Total Stock Quantity by Category</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Arial" panose="020B0604020202020204" pitchFamily="34" charset="0"/>
              <a:ea typeface="Calibri" panose="020F0502020204030204" pitchFamily="34" charset="0"/>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856F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Table'!$B$8</c:f>
              <c:strCache>
                <c:ptCount val="1"/>
                <c:pt idx="0">
                  <c:v>Total</c:v>
                </c:pt>
              </c:strCache>
            </c:strRef>
          </c:tx>
          <c:spPr>
            <a:solidFill>
              <a:srgbClr val="4856F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Table'!$A$9:$A$14</c:f>
              <c:strCache>
                <c:ptCount val="5"/>
                <c:pt idx="0">
                  <c:v>Clothing</c:v>
                </c:pt>
                <c:pt idx="1">
                  <c:v>Electronics</c:v>
                </c:pt>
                <c:pt idx="2">
                  <c:v>Furniture</c:v>
                </c:pt>
                <c:pt idx="3">
                  <c:v>Groceries</c:v>
                </c:pt>
                <c:pt idx="4">
                  <c:v>Stationery</c:v>
                </c:pt>
              </c:strCache>
            </c:strRef>
          </c:cat>
          <c:val>
            <c:numRef>
              <c:f>'Pivot Table'!$B$9:$B$14</c:f>
              <c:numCache>
                <c:formatCode>[&gt;=1000000]0.0,,"M";[&gt;=1000]0.0,"K";0</c:formatCode>
                <c:ptCount val="5"/>
                <c:pt idx="0">
                  <c:v>48987</c:v>
                </c:pt>
                <c:pt idx="1">
                  <c:v>53651</c:v>
                </c:pt>
                <c:pt idx="2">
                  <c:v>46405</c:v>
                </c:pt>
                <c:pt idx="3">
                  <c:v>54107</c:v>
                </c:pt>
                <c:pt idx="4">
                  <c:v>49748</c:v>
                </c:pt>
              </c:numCache>
            </c:numRef>
          </c:val>
          <c:extLst>
            <c:ext xmlns:c16="http://schemas.microsoft.com/office/drawing/2014/chart" uri="{C3380CC4-5D6E-409C-BE32-E72D297353CC}">
              <c16:uniqueId val="{00000000-5312-42F3-8579-2AB1567D9328}"/>
            </c:ext>
          </c:extLst>
        </c:ser>
        <c:dLbls>
          <c:showLegendKey val="0"/>
          <c:showVal val="0"/>
          <c:showCatName val="0"/>
          <c:showSerName val="0"/>
          <c:showPercent val="0"/>
          <c:showBubbleSize val="0"/>
        </c:dLbls>
        <c:gapWidth val="182"/>
        <c:axId val="1371887408"/>
        <c:axId val="1371888848"/>
      </c:barChart>
      <c:catAx>
        <c:axId val="1371887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71888848"/>
        <c:crosses val="autoZero"/>
        <c:auto val="1"/>
        <c:lblAlgn val="ctr"/>
        <c:lblOffset val="100"/>
        <c:noMultiLvlLbl val="0"/>
      </c:catAx>
      <c:valAx>
        <c:axId val="1371888848"/>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0,,&quot;M&quot;;[&gt;=10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371887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[Inventory_Management_Data.xlsx]Pivot Table!PivotTable4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Sufficient Rate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lumMod val="75000"/>
            </a:schemeClr>
          </a:solidFill>
          <a:ln w="139700">
            <a:solidFill>
              <a:schemeClr val="bg1">
                <a:lumMod val="75000"/>
              </a:schemeClr>
            </a:solidFill>
          </a:ln>
          <a:effectLst/>
        </c:spPr>
      </c:pivotFmt>
      <c:pivotFmt>
        <c:idx val="2"/>
        <c:spPr>
          <a:solidFill>
            <a:schemeClr val="accent1"/>
          </a:solidFill>
          <a:ln w="0">
            <a:solidFill>
              <a:schemeClr val="lt1"/>
            </a:solidFill>
          </a:ln>
          <a:effectLst/>
        </c:spPr>
      </c:pivotFmt>
      <c:pivotFmt>
        <c:idx val="3"/>
        <c:spPr>
          <a:solidFill>
            <a:schemeClr val="accent1"/>
          </a:solidFill>
          <a:ln w="2540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0">
            <a:solidFill>
              <a:schemeClr val="lt1"/>
            </a:solidFill>
          </a:ln>
          <a:effectLst/>
        </c:spPr>
      </c:pivotFmt>
      <c:pivotFmt>
        <c:idx val="5"/>
        <c:spPr>
          <a:solidFill>
            <a:schemeClr val="bg1">
              <a:lumMod val="75000"/>
            </a:schemeClr>
          </a:solidFill>
          <a:ln w="139700">
            <a:solidFill>
              <a:schemeClr val="bg1">
                <a:lumMod val="75000"/>
              </a:schemeClr>
            </a:solidFill>
          </a:ln>
          <a:effectLst/>
        </c:spPr>
      </c:pivotFmt>
      <c:pivotFmt>
        <c:idx val="6"/>
        <c:spPr>
          <a:solidFill>
            <a:schemeClr val="accent1"/>
          </a:solidFill>
          <a:ln w="2540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0">
            <a:solidFill>
              <a:schemeClr val="lt1"/>
            </a:solidFill>
          </a:ln>
          <a:effectLst/>
        </c:spPr>
      </c:pivotFmt>
      <c:pivotFmt>
        <c:idx val="8"/>
        <c:spPr>
          <a:solidFill>
            <a:schemeClr val="bg1">
              <a:lumMod val="75000"/>
            </a:schemeClr>
          </a:solidFill>
          <a:ln w="139700">
            <a:solidFill>
              <a:schemeClr val="bg1">
                <a:lumMod val="75000"/>
              </a:schemeClr>
            </a:solidFill>
          </a:ln>
          <a:effectLst/>
        </c:spPr>
      </c:pivotFmt>
    </c:pivotFmts>
    <c:plotArea>
      <c:layout/>
      <c:doughnutChart>
        <c:varyColors val="1"/>
        <c:ser>
          <c:idx val="0"/>
          <c:order val="0"/>
          <c:tx>
            <c:strRef>
              <c:f>'Pivot Table'!$E$8</c:f>
              <c:strCache>
                <c:ptCount val="1"/>
                <c:pt idx="0">
                  <c:v>Total</c:v>
                </c:pt>
              </c:strCache>
            </c:strRef>
          </c:tx>
          <c:spPr>
            <a:ln w="25400"/>
          </c:spPr>
          <c:dPt>
            <c:idx val="0"/>
            <c:bubble3D val="0"/>
            <c:spPr>
              <a:solidFill>
                <a:schemeClr val="accent1"/>
              </a:solidFill>
              <a:ln w="0">
                <a:solidFill>
                  <a:schemeClr val="lt1"/>
                </a:solidFill>
              </a:ln>
              <a:effectLst/>
            </c:spPr>
            <c:extLst>
              <c:ext xmlns:c16="http://schemas.microsoft.com/office/drawing/2014/chart" uri="{C3380CC4-5D6E-409C-BE32-E72D297353CC}">
                <c16:uniqueId val="{00000001-38D4-4F21-914C-B93C132166C3}"/>
              </c:ext>
            </c:extLst>
          </c:dPt>
          <c:dPt>
            <c:idx val="1"/>
            <c:bubble3D val="0"/>
            <c:spPr>
              <a:solidFill>
                <a:schemeClr val="bg1">
                  <a:lumMod val="75000"/>
                </a:schemeClr>
              </a:solidFill>
              <a:ln w="139700">
                <a:solidFill>
                  <a:schemeClr val="bg1">
                    <a:lumMod val="75000"/>
                  </a:schemeClr>
                </a:solidFill>
              </a:ln>
              <a:effectLst/>
            </c:spPr>
            <c:extLst>
              <c:ext xmlns:c16="http://schemas.microsoft.com/office/drawing/2014/chart" uri="{C3380CC4-5D6E-409C-BE32-E72D297353CC}">
                <c16:uniqueId val="{00000003-38D4-4F21-914C-B93C132166C3}"/>
              </c:ext>
            </c:extLst>
          </c:dPt>
          <c:cat>
            <c:strRef>
              <c:f>'Pivot Table'!$D$9:$D$11</c:f>
              <c:strCache>
                <c:ptCount val="2"/>
                <c:pt idx="0">
                  <c:v>Reorder Needed</c:v>
                </c:pt>
                <c:pt idx="1">
                  <c:v>Sufficient</c:v>
                </c:pt>
              </c:strCache>
            </c:strRef>
          </c:cat>
          <c:val>
            <c:numRef>
              <c:f>'Pivot Table'!$E$9:$E$11</c:f>
              <c:numCache>
                <c:formatCode>0.00%</c:formatCode>
                <c:ptCount val="2"/>
                <c:pt idx="0">
                  <c:v>0.20799999999999999</c:v>
                </c:pt>
                <c:pt idx="1">
                  <c:v>0.79200000000000004</c:v>
                </c:pt>
              </c:numCache>
            </c:numRef>
          </c:val>
          <c:extLst>
            <c:ext xmlns:c16="http://schemas.microsoft.com/office/drawing/2014/chart" uri="{C3380CC4-5D6E-409C-BE32-E72D297353CC}">
              <c16:uniqueId val="{00000004-38D4-4F21-914C-B93C132166C3}"/>
            </c:ext>
          </c:extLst>
        </c:ser>
        <c:dLbls>
          <c:showLegendKey val="0"/>
          <c:showVal val="0"/>
          <c:showCatName val="0"/>
          <c:showSerName val="0"/>
          <c:showPercent val="0"/>
          <c:showBubbleSize val="0"/>
          <c:showLeaderLines val="1"/>
        </c:dLbls>
        <c:firstSliceAng val="24"/>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[Inventory_Management_Data.xlsx]Pivot Table!PivotTable4</c:name>
    <c:fmtId val="8"/>
  </c:pivotSource>
  <c:chart>
    <c:title>
      <c:tx>
        <c:rich>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r>
              <a:rPr lang="en-US"/>
              <a:t>Reordered Rate</a:t>
            </a:r>
          </a:p>
        </c:rich>
      </c:tx>
      <c:overlay val="0"/>
      <c:spPr>
        <a:noFill/>
        <a:ln>
          <a:noFill/>
        </a:ln>
        <a:effectLst/>
      </c:spPr>
      <c:txPr>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lumMod val="75000"/>
            </a:schemeClr>
          </a:solidFill>
          <a:ln w="158750">
            <a:solidFill>
              <a:schemeClr val="bg1">
                <a:lumMod val="75000"/>
              </a:schemeClr>
            </a:solidFill>
          </a:ln>
          <a:effectLst/>
        </c:spPr>
      </c:pivotFmt>
      <c:pivotFmt>
        <c:idx val="2"/>
        <c:spPr>
          <a:solidFill>
            <a:schemeClr val="accent1"/>
          </a:solidFill>
          <a:ln w="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70C0"/>
          </a:solidFill>
          <a:ln w="139700">
            <a:solidFill>
              <a:srgbClr val="0070C0"/>
            </a:solidFill>
          </a:ln>
          <a:effectLst/>
        </c:spPr>
      </c:pivotFmt>
      <c:pivotFmt>
        <c:idx val="5"/>
        <c:spPr>
          <a:solidFill>
            <a:schemeClr val="bg1">
              <a:lumMod val="75000"/>
            </a:schemeClr>
          </a:solidFill>
          <a:ln w="158750">
            <a:no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70C0"/>
          </a:solidFill>
          <a:ln w="139700">
            <a:solidFill>
              <a:srgbClr val="0070C0"/>
            </a:solidFill>
          </a:ln>
          <a:effectLst/>
        </c:spPr>
      </c:pivotFmt>
      <c:pivotFmt>
        <c:idx val="8"/>
        <c:spPr>
          <a:solidFill>
            <a:schemeClr val="bg1">
              <a:lumMod val="75000"/>
            </a:schemeClr>
          </a:solidFill>
          <a:ln w="158750">
            <a:no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070C0"/>
          </a:solidFill>
          <a:ln w="139700">
            <a:solidFill>
              <a:srgbClr val="0070C0"/>
            </a:solidFill>
          </a:ln>
          <a:effectLst/>
        </c:spPr>
      </c:pivotFmt>
      <c:pivotFmt>
        <c:idx val="11"/>
        <c:spPr>
          <a:solidFill>
            <a:schemeClr val="bg1">
              <a:lumMod val="75000"/>
            </a:schemeClr>
          </a:solidFill>
          <a:ln w="158750">
            <a:noFill/>
          </a:ln>
          <a:effectLst/>
        </c:spPr>
      </c:pivotFmt>
    </c:pivotFmts>
    <c:plotArea>
      <c:layout>
        <c:manualLayout>
          <c:layoutTarget val="inner"/>
          <c:xMode val="edge"/>
          <c:yMode val="edge"/>
          <c:x val="0.15869005847953219"/>
          <c:y val="0.16716666666666669"/>
          <c:w val="0.66858479532163739"/>
          <c:h val="0.79394444444444434"/>
        </c:manualLayout>
      </c:layout>
      <c:doughnutChart>
        <c:varyColors val="1"/>
        <c:ser>
          <c:idx val="0"/>
          <c:order val="0"/>
          <c:tx>
            <c:strRef>
              <c:f>'Pivot Table'!$E$8</c:f>
              <c:strCache>
                <c:ptCount val="1"/>
                <c:pt idx="0">
                  <c:v>Total</c:v>
                </c:pt>
              </c:strCache>
            </c:strRef>
          </c:tx>
          <c:dPt>
            <c:idx val="0"/>
            <c:bubble3D val="0"/>
            <c:spPr>
              <a:solidFill>
                <a:srgbClr val="0070C0"/>
              </a:solidFill>
              <a:ln w="139700">
                <a:solidFill>
                  <a:srgbClr val="0070C0"/>
                </a:solidFill>
              </a:ln>
              <a:effectLst/>
            </c:spPr>
            <c:extLst>
              <c:ext xmlns:c16="http://schemas.microsoft.com/office/drawing/2014/chart" uri="{C3380CC4-5D6E-409C-BE32-E72D297353CC}">
                <c16:uniqueId val="{00000001-2420-4036-8C38-77728299E24C}"/>
              </c:ext>
            </c:extLst>
          </c:dPt>
          <c:dPt>
            <c:idx val="1"/>
            <c:bubble3D val="0"/>
            <c:spPr>
              <a:solidFill>
                <a:schemeClr val="bg1">
                  <a:lumMod val="75000"/>
                </a:schemeClr>
              </a:solidFill>
              <a:ln w="158750">
                <a:noFill/>
              </a:ln>
              <a:effectLst/>
            </c:spPr>
            <c:extLst>
              <c:ext xmlns:c16="http://schemas.microsoft.com/office/drawing/2014/chart" uri="{C3380CC4-5D6E-409C-BE32-E72D297353CC}">
                <c16:uniqueId val="{00000003-2420-4036-8C38-77728299E24C}"/>
              </c:ext>
            </c:extLst>
          </c:dPt>
          <c:cat>
            <c:strRef>
              <c:f>'Pivot Table'!$D$9:$D$11</c:f>
              <c:strCache>
                <c:ptCount val="2"/>
                <c:pt idx="0">
                  <c:v>Reorder Needed</c:v>
                </c:pt>
                <c:pt idx="1">
                  <c:v>Sufficient</c:v>
                </c:pt>
              </c:strCache>
            </c:strRef>
          </c:cat>
          <c:val>
            <c:numRef>
              <c:f>'Pivot Table'!$E$9:$E$11</c:f>
              <c:numCache>
                <c:formatCode>0.00%</c:formatCode>
                <c:ptCount val="2"/>
                <c:pt idx="0">
                  <c:v>0.20799999999999999</c:v>
                </c:pt>
                <c:pt idx="1">
                  <c:v>0.79200000000000004</c:v>
                </c:pt>
              </c:numCache>
            </c:numRef>
          </c:val>
          <c:extLst>
            <c:ext xmlns:c16="http://schemas.microsoft.com/office/drawing/2014/chart" uri="{C3380CC4-5D6E-409C-BE32-E72D297353CC}">
              <c16:uniqueId val="{00000004-2420-4036-8C38-77728299E24C}"/>
            </c:ext>
          </c:extLst>
        </c:ser>
        <c:dLbls>
          <c:showLegendKey val="0"/>
          <c:showVal val="0"/>
          <c:showCatName val="0"/>
          <c:showSerName val="0"/>
          <c:showPercent val="0"/>
          <c:showBubbleSize val="0"/>
          <c:showLeaderLines val="1"/>
        </c:dLbls>
        <c:firstSliceAng val="24"/>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[Inventory_Management_Data.xlsx]Pivot Table!PivotTable5</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baseline="0">
                <a:solidFill>
                  <a:schemeClr val="tx1"/>
                </a:solidFill>
                <a:latin typeface="Arial" panose="020B0604020202020204" pitchFamily="34" charset="0"/>
                <a:cs typeface="Arial" panose="020B0604020202020204" pitchFamily="34" charset="0"/>
              </a:rPr>
              <a:t>Estimated Restocked </a:t>
            </a:r>
            <a:r>
              <a:rPr lang="en-US" sz="1400" b="0" i="0" u="none" strike="noStrike" kern="1200" spc="0" baseline="0">
                <a:solidFill>
                  <a:schemeClr val="tx1"/>
                </a:solidFill>
                <a:latin typeface="Arial" panose="020B0604020202020204" pitchFamily="34" charset="0"/>
                <a:ea typeface="+mn-ea"/>
                <a:cs typeface="Arial" panose="020B0604020202020204" pitchFamily="34" charset="0"/>
              </a:rPr>
              <a:t>Over Time</a:t>
            </a:r>
          </a:p>
        </c:rich>
      </c:tx>
      <c:layout>
        <c:manualLayout>
          <c:xMode val="edge"/>
          <c:yMode val="edge"/>
          <c:x val="0.23807539465219854"/>
          <c:y val="3.7762241920845978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4856F5"/>
            </a:solidFill>
            <a:round/>
          </a:ln>
          <a:effectLst/>
        </c:spPr>
        <c:marker>
          <c:symbol val="circle"/>
          <c:size val="5"/>
          <c:spPr>
            <a:solidFill>
              <a:schemeClr val="accent1"/>
            </a:solidFill>
            <a:ln w="9525">
              <a:solidFill>
                <a:schemeClr val="bg1">
                  <a:lumMod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rgbClr val="4856F5"/>
            </a:solidFill>
            <a:round/>
          </a:ln>
          <a:effectLst/>
        </c:spPr>
        <c:marker>
          <c:symbol val="circle"/>
          <c:size val="5"/>
          <c:spPr>
            <a:solidFill>
              <a:schemeClr val="accent1"/>
            </a:solidFill>
            <a:ln w="9525">
              <a:solidFill>
                <a:schemeClr val="bg1">
                  <a:lumMod val="50000"/>
                </a:schemeClr>
              </a:solidFill>
            </a:ln>
            <a:effectLst/>
          </c:spPr>
        </c:marker>
        <c:dLbl>
          <c:idx val="0"/>
          <c:layout>
            <c:manualLayout>
              <c:x val="-3.069189283416817E-2"/>
              <c:y val="8.1849576768853863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rgbClr val="4856F5"/>
            </a:solidFill>
            <a:round/>
          </a:ln>
          <a:effectLst/>
        </c:spPr>
        <c:marker>
          <c:symbol val="circle"/>
          <c:size val="5"/>
          <c:spPr>
            <a:solidFill>
              <a:schemeClr val="accent1"/>
            </a:solidFill>
            <a:ln w="9525">
              <a:solidFill>
                <a:schemeClr val="bg1">
                  <a:lumMod val="50000"/>
                </a:schemeClr>
              </a:solidFill>
            </a:ln>
            <a:effectLst/>
          </c:spPr>
        </c:marker>
        <c:dLbl>
          <c:idx val="0"/>
          <c:layout>
            <c:manualLayout>
              <c:x val="-4.2936793941647164E-2"/>
              <c:y val="6.087055347949475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rgbClr val="4856F5"/>
            </a:solidFill>
            <a:round/>
          </a:ln>
          <a:effectLst/>
        </c:spPr>
        <c:marker>
          <c:symbol val="circle"/>
          <c:size val="5"/>
          <c:spPr>
            <a:solidFill>
              <a:schemeClr val="accent1"/>
            </a:solidFill>
            <a:ln w="9525">
              <a:solidFill>
                <a:schemeClr val="bg1">
                  <a:lumMod val="50000"/>
                </a:schemeClr>
              </a:solidFill>
            </a:ln>
            <a:effectLst/>
          </c:spPr>
        </c:marker>
        <c:dLbl>
          <c:idx val="0"/>
          <c:layout>
            <c:manualLayout>
              <c:x val="-4.6071488625161784E-2"/>
              <c:y val="6.9262162795238377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rgbClr val="4856F5"/>
            </a:solidFill>
            <a:round/>
          </a:ln>
          <a:effectLst/>
        </c:spPr>
        <c:marker>
          <c:symbol val="circle"/>
          <c:size val="5"/>
          <c:spPr>
            <a:solidFill>
              <a:schemeClr val="accent1"/>
            </a:solidFill>
            <a:ln w="9525">
              <a:solidFill>
                <a:schemeClr val="bg1">
                  <a:lumMod val="50000"/>
                </a:schemeClr>
              </a:solidFill>
            </a:ln>
            <a:effectLst/>
          </c:spPr>
        </c:marker>
        <c:dLbl>
          <c:idx val="0"/>
          <c:layout>
            <c:manualLayout>
              <c:x val="4.5913558325838555E-4"/>
              <c:y val="-9.8570023519632566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rgbClr val="4856F5"/>
            </a:solidFill>
            <a:round/>
          </a:ln>
          <a:effectLst/>
        </c:spPr>
        <c:marker>
          <c:symbol val="circle"/>
          <c:size val="5"/>
          <c:spPr>
            <a:solidFill>
              <a:schemeClr val="accent1"/>
            </a:solidFill>
            <a:ln w="9525">
              <a:solidFill>
                <a:schemeClr val="bg1">
                  <a:lumMod val="50000"/>
                </a:schemeClr>
              </a:solidFill>
            </a:ln>
            <a:effectLst/>
          </c:spPr>
        </c:marker>
        <c:dLbl>
          <c:idx val="0"/>
          <c:layout>
            <c:manualLayout>
              <c:x val="-3.3826587517682881E-2"/>
              <c:y val="7.3457967453110229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rgbClr val="4856F5"/>
            </a:solidFill>
            <a:round/>
          </a:ln>
          <a:effectLst/>
        </c:spPr>
        <c:marker>
          <c:symbol val="circle"/>
          <c:size val="5"/>
          <c:spPr>
            <a:solidFill>
              <a:schemeClr val="accent1"/>
            </a:solidFill>
            <a:ln w="9525">
              <a:solidFill>
                <a:schemeClr val="bg1">
                  <a:lumMod val="50000"/>
                </a:schemeClr>
              </a:solidFill>
            </a:ln>
            <a:effectLst/>
          </c:spPr>
        </c:marker>
        <c:dLbl>
          <c:idx val="0"/>
          <c:layout>
            <c:manualLayout>
              <c:x val="-9.0153132612086254E-2"/>
              <c:y val="-7.3395195572401914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rgbClr val="4856F5"/>
            </a:solidFill>
            <a:round/>
          </a:ln>
          <a:effectLst/>
        </c:spPr>
        <c:marker>
          <c:symbol val="circle"/>
          <c:size val="5"/>
          <c:spPr>
            <a:solidFill>
              <a:schemeClr val="accent1"/>
            </a:solidFill>
            <a:ln w="9525">
              <a:solidFill>
                <a:schemeClr val="bg1">
                  <a:lumMod val="50000"/>
                </a:schemeClr>
              </a:solidFill>
            </a:ln>
            <a:effectLst/>
          </c:spPr>
        </c:marker>
        <c:dLbl>
          <c:idx val="0"/>
          <c:layout>
            <c:manualLayout>
              <c:x val="-3.8724547960674392E-2"/>
              <c:y val="9.024118608459733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rgbClr val="4856F5"/>
            </a:solidFill>
            <a:round/>
          </a:ln>
          <a:effectLst/>
        </c:spPr>
        <c:marker>
          <c:symbol val="circle"/>
          <c:size val="5"/>
          <c:spPr>
            <a:solidFill>
              <a:schemeClr val="accent1"/>
            </a:solidFill>
            <a:ln w="9525">
              <a:solidFill>
                <a:schemeClr val="bg1">
                  <a:lumMod val="50000"/>
                </a:schemeClr>
              </a:solidFill>
            </a:ln>
            <a:effectLst/>
          </c:spPr>
        </c:marker>
        <c:dLbl>
          <c:idx val="0"/>
          <c:layout>
            <c:manualLayout>
              <c:x val="-8.2806191947598765E-2"/>
              <c:y val="-5.2416172283043037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rgbClr val="4856F5"/>
            </a:solidFill>
            <a:round/>
          </a:ln>
          <a:effectLst/>
        </c:spPr>
        <c:marker>
          <c:symbol val="circle"/>
          <c:size val="5"/>
          <c:spPr>
            <a:solidFill>
              <a:schemeClr val="accent1"/>
            </a:solidFill>
            <a:ln w="9525">
              <a:solidFill>
                <a:schemeClr val="bg1">
                  <a:lumMod val="50000"/>
                </a:schemeClr>
              </a:solidFill>
            </a:ln>
            <a:effectLst/>
          </c:spPr>
        </c:marker>
        <c:dLbl>
          <c:idx val="0"/>
          <c:layout>
            <c:manualLayout>
              <c:x val="-3.2077398573652209E-2"/>
              <c:y val="-5.2416172283043037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528607945648838E-2"/>
          <c:y val="0.15562239476046416"/>
          <c:w val="0.90577751072537638"/>
          <c:h val="0.74469222451321238"/>
        </c:manualLayout>
      </c:layout>
      <c:lineChart>
        <c:grouping val="standard"/>
        <c:varyColors val="0"/>
        <c:ser>
          <c:idx val="0"/>
          <c:order val="0"/>
          <c:tx>
            <c:strRef>
              <c:f>'Pivot Table'!$B$24</c:f>
              <c:strCache>
                <c:ptCount val="1"/>
                <c:pt idx="0">
                  <c:v>Total</c:v>
                </c:pt>
              </c:strCache>
            </c:strRef>
          </c:tx>
          <c:spPr>
            <a:ln w="28575" cap="rnd">
              <a:solidFill>
                <a:srgbClr val="4856F5"/>
              </a:solidFill>
              <a:round/>
            </a:ln>
            <a:effectLst/>
          </c:spPr>
          <c:marker>
            <c:symbol val="circle"/>
            <c:size val="5"/>
            <c:spPr>
              <a:solidFill>
                <a:schemeClr val="accent1"/>
              </a:solidFill>
              <a:ln w="9525">
                <a:solidFill>
                  <a:schemeClr val="bg1">
                    <a:lumMod val="50000"/>
                  </a:schemeClr>
                </a:solidFill>
              </a:ln>
              <a:effectLst/>
            </c:spPr>
          </c:marker>
          <c:dPt>
            <c:idx val="1"/>
            <c:marker>
              <c:symbol val="circle"/>
              <c:size val="5"/>
              <c:spPr>
                <a:solidFill>
                  <a:schemeClr val="accent1"/>
                </a:solidFill>
                <a:ln w="9525">
                  <a:solidFill>
                    <a:schemeClr val="bg1">
                      <a:lumMod val="50000"/>
                    </a:schemeClr>
                  </a:solidFill>
                </a:ln>
                <a:effectLst/>
              </c:spPr>
            </c:marker>
            <c:bubble3D val="0"/>
            <c:extLst>
              <c:ext xmlns:c16="http://schemas.microsoft.com/office/drawing/2014/chart" uri="{C3380CC4-5D6E-409C-BE32-E72D297353CC}">
                <c16:uniqueId val="{00000002-0A96-4641-BE47-0A3366694816}"/>
              </c:ext>
            </c:extLst>
          </c:dPt>
          <c:dPt>
            <c:idx val="3"/>
            <c:marker>
              <c:symbol val="circle"/>
              <c:size val="5"/>
              <c:spPr>
                <a:solidFill>
                  <a:schemeClr val="accent1"/>
                </a:solidFill>
                <a:ln w="9525">
                  <a:solidFill>
                    <a:schemeClr val="bg1">
                      <a:lumMod val="50000"/>
                    </a:schemeClr>
                  </a:solidFill>
                </a:ln>
                <a:effectLst/>
              </c:spPr>
            </c:marker>
            <c:bubble3D val="0"/>
            <c:extLst>
              <c:ext xmlns:c16="http://schemas.microsoft.com/office/drawing/2014/chart" uri="{C3380CC4-5D6E-409C-BE32-E72D297353CC}">
                <c16:uniqueId val="{00000001-0A96-4641-BE47-0A3366694816}"/>
              </c:ext>
            </c:extLst>
          </c:dPt>
          <c:dPt>
            <c:idx val="5"/>
            <c:marker>
              <c:symbol val="circle"/>
              <c:size val="5"/>
              <c:spPr>
                <a:solidFill>
                  <a:schemeClr val="accent1"/>
                </a:solidFill>
                <a:ln w="9525">
                  <a:solidFill>
                    <a:schemeClr val="bg1">
                      <a:lumMod val="50000"/>
                    </a:schemeClr>
                  </a:solidFill>
                </a:ln>
                <a:effectLst/>
              </c:spPr>
            </c:marker>
            <c:bubble3D val="0"/>
            <c:extLst>
              <c:ext xmlns:c16="http://schemas.microsoft.com/office/drawing/2014/chart" uri="{C3380CC4-5D6E-409C-BE32-E72D297353CC}">
                <c16:uniqueId val="{00000004-0A96-4641-BE47-0A3366694816}"/>
              </c:ext>
            </c:extLst>
          </c:dPt>
          <c:dPt>
            <c:idx val="6"/>
            <c:marker>
              <c:symbol val="circle"/>
              <c:size val="5"/>
              <c:spPr>
                <a:solidFill>
                  <a:schemeClr val="accent1"/>
                </a:solidFill>
                <a:ln w="9525">
                  <a:solidFill>
                    <a:schemeClr val="bg1">
                      <a:lumMod val="50000"/>
                    </a:schemeClr>
                  </a:solidFill>
                </a:ln>
                <a:effectLst/>
              </c:spPr>
            </c:marker>
            <c:bubble3D val="0"/>
            <c:extLst>
              <c:ext xmlns:c16="http://schemas.microsoft.com/office/drawing/2014/chart" uri="{C3380CC4-5D6E-409C-BE32-E72D297353CC}">
                <c16:uniqueId val="{00000003-0A96-4641-BE47-0A3366694816}"/>
              </c:ext>
            </c:extLst>
          </c:dPt>
          <c:dPt>
            <c:idx val="7"/>
            <c:marker>
              <c:symbol val="circle"/>
              <c:size val="5"/>
              <c:spPr>
                <a:solidFill>
                  <a:schemeClr val="accent1"/>
                </a:solidFill>
                <a:ln w="9525">
                  <a:solidFill>
                    <a:schemeClr val="bg1">
                      <a:lumMod val="50000"/>
                    </a:schemeClr>
                  </a:solidFill>
                </a:ln>
                <a:effectLst/>
              </c:spPr>
            </c:marker>
            <c:bubble3D val="0"/>
            <c:extLst>
              <c:ext xmlns:c16="http://schemas.microsoft.com/office/drawing/2014/chart" uri="{C3380CC4-5D6E-409C-BE32-E72D297353CC}">
                <c16:uniqueId val="{00000005-0A96-4641-BE47-0A3366694816}"/>
              </c:ext>
            </c:extLst>
          </c:dPt>
          <c:dPt>
            <c:idx val="8"/>
            <c:marker>
              <c:symbol val="circle"/>
              <c:size val="5"/>
              <c:spPr>
                <a:solidFill>
                  <a:schemeClr val="accent1"/>
                </a:solidFill>
                <a:ln w="9525">
                  <a:solidFill>
                    <a:schemeClr val="bg1">
                      <a:lumMod val="50000"/>
                    </a:schemeClr>
                  </a:solidFill>
                </a:ln>
                <a:effectLst/>
              </c:spPr>
            </c:marker>
            <c:bubble3D val="0"/>
            <c:extLst>
              <c:ext xmlns:c16="http://schemas.microsoft.com/office/drawing/2014/chart" uri="{C3380CC4-5D6E-409C-BE32-E72D297353CC}">
                <c16:uniqueId val="{00000006-0A96-4641-BE47-0A3366694816}"/>
              </c:ext>
            </c:extLst>
          </c:dPt>
          <c:dPt>
            <c:idx val="9"/>
            <c:marker>
              <c:symbol val="circle"/>
              <c:size val="5"/>
              <c:spPr>
                <a:solidFill>
                  <a:schemeClr val="accent1"/>
                </a:solidFill>
                <a:ln w="9525">
                  <a:solidFill>
                    <a:schemeClr val="bg1">
                      <a:lumMod val="50000"/>
                    </a:schemeClr>
                  </a:solidFill>
                </a:ln>
                <a:effectLst/>
              </c:spPr>
            </c:marker>
            <c:bubble3D val="0"/>
            <c:extLst>
              <c:ext xmlns:c16="http://schemas.microsoft.com/office/drawing/2014/chart" uri="{C3380CC4-5D6E-409C-BE32-E72D297353CC}">
                <c16:uniqueId val="{00000007-0A96-4641-BE47-0A3366694816}"/>
              </c:ext>
            </c:extLst>
          </c:dPt>
          <c:dPt>
            <c:idx val="10"/>
            <c:marker>
              <c:symbol val="circle"/>
              <c:size val="5"/>
              <c:spPr>
                <a:solidFill>
                  <a:schemeClr val="accent1"/>
                </a:solidFill>
                <a:ln w="9525">
                  <a:solidFill>
                    <a:schemeClr val="bg1">
                      <a:lumMod val="50000"/>
                    </a:schemeClr>
                  </a:solidFill>
                </a:ln>
                <a:effectLst/>
              </c:spPr>
            </c:marker>
            <c:bubble3D val="0"/>
            <c:extLst>
              <c:ext xmlns:c16="http://schemas.microsoft.com/office/drawing/2014/chart" uri="{C3380CC4-5D6E-409C-BE32-E72D297353CC}">
                <c16:uniqueId val="{00000008-0A96-4641-BE47-0A3366694816}"/>
              </c:ext>
            </c:extLst>
          </c:dPt>
          <c:dPt>
            <c:idx val="11"/>
            <c:marker>
              <c:symbol val="circle"/>
              <c:size val="5"/>
              <c:spPr>
                <a:solidFill>
                  <a:schemeClr val="accent1"/>
                </a:solidFill>
                <a:ln w="9525">
                  <a:solidFill>
                    <a:schemeClr val="bg1">
                      <a:lumMod val="50000"/>
                    </a:schemeClr>
                  </a:solidFill>
                </a:ln>
                <a:effectLst/>
              </c:spPr>
            </c:marker>
            <c:bubble3D val="0"/>
            <c:extLst>
              <c:ext xmlns:c16="http://schemas.microsoft.com/office/drawing/2014/chart" uri="{C3380CC4-5D6E-409C-BE32-E72D297353CC}">
                <c16:uniqueId val="{00000009-0A96-4641-BE47-0A3366694816}"/>
              </c:ext>
            </c:extLst>
          </c:dPt>
          <c:dLbls>
            <c:dLbl>
              <c:idx val="1"/>
              <c:layout>
                <c:manualLayout>
                  <c:x val="-4.2936793941647164E-2"/>
                  <c:y val="6.08705534794947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A96-4641-BE47-0A3366694816}"/>
                </c:ext>
              </c:extLst>
            </c:dLbl>
            <c:dLbl>
              <c:idx val="3"/>
              <c:layout>
                <c:manualLayout>
                  <c:x val="-3.069189283416817E-2"/>
                  <c:y val="8.184957676885386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A96-4641-BE47-0A3366694816}"/>
                </c:ext>
              </c:extLst>
            </c:dLbl>
            <c:dLbl>
              <c:idx val="5"/>
              <c:layout>
                <c:manualLayout>
                  <c:x val="4.5913558325838555E-4"/>
                  <c:y val="-9.857002351963256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A96-4641-BE47-0A3366694816}"/>
                </c:ext>
              </c:extLst>
            </c:dLbl>
            <c:dLbl>
              <c:idx val="6"/>
              <c:layout>
                <c:manualLayout>
                  <c:x val="-4.6071488625161784E-2"/>
                  <c:y val="6.926216279523837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A96-4641-BE47-0A3366694816}"/>
                </c:ext>
              </c:extLst>
            </c:dLbl>
            <c:dLbl>
              <c:idx val="7"/>
              <c:layout>
                <c:manualLayout>
                  <c:x val="-3.3826587517682881E-2"/>
                  <c:y val="7.345796745311022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A96-4641-BE47-0A3366694816}"/>
                </c:ext>
              </c:extLst>
            </c:dLbl>
            <c:dLbl>
              <c:idx val="8"/>
              <c:layout>
                <c:manualLayout>
                  <c:x val="-9.0153132612086254E-2"/>
                  <c:y val="-7.339519557240191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A96-4641-BE47-0A3366694816}"/>
                </c:ext>
              </c:extLst>
            </c:dLbl>
            <c:dLbl>
              <c:idx val="9"/>
              <c:layout>
                <c:manualLayout>
                  <c:x val="-3.8724547960674392E-2"/>
                  <c:y val="9.02411860845973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0A96-4641-BE47-0A3366694816}"/>
                </c:ext>
              </c:extLst>
            </c:dLbl>
            <c:dLbl>
              <c:idx val="10"/>
              <c:layout>
                <c:manualLayout>
                  <c:x val="-8.2806191947598765E-2"/>
                  <c:y val="-5.24161722830430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0A96-4641-BE47-0A3366694816}"/>
                </c:ext>
              </c:extLst>
            </c:dLbl>
            <c:dLbl>
              <c:idx val="11"/>
              <c:layout>
                <c:manualLayout>
                  <c:x val="-3.2077398573652209E-2"/>
                  <c:y val="-5.241617228304303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0A96-4641-BE47-0A3366694816}"/>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Table'!$A$25:$A$37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Table'!$B$25:$B$37</c:f>
              <c:numCache>
                <c:formatCode>[&gt;=1000000]0.0,,"M";[&gt;=1000]0.0,"K";0</c:formatCode>
                <c:ptCount val="12"/>
                <c:pt idx="0">
                  <c:v>11804</c:v>
                </c:pt>
                <c:pt idx="1">
                  <c:v>8145</c:v>
                </c:pt>
                <c:pt idx="2">
                  <c:v>19769</c:v>
                </c:pt>
                <c:pt idx="3">
                  <c:v>9682</c:v>
                </c:pt>
                <c:pt idx="4">
                  <c:v>16567</c:v>
                </c:pt>
                <c:pt idx="5">
                  <c:v>12954</c:v>
                </c:pt>
                <c:pt idx="6">
                  <c:v>12396</c:v>
                </c:pt>
                <c:pt idx="7">
                  <c:v>12297</c:v>
                </c:pt>
                <c:pt idx="8">
                  <c:v>13472</c:v>
                </c:pt>
                <c:pt idx="9">
                  <c:v>13987</c:v>
                </c:pt>
                <c:pt idx="10">
                  <c:v>15435</c:v>
                </c:pt>
                <c:pt idx="11">
                  <c:v>18135</c:v>
                </c:pt>
              </c:numCache>
            </c:numRef>
          </c:val>
          <c:smooth val="1"/>
          <c:extLst>
            <c:ext xmlns:c16="http://schemas.microsoft.com/office/drawing/2014/chart" uri="{C3380CC4-5D6E-409C-BE32-E72D297353CC}">
              <c16:uniqueId val="{00000000-0A96-4641-BE47-0A3366694816}"/>
            </c:ext>
          </c:extLst>
        </c:ser>
        <c:dLbls>
          <c:showLegendKey val="0"/>
          <c:showVal val="0"/>
          <c:showCatName val="0"/>
          <c:showSerName val="0"/>
          <c:showPercent val="0"/>
          <c:showBubbleSize val="0"/>
        </c:dLbls>
        <c:marker val="1"/>
        <c:smooth val="0"/>
        <c:axId val="464355055"/>
        <c:axId val="464353615"/>
      </c:lineChart>
      <c:catAx>
        <c:axId val="464355055"/>
        <c:scaling>
          <c:orientation val="minMax"/>
        </c:scaling>
        <c:delete val="0"/>
        <c:axPos val="b"/>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30" b="0" i="0" u="none" strike="noStrike" kern="1200" baseline="0">
                <a:solidFill>
                  <a:schemeClr val="tx1"/>
                </a:solidFill>
                <a:latin typeface="+mn-lt"/>
                <a:ea typeface="+mn-ea"/>
                <a:cs typeface="+mn-cs"/>
              </a:defRPr>
            </a:pPr>
            <a:endParaRPr lang="en-US"/>
          </a:p>
        </c:txPr>
        <c:crossAx val="464353615"/>
        <c:crosses val="autoZero"/>
        <c:auto val="1"/>
        <c:lblAlgn val="ctr"/>
        <c:lblOffset val="100"/>
        <c:noMultiLvlLbl val="0"/>
      </c:catAx>
      <c:valAx>
        <c:axId val="464353615"/>
        <c:scaling>
          <c:orientation val="minMax"/>
        </c:scaling>
        <c:delete val="0"/>
        <c:axPos val="l"/>
        <c:numFmt formatCode="[&gt;=1000000]0.0,,&quot;M&quot;;[&gt;=10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3550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[Inventory_Management_Data.xlsx]Pivot Table!PivotTable7</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4856F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bg1">
                <a:lumMod val="65000"/>
                <a:alpha val="99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Table'!$F$16</c:f>
              <c:strCache>
                <c:ptCount val="1"/>
                <c:pt idx="0">
                  <c:v>Stock Qty</c:v>
                </c:pt>
              </c:strCache>
            </c:strRef>
          </c:tx>
          <c:spPr>
            <a:solidFill>
              <a:srgbClr val="4856F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Table'!$E$17:$E$22</c:f>
              <c:strCache>
                <c:ptCount val="5"/>
                <c:pt idx="0">
                  <c:v>Furniture</c:v>
                </c:pt>
                <c:pt idx="1">
                  <c:v>Stationery</c:v>
                </c:pt>
                <c:pt idx="2">
                  <c:v>Clothing</c:v>
                </c:pt>
                <c:pt idx="3">
                  <c:v>Groceries</c:v>
                </c:pt>
                <c:pt idx="4">
                  <c:v>Electronics</c:v>
                </c:pt>
              </c:strCache>
            </c:strRef>
          </c:cat>
          <c:val>
            <c:numRef>
              <c:f>'Pivot Table'!$F$17:$F$22</c:f>
              <c:numCache>
                <c:formatCode>[&gt;=1000000]0.0,,"M";[&gt;=1000]0.0,"K";0</c:formatCode>
                <c:ptCount val="5"/>
                <c:pt idx="0">
                  <c:v>46405</c:v>
                </c:pt>
                <c:pt idx="1">
                  <c:v>49748</c:v>
                </c:pt>
                <c:pt idx="2">
                  <c:v>48987</c:v>
                </c:pt>
                <c:pt idx="3">
                  <c:v>54107</c:v>
                </c:pt>
                <c:pt idx="4">
                  <c:v>53651</c:v>
                </c:pt>
              </c:numCache>
            </c:numRef>
          </c:val>
          <c:extLst>
            <c:ext xmlns:c16="http://schemas.microsoft.com/office/drawing/2014/chart" uri="{C3380CC4-5D6E-409C-BE32-E72D297353CC}">
              <c16:uniqueId val="{00000000-1163-4B8A-ABBC-D972F997AA5C}"/>
            </c:ext>
          </c:extLst>
        </c:ser>
        <c:dLbls>
          <c:showLegendKey val="0"/>
          <c:showVal val="0"/>
          <c:showCatName val="0"/>
          <c:showSerName val="0"/>
          <c:showPercent val="0"/>
          <c:showBubbleSize val="0"/>
        </c:dLbls>
        <c:gapWidth val="50"/>
        <c:axId val="464305135"/>
        <c:axId val="464307535"/>
      </c:barChart>
      <c:lineChart>
        <c:grouping val="standard"/>
        <c:varyColors val="0"/>
        <c:ser>
          <c:idx val="1"/>
          <c:order val="1"/>
          <c:tx>
            <c:strRef>
              <c:f>'Pivot Table'!$G$16</c:f>
              <c:strCache>
                <c:ptCount val="1"/>
                <c:pt idx="0">
                  <c:v>Restocked Qty</c:v>
                </c:pt>
              </c:strCache>
            </c:strRef>
          </c:tx>
          <c:spPr>
            <a:ln w="28575" cap="rnd">
              <a:solidFill>
                <a:schemeClr val="bg1">
                  <a:lumMod val="65000"/>
                  <a:alpha val="99000"/>
                </a:schemeClr>
              </a:solidFill>
              <a:round/>
            </a:ln>
            <a:effectLst/>
          </c:spPr>
          <c:marker>
            <c:symbol val="none"/>
          </c:marker>
          <c:cat>
            <c:strRef>
              <c:f>'Pivot Table'!$E$17:$E$22</c:f>
              <c:strCache>
                <c:ptCount val="5"/>
                <c:pt idx="0">
                  <c:v>Furniture</c:v>
                </c:pt>
                <c:pt idx="1">
                  <c:v>Stationery</c:v>
                </c:pt>
                <c:pt idx="2">
                  <c:v>Clothing</c:v>
                </c:pt>
                <c:pt idx="3">
                  <c:v>Groceries</c:v>
                </c:pt>
                <c:pt idx="4">
                  <c:v>Electronics</c:v>
                </c:pt>
              </c:strCache>
            </c:strRef>
          </c:cat>
          <c:val>
            <c:numRef>
              <c:f>'Pivot Table'!$G$17:$G$22</c:f>
              <c:numCache>
                <c:formatCode>[&gt;=1000000]0.0,,"M";[&gt;=1000]0.0,"K";0</c:formatCode>
                <c:ptCount val="5"/>
                <c:pt idx="0">
                  <c:v>30686</c:v>
                </c:pt>
                <c:pt idx="1">
                  <c:v>31393</c:v>
                </c:pt>
                <c:pt idx="2">
                  <c:v>31899</c:v>
                </c:pt>
                <c:pt idx="3">
                  <c:v>34941</c:v>
                </c:pt>
                <c:pt idx="4">
                  <c:v>35724</c:v>
                </c:pt>
              </c:numCache>
            </c:numRef>
          </c:val>
          <c:smooth val="0"/>
          <c:extLst>
            <c:ext xmlns:c16="http://schemas.microsoft.com/office/drawing/2014/chart" uri="{C3380CC4-5D6E-409C-BE32-E72D297353CC}">
              <c16:uniqueId val="{00000001-1163-4B8A-ABBC-D972F997AA5C}"/>
            </c:ext>
          </c:extLst>
        </c:ser>
        <c:dLbls>
          <c:showLegendKey val="0"/>
          <c:showVal val="0"/>
          <c:showCatName val="0"/>
          <c:showSerName val="0"/>
          <c:showPercent val="0"/>
          <c:showBubbleSize val="0"/>
        </c:dLbls>
        <c:marker val="1"/>
        <c:smooth val="0"/>
        <c:axId val="464380015"/>
        <c:axId val="464377135"/>
      </c:lineChart>
      <c:catAx>
        <c:axId val="464305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50" b="0" i="0" u="none" strike="noStrike" kern="1200" baseline="0">
                <a:solidFill>
                  <a:schemeClr val="tx1"/>
                </a:solidFill>
                <a:latin typeface="+mn-lt"/>
                <a:ea typeface="+mn-ea"/>
                <a:cs typeface="+mn-cs"/>
              </a:defRPr>
            </a:pPr>
            <a:endParaRPr lang="en-US"/>
          </a:p>
        </c:txPr>
        <c:crossAx val="464307535"/>
        <c:crosses val="autoZero"/>
        <c:auto val="1"/>
        <c:lblAlgn val="ctr"/>
        <c:lblOffset val="100"/>
        <c:noMultiLvlLbl val="0"/>
      </c:catAx>
      <c:valAx>
        <c:axId val="464307535"/>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0,,&quot;M&quot;;[&gt;=10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305135"/>
        <c:crosses val="autoZero"/>
        <c:crossBetween val="between"/>
      </c:valAx>
      <c:valAx>
        <c:axId val="464377135"/>
        <c:scaling>
          <c:orientation val="minMax"/>
        </c:scaling>
        <c:delete val="0"/>
        <c:axPos val="r"/>
        <c:numFmt formatCode="[&gt;=1000000]0.0,,&quot;M&quot;;[&gt;=1000]0.0,&quot;K&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380015"/>
        <c:crosses val="max"/>
        <c:crossBetween val="between"/>
      </c:valAx>
      <c:catAx>
        <c:axId val="464380015"/>
        <c:scaling>
          <c:orientation val="minMax"/>
        </c:scaling>
        <c:delete val="1"/>
        <c:axPos val="b"/>
        <c:numFmt formatCode="General" sourceLinked="1"/>
        <c:majorTickMark val="out"/>
        <c:minorTickMark val="none"/>
        <c:tickLblPos val="nextTo"/>
        <c:crossAx val="46437713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5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Estimated Restocked by Warehouse</cx:v>
        </cx:txData>
      </cx:tx>
      <cx:txPr>
        <a:bodyPr spcFirstLastPara="1" vertOverflow="ellipsis" horzOverflow="overflow" wrap="square" lIns="0" tIns="0" rIns="0" bIns="0" anchor="ctr" anchorCtr="1"/>
        <a:lstStyle/>
        <a:p>
          <a:pPr algn="ctr" rtl="0">
            <a:defRPr/>
          </a:pPr>
          <a:r>
            <a:rPr lang="en-US" sz="1200" b="0" i="0" u="none" strike="noStrike" baseline="0">
              <a:solidFill>
                <a:schemeClr val="tx1"/>
              </a:solidFill>
              <a:latin typeface="Arial" panose="020B0604020202020204" pitchFamily="34" charset="0"/>
              <a:cs typeface="Arial" panose="020B0604020202020204" pitchFamily="34" charset="0"/>
            </a:rPr>
            <a:t>Estimated Restocked by Warehouse</a:t>
          </a:r>
        </a:p>
      </cx:txPr>
    </cx:title>
    <cx:plotArea>
      <cx:plotAreaRegion>
        <cx:series layoutId="regionMap" uniqueId="{06A00B81-28AA-470D-A848-D3D303420381}">
          <cx:tx>
            <cx:txData>
              <cx:f>_xlchart.v5.2</cx:f>
              <cx:v>Expected Restocked Qty</cx:v>
            </cx:txData>
          </cx:tx>
          <cx:dataLabels>
            <cx:visibility seriesName="0" categoryName="0" value="1"/>
            <cx:separator>, </cx:separator>
          </cx:dataLabels>
          <cx:dataId val="0"/>
          <cx:layoutPr>
            <cx:regionLabelLayout val="showAll"/>
            <cx:geography projectionType="albers" cultureLanguage="en-US" cultureRegion="NG" attribution="Powered by Bing">
              <cx:geoCache provider="{E9337A44-BEBE-4D9F-B70C-5C5E7DAFC167}">
                <cx:binary>1Htpk9u4luVfcfjz0IUdxIuujhhSUq5OL+n0lP2FkbazuBMkCK6/vg9TWdVOVbX9XkxHzLQ/lCIl
SgDucu6556L+7ev8j6/Vw717MddV0//j6/zry8z79h+//NJ/zR7q+/5VnX91tre/+1dfbf2L/f33
/OvDL9/c/ZQ36S+MUPHL1+ze+Yf55b//G34tfbDX9uu9z23zbnhwy/uHfqh8/4PP/vajF/ff6rzZ
5b13+VdPf30Z31f579Y1+f3LFw+Nz/3yYWkffn357LmXL345/bW/rPyiwub88A3f5foVk0IpQw15
/Edfvqhskz59HFBqXimqmaaCmsd/f6x9c1/j+//cnh53dP/tm3voexzr8fX5d5+dAR/975cvvtqh
8Zv1Uhjy15d3Te4fvr249ff+oX/5Iu9tfHwgtttB7m4fT/7Lc/v/+7+dvAFbnLzznYtODfezj36y
xe999Oww/6qPzCtJuNSC66OP+HMfGfOK0JArbsTRReK5j04s919v6+/ddPL1Zyf5/9Mtz4IJiXOo
rMu//TdmDQtfSSMlFfzoEHKSNSF7JULNBQufHoDHjmY/Zs0/saG/98WfX3x2RJzw+n9EvjzbNRxz
UVV5Y3Ok8/dB+eypfzFXBHlFmdiy4SkXzPNcCc0rKkLFZSiPuYLPv/fMP7Ojv3fNf37z2f5xyP+Z
vrl5mF58sq78wz7/97VGsFeGGyY4Z3+LY1q+UvhEKvrkO/XH2ses+Wd29Pe++c9vnvjm5tP/yLz5
8DDf/zcmDaevhOKhCCk9OuYEzlBgOJxmtGbHpAmfO+an2/l7rzx97cQlH377f+OS/5oW/Mmfdvf+
fv9IvL5jBj/+9PHkIIQnX32Gd88q6h+Wvfj260smUMn/pHPbTzzDqpPCfISxP7/3cN/7X18GSr0y
mnMlNTDRUEGQVNPD9hFY3StJmSGh4RIcMIRXG+t89utLTV9xKTQoBQspky9f9HbY3qchMphJMEEK
RmhAC/9kvG9ttaS2+dMaT3+/aIb6rc0b34Nrogq2x8e2XW4rUkaMopxpZXjIsIH26/17sGo8Tf9X
RQvX0KmUDyFN/GD2rBVtUMWkHfP1o5RDW96LwMn+0HRLv4idZ7PM5jiwCfmSNk40QWzZXOpLk8ll
2JUmaLrzydRV/7qSdRsskS1n2X6RpS9mu4OtqoLHqdaCPujZLsP7Kpt1dR+Gsk2+8pp36iZVedfy
qKZ5j62IVrr6TUaJn5pdWklXtpGdZF1fU7102HJa13S5YjVvit+DfrT4zncu/Rsj6RMbGQLENBLl
bCPpjCAivreRpnU+ZCoLH5LJNkV37mtRifNKjL3T52uf+nyK17xF51CRJGfJ4cfLU3a6vtZcc4B2
yOEpbOb5+mvBw14RlX8raMnLPPaWS55FxrCgKw5unlLndy7zqciiQARr27ydBF96FlOxqolfepU1
fRlZ23FHb4wMO3z2400ihL+PI02ATijqhm+VYwvL53ucszxgmePBNxW4kbBduupUd4cqFJ6TqHFe
qc+lJIm/+PG6J77Z1hVGaMYkYSbkp+u2w2K1DXj4LV0QcyoaSVv1v2UiYU0aTUU+5G+aBL2mj7LM
MqaiHy8PqnJybA3IFiEzQoYMOfT82Kkc84DMGf8W6Ep3PJYTUfIeiRT4C7vmurrJA2rpa152y3Bb
9oSsWdRneQWj/Ks7CXWohJIhMQRtCHm+k0xnSVUsxH0TakLKHRaqVloepJuGXuzzMBHqsxtggi7q
ldbqsyXL6Mx+zC1pp594BfD03CySKRFKGSqp4Bp+Eg1e5aRYyib5mpi1ke7Mdm2dLPsgqXuznC2h
mxEiPz4/PUEyTaQhAlmCROWA0/DEAKlZC2laH3zJcqfr4Hz22ZYQ9Wwz9LHDVIhVxHndL6yNZsM4
DCFzkg23dauKJW4C6ppbU2e1a3adtI69r8e86b/8eJsbnn6Ht5pSToQgQlINDAdFfu6mYUpCR7p1
/jI77xAEZCgJ/EPmicsgmh0fg9uWld2WNH6y20vepsNP/PMXY1GqNPgGUSYUXADanm8j7Fjvl17Z
L00lA2B4AfRap2hciF/kFU8kcL9PB1fe14VsgKiurR2V52FQBGMZdRnQdkP+JcO3mnytxisxl62t
fwIr9DTBIH5wpZnSIYOHlTqpTzOfmtY0K//SJ0wF9b7wfVsNb7vV520TT93SYXOBrkd8Zpeutssu
LNcluJ3aNrnojauKNK7XlSxXddY1PokaQ1Ti40GSoHqvapOudcy4mQGJLCgW2lyS1VT41TJPpq77
SZpS8LhnAcAUDY0yilAuFTrYE8RAZDbd2IztZy2tLGTcklAiFJNkMMbFdNUBoD1ZjuhZDQKfDY9w
0tIkxEfz5LnqDsPEf55D4hTFGdiGQSJRyviWuydhUc5lXyeZbT+3DlnU7XlfhuI1oxlfrng/LDCH
ScZq/Vhn87LoaMjc1GUxAH9S79NuTYJzV4ti/eiCoVc3Ya42gjCLsa7MWTnIzT225wYhtIxaju9b
V5Trx7VS5VRGpKq2opXD+nCQbUyGN/niwETCep7hOy6LBS/9SlIf7lrZ8/6g9LD5rpzTHASje1ze
hGmwTFFo5wI/YUEesPM8aDZu4FtZl/dzr5quPZjR0fFWcLv6a+fKxEVVVTtWx0Ga1PN5KlBcPzVh
k4iPIxkpgkyHKXjG2DUWFOXH2HCKmrC+JlqjcxZaSU5PQoMnS5NS01afV1r3Lo1mRnTbR5MtbHXB
h24CUPx4xVM0YhpYxCjqNhWo3acr9o702VTz6RNfhy0Yp0Fs8Md6XaJ4q7GT6nNS8BVBOLHB9+lr
DWBBnP54GxudfZYUXCvFNGqFZIQJsOTncLTycegCo+qPtWhqzyNvBxk82C7rgEZZ2Td07xJt87dj
H6ZAnDaTNt2noWejjUKtp2qMPEu7qyoJ1e3MXRUuUT9RNb73YUDyuJPrbK8QRCSLCiKSvI1EouiW
7BlBHNoxA7u4SIrSb5k/CsnfMNT7dol46fg8nv34xKe4FnIUKNANnHpTDdETPD9xqZKsmbpe341D
Q0BipXMMJHZct7gVIFniPKPTjLCdS8PxkvpHZhuodgtpPhQTS26TWW0hzbp8rd153jK+QWS39oQe
umps+/xslUuJrEumeuPUdAlrZKemHdLox0diJ8gWggGFKJtANXgQbewJVHe8qVdbNOwu9BlHbvk2
3TbgAz5sqfuYx9AeFuwtyeYtxYGVG6S4tkOhCTIKGk9nub1lu7Iv7ytTaHGeT9Vmh26ZrLpJuhlP
5RnfjrikteoPZaAdP7ShG3kfL6gXOO5PjnbCMnE0QyElUqQKkQJ877m3/FxSXQ12uePpuCGVdx1C
a63W3H71JCxZEy3edutHzZqtPtaBpXDIrOoqXfZrrahPD4YHw3QHlupgjkkXHNHHxxVo0uSBQYiJ
qWo3dBsAm+c5ayfAmgcjwYK5Twj+Qo9FYYo6FTCF9zoLfCyroUBKZIYV+Otonw0Ky/sfG+EkR0PQ
BbArzWSItpP8herSaRVqUV3wYay1BToc6S3LwnksY3SWWdr8DBZOytG2pOAg9gRliSiwpudmJ4UF
a21n/aEfKCLEL94joFD7YR9RtMLKfTIFdu4jVfEFBq/GpAFlAejBSpObK/9Wqz5MikPiRQgwQEKO
7x2mL6gAdYDE93ODQvXktrSbGphyrsIGuYIs2tyRlvPmiKDIKV7MUpjxPbG1xU5kWaI2lcpvfeqP
rS0Mx+G+Y4o4/FYEABIUc5+/dlSgg32Qknn5kGWLqpLIDyVv42QiSXGj2Crcsu8yp9owMoyZIouc
6/LuklQDn2XUgu0EVy6tA/E6qTPN426yc/qV5BU5n5JBqF2pG1t9E0W1uve1VTWGbSutpjdipGRe
d2HRGNnGHfhjPxymSYbjjeuyZLaRqklNrzlx1OyaxhkaF7MfXBLZOezWIsqa0Yk5TudyRDKMq5uW
KpoDWYjiYBgdxK2q/CLSmMx0mIaz1kwZTcDfktRf+EyDmcV6raZ1RVuLUGwv5nJJhqjr20IdRqNT
vpN1MK8fJmVZ/nEQVZrsuPCMxgv6U7tEKvW92ZmcTWWcyio914z7XWfJtF4lpiHkjE40Y4c06MOM
7NvS1uJukWNaBnfGknn+MPuZ+9dB75vgPSqGHr5Jp5S7W/WYNjZqraVZ/87Ma1WeJTnUjcNqRVjb
yJSWsyzWbu278Auti7D5lrHWjvMOobJ0D2bw00Tispp6Wpz7pOlkuEMfICt1ltRBqW4M1UFZno2q
ZX2VPWRhwz2sPFMeOvF65XZESK/U9W32jiviFdk3jWhbfTGYJM+q60bOZZfuizH103g9ySTN80Mi
6mmQ75OG8e5CFSJLwwNiRfEyaseVoKxXfZhPJkoDoTq/yxK3FsvFlPZBlp9NeY1qE5dmEgDYsc0H
+ZsNBiX7CwTHFCTxxEFb6M3QgnWZyC88nNWbimmNF398M8jzCp8Rg67exavtRfdlHTrDxstCuTZl
53QOAq3jpZDloM/mpqB1FUkxbnWRyCDHcVIuUVTu52RRxMSFzIxM3yxTO7X6bZEExVQddMkD1l6U
w2LC8Y0quMxN1BmzaRLaeZmVH3WaJMF6JUTVw1LB0gGyXwO1u0xeBTxxurqmeZfT6m1RTEWY7KcC
QJDubU459g7I2ra0jEFF2J6k2ZJ3O9KWhQt3jSeBbH5jKWuwXl1UxtwNadh1sUPrDcuycMhRQWKq
su1HsH9QlqjrzMbpRdbj9HGb0YarQ5FNm8V45Uu82D7zwW1T6w3yxejTUMdm8hYBsDbgG2feuBrP
tcejZl6uMF9XaPxDLekTrFZlFE1mQ/PNPbQVGZP/h1bzZudGmAJaUjAEDq4ImjLMxEPXoaHpDi7P
wbTiKaSL7uI8zOQQwINi6IaPvmiGvIG9gmy1Z9mwCjq/Dgu9bTmHp9v1ViGysALHR92XJJi3AFMu
2DwvlwDvVabeTDOOFI+ixIbdhD2MTY9l46fzOMd59wWCW4b35NxadVtKkRgei8lAAIpanVHY4il6
krU3+EldBNvhEr88GmNA1Lj4ieMaucrtL97L8jUnuQtun0wdHB//w8jH56AUsPK1Zm2NDdAmyMYv
Za7a3J3lDV9w6I6tuOMQpYynOblFA55aE8mjo+w6eoQaOu/BpRcNNUsiI1pm46LemHqwsNLI6gqP
sBYam4shcySjiUqybKQ3rSXDm5VOSffFHC1oW2QQcO14pozl6NHi1jZqoufLEG7dOTm69hgeKikr
2EeJHN/YS11th5/VkiFOU+q2ZTKRKby52I7o7G4NcjH4S5yUb+Y9BtI6LAN2iUNuv0Jz1+N7mJ5z
RFfvs23rR4MG67TiD1txK/Q+ILIpi4uVST23ZymBiET2Uz5Y5LQp0k356Cf4Nx81675QlTYIn16C
seLwbgTZfdNDy95+kI3bixjTEC9VQ7Z0qFe57b8ZVJpNd0OVVml+aNIQv5t1nKb8vOwXTf0VP8ZK
XvTG67Mnk5tidNjOnPMSP4IKYLF40eYl6vxIu1WROzC3Ihx3bRf4Jo9JnyZYXBYZ7ovsfNVC26wg
GECygZuy4ULbdEvnAfUV75XLoIrwUIIszsslN30123MvLKnruDKiqsco6VPIhtTQAc9nvuvxAtIo
q5u6G/DfpZ6g20kyUUhFHbT86mYsfQJRYHIFVqdZasePqklmdAHJsm6xPxlAeXGYeceAMKHLqiHc
VzVKbL2fgyYx/YU0KFXzJ6LmAniTVtaW5fmTnFz4KnPFYcgq9LtfF9FjsnjeFhnMccYfc6azYQWD
9clUJutHnoV28ncdn7JJnfvj0WeT9jARb+e1xInKdOrlXq2EAuW8E5v56NxuUQO9agvxo34a9uUE
C9CBbef1ec7w4hDgeL7LoT4GUV6t0JWNYGVjIkgWi6pf85Y6PKEWuvWwoxx6xNVRZFmprFxyGJrO
JewiTboVv7EepbcEbTlUw06KEhJlQku0vnWN3qmJfQVhQl7VpdryyYsphwiflqEHVHKVLKh5/QKk
KQ7o9TbjDTnfpAI2hCW0+KJqUnzdLRVO+WkCPUuCyynpnctvDC82kdIOKHevdZlw5d8JyFhLsp+T
Iliyg5paWfU7SBdUiUhDBFKfRcopWnIUQwPnr4FYcSrV1FvZqGWyhZtjjiL4jpYsvIUSzXOS8/Fy
WmWd6HflOkzBrQOZhqqwtp1Rn4G3iK9galdYoBBkO0PSNgHAH+3lplJVOfgqmLWp7dR+VmbJOvpF
zJWqbpTq2iU5CGZ7H/w+5bSYkz0qGq9k1FfQv4M4rKh2H6FITqX/QNKuSNM4kQvP5veTBrfpvpkx
Hzv2qU9CSBNnrhzG2sQBW/vy4yoGJmw0oDrMaPYpteCUWksz0AFRXheGxSPeDPQY6QmTqXn3dJKj
L7u2gEAcS8mX7ViPcFNV44Z/Zkk3NAH735I37+vtieZRvU8Ktr0nKQnwxJIu24MJhzpR79G5b7ON
vEpapHIKtpjcrH6h7b5Aom5Zaertk6eQBacEEhmJYQ9GAI8S/AanQRq7eXFcR5Q5Er4dMp1ONppI
A8FeLGti2MXUNVuWp8G6yYE95kR4EaBl/qJbCeJbEMwfbqBbbjsvc0waPz8tJJ1BSesQKsHtsWNr
8mLVZVQ07SDelUfAKo9CYxfSTYwOqm4TIXunnBC7Oq07m0RZp4bgdshlizP7CVO88TJn6UbjMjFj
DT1W27aGx4QLbIk6EiVy2JK8ZduYcddM8xaTOllZmUcy65u63mdFhWw8HA0CHXgDvRK3R/C7oqdB
cZUxXunwJ8LXSUMPLQf4gAhmADdF/yIrZx4zBOjV7DazVmHXOk1nZMNkAbNdILYMqkYIL1k05t22
9590d897u215tc1qyHaDCeufNLZumG0w9RpS1REaC2jA2AX6AGTSj5c6EdCRTQRX1rAWJCv8V21t
/XcD3iksuzABlfwjRkg5Wxt3bSLEG20wswIiq2xz6pAX8LAVTsBlT+D44708lxAkIYifkEocHuNw
xDl7vpdk5AzybZHeGkzV1Odc0o2P9z3uce1XC+r8Mzv/dUHcloBwoELDIC6aE12xzByhVU2S993c
oFCkJSr+hV5KwNxTZv/4gHST7f6zad9OCO2WSE1ZyCjGUScLzlUh0sZX6v0TYkzZuon2i+KLlIdZ
9OF4KNpkde+GiS/Frh6aDc+5AzQE/SpQj36yo+eRjh2hlQoNipc2UkCiOxEaF0OCSS+8e18dk2oC
r0OOz0OZANfzcMzhgkwMCzLTcBQHUIsg2zZStLwb1njs0NkfZM2tJNEMaFliQH2Hx5EfCb3JF45+
Mp6O86z2CLM/PsSpG+E4QTiRmJhQSsPTKSvqbufZHIw3WV9uyLQ+EqG2l83wbgnCQeD61593ON4e
/fX9rYi/W08SOHL7p5Q6sZmewUZYSIabp7I3p1lXRMQCWW3k+jz9l6Q1SSD50xDKIoAbqfoXOOBT
AiV6zIubY1kCSd68ocsKedH03VYwfnzADV++C1MEBMZPAhmI+ygCiuaJnjkt65y7VZbnuglcKWNd
15p/Vg4J87MU/OtScF2ICV4o0OnrU6irE1YvQ6rS8yMVGSXUEcQR62q8/PhUT1cxvjsYtEIsZXBB
hnBASHg6LiQEcxmdZ/2ZWxnJ+j2T83YbYSCCDfb3fm0wQ49tn0JbNVGdrOgWIy9TT+srVGtcwUlj
W7ZQfq6ZgPZA3taJTFN7voAbSHuTzHlJ5yVOGEZOn/quq9EGuYKJptvX1bAyHxNLVF/vQichtV3z
mVqu3prjPK9UaEb4m6SpaTe/LtNsNLgyM4wqp9BEClzVOEejofN6VwVFC1c8ERQd4GtZVB5pBRh6
iGKhHmHs2GqUEwF0T1nNAN1oDTcaMI0sAKG1LESf0LABD4BiqUHf8L7ayFxw5DYthqPIdtKGdM2j
svc1XaOmd6bJd6rVVTFEf0geHcpmFj0RmUcGhcnaBPuuXbgVcd2NUJbQW5SK7dvQYsm6RFcxXhJM
K/I0rua6Rz8FPb8qqjsO2mv4jVq8Ee1FoUiwiQH96KCzLsc+zExLz7tdVg41ZFcoMBpThqjIfGiT
OBhsOpE66jhuD7G3pjOtnvZpp4TsPsjFjKv9gHnDNtECByRM3VjfY4jwIW+hNqc7XELCdYJD5jpK
i7imIJ2/L2g9+/BSqnlin6mcFx/eQDZL2neNMUXJ9kXTBwSdMIBj9jGucmGWvm/sAt/uppmtbolI
AGVijEHNqAzjRSzJdF2a3vdrhHH0lKObNqHDXDTPSH8mSOWnL4rU5ZLtEgHC3US1bmr3WwPlJRii
8Dhye8KiDvPwVF2HNXC7ODRZpdgAFv3IsyB8bzxxafxWdI6hUT2ywUZXJVo2Z3Ajpo1GR1RNgWSp
1dgGK0sWTWUwmg8AcRveto0JqkOdy1RGWZpOt3LJZbFb8ik5y8XIz3PC14vazeM5lAz7XjvF4tnI
7EbnviLQjEf3IUFQn4tU2j5C9mVfCtdWv6Ukt7vZ0AS9aMX9GZpdSEqskVdhSz7bEunYTK26VlPe
7rTIMniXBO5Q6FnsC5sPb9ai8mQPVu734UJ4hYhV9desHW4ZFe2VE0F6VY+938seEjTuvqTnox3M
LjNT+E63WYe5fpt/y/su2VVZm0aLaJqdTEx3Ga6sPixJgylw00qBnw6XJhZFow8TfvIiRD/2xc12
OMO9h+RbZ8rqrJxptUaLKeQhK4i9bQW0+aiCRNNHAbfp3TSv4X0VNBKt/FB/mEKW7wnz5FIQk+WR
DQJ+LSDTHZzvm4e+0Mk7iIc57it5br5RjHrQz9CWvh9ZkeWHdmmCPe1r/74fBQQHQMGuX+bhkvdu
KSNZT2GcaJNk4W/5yMxygRsIw9eeiYLu7dB6tDl5nS3RiOvZD6GXut4FSeAua4PrCDtBffFuHnmJ
Pqm2V7L3tIuTMLP3pOjb61kLctUrukVoIrcZajpOlzPo7Guiy/EC6ndwmZc8Y7sQ6PeNThNvonUN
aYa2uQ0+TW03PXRBMMcsp+t93xeW4UZBi+uD69ojcrOqrSLcmHLDrl2ncr5UQ9qlEaFtfrNQDSBG
SxWPE6/4pQhJ1V66uXMH1g7sSlb1HEHp/Sin5SsZkuRGUKTP2A9+B2mR5FE616PeycXyvdC+uWkz
4T4t7QxORjDeTvtoKHEHoox1nso2CgYu7jGZthFnVXNmIRREjNT+3Uyb8l2fLb6MS+/Tuy5but/c
3NYs6uZhjhPq2iIqsD9MXENobki8OVtjMYfTW8P6rIqbdSzui7pdIwx56o+4od9FbTvSdwZDhIuW
uTAeHEkuRd6I+z5U83UBvX/E2EEMWDTxUTIEHTrSIb1WYWDzqKKluXcBSM0uBD8rIln03Vs1qfIA
oFcqNvmqzz212Vvc08Hdjilzd8w27dk4zPSsaEd173hyN6FPvlu7eg3PulYsUdHV6cMCg5xlXg/D
HjRwufXOyCRyosPEtkx9RLJxvFCmbM868FAapbo3d6bx5gufW/6hcIn9Mq7j+jAgwHejtuy1wMWC
M4JKsevmzt+CXwaRnJrxOnB9+XkltjnjFU1wMwty8k22EIFaNgORSJGH0INkqc41BjNx2zfFWSkH
d4e7XRz7H9klJQ0/FIr3n6DLdW9Nk7lzulTmtq7depX2RbefNSAXbXCd3zSC+Es3iOlt0yfugwtD
8ZWXI8CBdct4I5YayQNN6w3lfrianZ4u8mnmFrpN2JwlqhY7tMe4YQnZw1ysgUuukyRz71YWZnch
pJNP3Rr6Dyj46TmSTb9eaeBxh0nlh8ok8hoTbspjX5tqF65LwxHvrjmsaWDflpDg36azbbsYN0PI
wU1F96n1g0jRXK/rtTNiuMJFpRLqQG0/pHw1NTC7nvdcl+E5xcwvHttVvAnHlEOZd8G3IGG4g3a9
SLHmJl7qGVx3pwdI2uF1Kfmo/Z7gf0qofFSZNrmegjZ9C5WlugnE0nysvLvHd1IIvTn92NdgMMWg
i5vZFLh+KVuaXxrbss9DkAxTXGUTeY2rPsNdzsaxO8tYxUVsMqqvRGJdeDCkbsxlnYXtDnNcsUYj
5t270Ky1jorVmzGqedLc2ADz/qsl6DRsrcjk3XVnRgx66OzodNGIrn7DZxG8043J21jNLrP7zLTu
fZHmY73HyHfJruq8tPkucI3EJcQkocGZHvt+fb+EjRuys416kJ3pZlvZElazU1pelujJXRVTDeYS
y3pIxtdQS4o+5gNNP0x6tUtsSaWucV0vobuJgiJeeTTi/qPM0f054IhrvVQgTmmDa0Xno1f6UrKZ
NMWHlS8JG6Nl7ogZLhnAjlyEAhOBs65aGrfLxl4OtyZIywI3cNLKuMgFSVqVcSDMfJtz3JqJWCaq
d3ahwXo2odEsYqI7Rq4nU8xNzBx0/Ne6ApzucEFu3VkoW5cF83mM/+mwvPTBMvfFm2oJlFk5zN+Q
uf4Pzs60t04lbde/CAkoRunolQ6wlqfY8c7USb6gxEmAYipmil9/rorT3dtOt6P3SHuQY2cBRQ3P
c0/OwGna2qi0lOu3r+fZk9Gc6UAGjQvAPvWshwh6M10c7bYnz1ma8lVdws4mbQfMmx7zPnSJaDXE
T7jI+rKrPL8/FRCFt3UFTJrJvdovRYGPKAsiuwyBxOToXNXFqKAjFz/UibvBfgezO99ZfryHaStz
b0pCrxZAcWB2Hxxljd/WmNJEjEq7F32fO+JUrKW7uCklXGn1Kdw8UrQtCcvgjba8PqQwWyJdNSk7
6cwP9LZV7dUDm9AQBadSNSrxi8HZ41Pdhk5YnpS7975/61hrsLyHzG3zSzlE3pdiXT8fR1m8L0r1
uYiVLxPahPbthrbjlEf5eGFzeNhsEsEI/RUeN412m7tRVMt5Lcc4VYM6VBIi01RJ2/rt27Frgmwc
A50sUeWxv65z+zAX+XEO+wYar9jzWxjGyE6dfdqG7OCw8e7jqRRvQwREY1atYD3MByZMgh5u++b0
qv5LDd0UnaYwLF5Nfde/XYZpLk7LXqz5FahxESZWu8dXbS+HzO2G5lwPuf+2q23nFM9lf1PnvnXr
1rt34ypIy76YIK9j2qLMdfP1S7eEy8Wxu26T2CGHcGbH6zCdlBP0d+gHt/lKjVuexNNm7+lQFzL1
gmlVSey0ORpSBJHL1RTwcCcNyP32yDES5vDew4WEX8tGFuWWHLoe7zjlOfyroG6ySlJfcAv5G06d
6ryEcZAunSo/yKpwPoO87WdEO/FFb8ftOVShvLekPaZrG5Qf7a5930iUYAWN2zl0c/mp39y5T3zR
95+EnY/XiyvyPcnHXUZpBTh6nSuXhy5sEO5qX1OaXfFa0pZcr5tTPdSlCD/XeeF8rB2xvVphbjNf
Df2VADL+APju1mZP21UipD3cBnkuqFvZHM0k9B682jTDumvNqb2709d+jazq1AQVRChgch9cdX5X
9ek0VvsM13T0gIXhJp1UNOwjSWBV0r9t1OR+LctyrhO34R4S2YRllNZ8bgr8xZwotfKv2mBxw2wu
EXKO1Fp1cd2qfv6Homsr01oJYX/m4N3GJLaibb205jrIZiWty2rw3fdGN3B2jrVekkpb6rXv7/Lr
skaK44HO89wvOWqoPvfFK6i78UZpRCXJWFDSvNqnRX2t3Xmv0gmYcU2qtdkf5lmzVliU9GmLAsX8
tsJarQmM3Hrq5CquAakLJFPVflDMIxv97iEhzc9tWM43nqZ/SyzKkTlr8sHyT9bQovm1j9X/ME9N
8ylU657Wk5iyxrYG+27ZQuct7FoUowqihkuCeSubi42i6prdr9tO+1CWklIupvRExWH1d6LcHCtd
cqPE063tq9OoVhwGKFKYRKlXtqX06vVcrAFUSlunsqZIG0+mjV3TXA+VS00tuvz42E1LV792e2eb
MrqKvGZLi4P+UOnoLEWjLyzblZ33OlhEHiW1M1TiS4Ns1OrS1Yp2mZ8hzOrdvq3LPujjlG5791Sy
HGU7LWnIgevrrIS/ippkQc3t6axbdd7WNzrKXWGn00IDpu6bFXRIJDsy73g5j4saqo9FUXt9kW0s
FWgU3DiiG5N1H/pgPhfUat3VUi5W+2Mapn31TyX6p7Y7+QNc29vcduFeLhRCqbnLRu1ZtryXi6p5
D56FXGqRKJnhAFZk7jz+99aKQ5txnGSns1iVu//Rh2Uq3z6CtZYyhMPcxAYadZ18Vzc44wx1j17A
8CCswyP8Vni5vQcX6KoP1tvgTHH1aVFbaZVJFwF0WXS2udwCjgi24/nDUgIoRK9mCsr9zpaxrb10
KaZlqC8O2C3eFkee7OVXES3d2mZ+My+6uxELj3ck2ORdd0oRvYg2fytmX1XBKUCoWolre1kG3aND
qmZqHHqHYjgrFUn2Y2vusxoV0q2LmIvSXcXsmDquKKIi76Kaw1ZrBQq7gqRWKZKqpdm8U9HtXtWc
1IbiJgY76Pro1UHpF51yqwlyWLA1j9WSON4Qe6dQH8K7gPdrP6hoad5bqGvmxO0xnyXewto5oTZp
v9ldTZWF+r0c61MfTHGZrSM6lT053AHy8QgW/VNlfx1XxXrvo469BAeuXvV2LtLaDZZb6WjdnpRo
EWutMUSwspq3Mt638GqghAsT0SntJXu31d3FONuoGPdIbR3mnLX+pg47r9lavTZPAs7RJZvFod9M
lbXtFAhWc6ICpUPMpfL9izHw5jbL22j/ah35rlXiFNvgvInqqvYz0iG6h9GGwE4mudIadIe10o2M
0ilPlBPjdLmUfr1+K6zdIC5U1G6XHnVZnPFprbl1bhcnQpzjDnGX5rbX9ydP29OlM/Xhp2ZtPGdK
w9wt+hRAsfLpUEM93bVRYC+Za/vL/BHpA7KJZFSo7FI0HcNKgeS46IoAt+4KOu828Qbq8Nsdwm1P
NlGHp7AOmmurmHqk7IuPuQJtnWqRbrh6mbKo82MoKWsuL/At8GLCvbASgbbuclDNINMFwOzrgWCB
uZHHfy2W3fOchzoHjtrvNS878+I8ik8SbcV3C/ES4KFUxSuLbXj6THO5lX+Fsh1N1SXc6pIKJrge
vdCvvrJFCn0hVk++6TeR3yKTLL4Vo8PIR9uxI1fLF5CR46j2RFX29j7a/eV+G5uSR8DGBjsctj27
adhiVqj9+I0DfBhmsey3KwfQoso2tDH/2ISHj9CvJ++y86REnjj6b4e86M+z29kfg3FykjhEh1iO
zYFCfzp0guVI3+GpdKvMXaYVU1fTIZCPqzVer4pgRJ02dQdy0CLfdm43bow0gm44VV2o3TMMETyr
LTAWZsUqVrZeC79DlcwqRF4oimmgKOj0dCsWtbwqXGeNMtsvVHhGCKHebXs4ozqeO54SNUD42RvL
qEhaCvDXg2Uq3gmHb5dQU+sqCeo8Ro5SD1WZcaBLlFfAJfdHCwKQHIFSwaleEdhlwm6r0zHs/J3C
R06HbKRV2SrUj20qu5ObT3u6zb7+FLJbrDf73I0qa4Y1ejP547xwOd8faAgqUKDW7W9Fk7s3UdnU
ITKhXLfJ6OTxjWWV7lfdVPX1bqnpHq2eTNGAuV9wxSwdPEMY67TyJzmm4eZVOls2LaekGaM5Py1l
FTXsv6NobqTjav88B5v/wcpLtd+BXNUCMKBvddKo1vlUxSgekhYhxl2PwsQ+hZuvaQpiF1fDkNt+
e2odWb6r/X3cUs5Nqjrq86wU4xCZcQteb2IDhhZun99FTSs+DqgsimRdmk9iavuP49z3SUmwwZsQ
RSVCqWJlyjfjp8La7ILaardSi8rjdlyw90zgLp+7YrGuRsmizsaqDl/Py9xfz/6A12MM61fgAuGl
ldvRBxDjKmQaFMFX5R7itHv29GYdtXtVT/3spnKNNlOt2S3SmQ6IJ5ym6HISZRdkR2xROLVVvF90
vrs2b3DLVtkIuJWNTHUvHYS/nChfnJtO9yXawM35WOZ6/xjns5OoabGxTvr1qY2a/AeyYjvzfG9+
H1HuXzhe7nztUaB/tPkrfmLtDByS/494bqLbHZL/Qq0zqy5aviBQnu/VYus8iebedlgHx31cWDUV
jeO1F5wHY0ebMYksChGn8LdfbYM7/kMCdmTRTqMy4Ck+kr10+g9W1HhvZSm8NvVA9a+U6hyoMJSW
tRAPegH9H0+1Ag8av3JA1e2awYHjYvpIR9u36s3oTb3nv55lObDLT1FktEnjgP8ZkcCuZTvANUA4
9q89jZRGX2wuXg03E729z+WVvZStPK4Qcuv5fV7tm//gd15fX8o+amcvzb3Rnq0sWn1vG9m8atQs
cFroI2TsVIGdIbxzDsrGyNZVOtbBaO9Xi95BMZPA3f2z53Vb9DnouplNZVB1szfsY35p+xl1HjqF
zNJBUSBo8dBYIUemjEdVpfFCs2iQsXs+UtBS9d/twdLhlEFoItQ7TWrTdQljWRU1aiFV5EZEzhwc
oEEKWRz28NcqopkWphJ7MI4f+mjLV5lBxEb0fViGql3eSdlPS59NWxAFzslWYpmGr0t9rI5O+BRV
6XTrPUqy5FAlO8Nljk1SximItXkSLyjsuLkoi30Nh38sVnG4flLlUc330MKHwX5jzRMN843UU94E
6W7HUbie/0DPPTWIQP5hoI7xyppAljhA+PCU/u9seg65q/jBlrhIfrHeblD70E+jaAvUnlu0dm1q
t97ohkk4NhiRkgYeZUpn0e3he/mT6Hr5vp6yvdwWqT4BdtUY/hUVuPHg/10hUfkaa1JRhd/qXhlv
U/so/GjruGEiWj102R+IyqecvLkiNm5Gw3iHoXxNxMDfrwhoGM02fonv7eMV10dVjfC7EWp+Cktv
QQS32ruF5aOSkJWPr+JXfsIvhvsxB+ChVzhrivJX+NW/vvyfd33LPz+jmP79h//HJHH982/8z+0/
Q7de/KmL770JB5me/5C5m399Fjfz6+5MhsKTL36Lc/gvgQ2PGV7/5ZtP0hyexFn8Pc0BSQZc/r+k
AL/FOfzf5gu2ot//xq8gB5IaSHJwscuhSEFTY6bKv4MccJU4mPN9F41igAznb0EOGKKQE1CeCN8x
jk+IZJPl4JuMB5slgXke6sQV3v8qy+Hp+nrMcnCwJ+Ew5TkB0Z5OK1asbluo7u+lfSj5o2mPXNjZ
thETAGgwS1d/kGhi5/OkRcOpOKFJedjzRqHc7v1+cM/KMlU5iiH0Wxhlc5vCMWrqcn8/2i3m2HT0
VHAE7B2AR1ZKCQXVBwax0HsAySyT+9oJQVvGpLCVtb0v54UmGAq5wK7p0fDQth2L7UcXYiqAE5Id
3IIl12y7FeXnboVlqlI9lTm20b+9yP+g6XgmzcHeiBLGRR3Ivz4+8eej08NbQf8e/ndExmvcYKIK
KZEoW4Sob+OCoxwq1Km69scQjJV+hxXKOHJdMHOeh5CMYn//8i25T9VC3FIYxg6hYiQhBQKRzrMX
Fkp3x0c0Ft+cxkb/qTxOiesDRT2HQ2kFFah+i5rBkQnYarRQw++qBhe3Fe4u4HLjlAsX35LXjb1O
dnk68uJYsqPZeRWneT7K4wMWIdT2yG1rkjWOo3b4sTb2Jn8Aj57Azf6wtz3Ve6CZYZB9woMiG397
wFp4Ognzst4rq2667/bGkfkW2Mrq37RN3h/3L4/eM2EbFxIEpHCk+OyhEdd7eiHdtEN8BHv+DQ+Z
C+yrmrz20F7brPBdhNJ7vU29ycnQgd/gjFOIzdY3SHgw3L18J08PEPPIgvAHYdh8jKxolZ7eiSMK
bce7DL6tUzQGd77SkipibC3aoetiCg7/T7ETzybzzzMLHo2dw3awkDrP7aPCxRuFL63+jtTODpMY
rP+rEzUaD1LXfQcmCb8d02LgXeurXiW9tw5W1f7hXT8zs/+8DbSmiIgEb+B3X2RAI9VOR9h8z9uA
9JcATvQ+OFCLv6oaICMwuPgdcu3lrIMyP6k43z+V+DTVZTkdzruX38LP1fJv7c/jzZh8PmYexoHf
Zt7RLtvaU5l9L0I7eDsEzvTGbSwrCwNd3QinXe6WZpivFRbjq2YXzu3chSAkYTPv9xVAKQurw4lQ
Qfv+4ARgd4qGqn77h7s01cTTuwxQQPpIT1n78W8u2ZUcjDYevOW7hskr3gviM6a0dSFal8le79wA
g2myTQdykmj0+x/lAbWeHDl20AsR9tMHP26KV3a41e/dEVwHCqbOz6McG4a7kGEKFWbVf3jRvy1q
XwQRR5cIqVtYdc/WmuUUFgxEKB6aZRhxfw1aGZvrGh3GUPTyCJlN798DZFYTByVJl+jTyO77LUnG
rbqmVpXvftudYqq8764GxS6vcrWwzxX9YJZ0o4MF0/TLF/79IZk5gfnHjXwO+Wd1IA4sRE+ynh6o
fpfoSGTYYBnNXatiNb98Kef3LQNDsWtHgY/CiKPp2YBKzIM1Aq3229R4fhteVnHevW8g5QYsETjT
CvV6j4/cbl/11dgZq85aEpQgp1DhTG0bDuAcIjxv47+kRG3rpeXauc2rei3GSF8um4eR//Llm/7t
xfhod8nagf122HaeH6BOXEcukQTdQ6fnkbvAvFWThOBoCyNg3wa9AKdbeyyzL1/X+f3FkEkRoCBk
0WDCfn5M5pZj72r0ra+IUx33SGNwqgVcLlLoe1NHNJBFl2zLdfgFAQlkeUY7OsYqxSLqru8q/EP0
uhiVj5nMKkfGZ9EFuO39VntTlL18t6yLZxPYZKv4P5dJjAfHef5u/WJTY7uM/dcywrISoAPR83E/
wUkzqQ5tF3q9iCeF7RibYcVqmjraTwuKRmsO57j2Cv3ABGzlj4DAID6hyj1jSlodr5c/Hg98dGKc
Zv6OtPLjVMSgB3BbIWqUZCUHl7djIpco+zrhrLyRss1NSWBNpCDpzNVYnP8Cu5n3T4c2JStkx5Ez
Fq6UhuKwj8q4hlxv8FnfQwn1cq8CT7bfg21xKifB6zAd9yz/2P/YVR1Tc8T7zz06SsYdkDQY6Efg
EiW70xLsJIYcswjXd+tojPOT5E9wmkHuMCRlGfS8M7fc4Xmg+8uq1qkEVDbYQMRnCOxYUoLZaiAW
hFTThqAFAaRTGbVbhWegDS78dS/nv2bAR4onPezGDD8hZcd/L4uYS//TLSPwQRNEVmgV3Am4w+HT
EFWA3Lm3DtVt43UR6IMz7d1NSSu/XC+QrMylHUKXoavWivyBaCU3g8CSnOgv0nDgVVhtKhpmmvve
6xQeoF8P4Mv5Z0ROSEcsM9vOjd/Ttzum37QXZhP7ZcYaptzk21Sh0q1MJ2Mk/ednDGqwxpOokFyV
KVOuB9wU5eEzBouojO99VyWboxY9z0Q8iRlVr643Rs6P1MIPbNtc1tddMy5Yq50SUXh7ElZIl6BV
bkSdSocDj8dGb6ZLH89USQLzE5NG5oFs33Sz34fgoEKY6QLZ7bKmVkSRzJoCbxnvTOw2H0iT7eTh
eS7mOhLXlrdX+mFo95Ux7PdVcn1CQEibexs1aK9ldoRL1GxXedCtxlZ1dKZXkM4u+J4O6E54CBmr
AG8lbsgOAy76Gu44dFd2gdN4iJ/ZP25u5u8oBo9HKyIxoDqNgZv5lF73xiS5kKPGV1Yxh5xdUFAz
t6R5ev5wW6S5Fy8G4wrSAKpcP+howCuRCSxm3uUaRCZ6TbZVZPqEfLXr6m4yoMLHavH4Io2FNmiW
9GIzxgNCCvlj2TeTfXFEoZlzDS2HdynnHTc5dFpgpqhp5dZ3Kur470AFxwIO5czeQKtyUNViNmOd
61EfZvMoawp/OQiTIFHic+dDRwTlvAl/ok8BeVaOWN+FVY3291T2xMfoy3W3J9neGjKDDxzGaeT+
Dmp/M6tFVRlcqo4P0p32qAGRzaT9jjS/Kl4zJ/JQiKeoTEt5nBHonn2IfyXOc60Lz4ZEPpoSKN1W
x72vEZK4aTRFZIOd4nZDwEKhAHl9F/j+Wo9Jac/NYKcBwq/qNe75Kgdelot5w11F9JQD3BVOq3VV
TXZTaWjCYe6ndG+mydpQIUwh95hbE+9m8KKq9790Ex5cxHTggkX/Nm6H3EMrNPXxHqWBXRGocWIj
Zrs5zaKQAMWFWvo4/qeLjEipubzMhVwQeSdRzTYbPBybb2FdYrPVPDMamvqoCFco97IsXtV9uTjh
3bzHk5k8FfplZuK8afJOiCgw89Imjog5lIsKrcNNf/QH3xvcdcEmePi4Sz9MQ8coZW3N++iS3bac
ZbgD23PZcmU3LLylzvHQr5OI0G58VjzYZhdcGHxmrl1hNV3P9qw2fpKWeeB785ibfam213b/K56l
6UCAkQq2J+XtAeM3lzCqdyujyFpw3HliQq3DKHR/xds3QTsRmhrvMmqmgxsnoYWQiNTDGc79s11y
HK1ahZzyoKaKlRd5jTlk53kxYTJ74Fe9xaE8avYHHZWW93q3NZ5+dAKt712qYe54pKgf+xEHh2tK
LLwptX5oqbXr2199L7u+GRxsKqInMwpqbCDisZSbsK4IOjnQU0WRKLIh37r85KHzHN7+CoXpOfz1
adVbyB2HcrMYpZ7sCxa2XAARiS+rFjOCv6Z1W23me9oD4nNJcNxNo0agjtnuJyDv44NjMSsFUrox
HreESrSwWZ9WUbFyvSjHB5SQXBGqO7di282mGJDXSsLD0fgou60Z39rt3rx7EtARdGqtz0G/Lurh
95QO9JjV8Llizz3O/y2gA5KhsROY0rm/UcLfVJf8Oayj4VhFlTSvTjrwjv4Q1uGFunGJERgtPX96
EtkhB6/erSRuXJ2TgvHfkztizLn2eM7dY+tvHvM7grm+3WzEvOe/Z3gU0kWsV4XBHF5PGjIh+Q9J
HhC3oRG2hS4K5hfyPPBiOt2czCHZPGmZk6Jy/5jtAWI+yv7CVqFWw+n3iA/P8qbjw9wxq5MnQR8N
cr1RXUBzFsee2Guogiz+/0n9kL5YlnQJVR8mxh4/2xf/i+yPPqoXt88cn1gCJAdiFlZxN7o8jLz/
VX3buiHT6s1WtD2i+62vzIGqWtEq//2mfaW8TOXbiHCgt+2CGuUxg23K7Y0FgwvV1JoYgiQV1Ejm
lTlWYjYSFvcQmfJx5ABnOZTot9gaWt82FWZl6dzJz1I3W9GYB1NbdHMMhQl48sth5ejxYW84ZebO
L9zjQochn3lefEjRI0E2azqHUDoHd6sfo+KWoa2Cj343kf5wgcovrOMLvPFgW2oZfLZJf5qo7KOa
OCz3wnN9quDNpnazMPNuir1MRoTHbje5tRHamkF2+vYJSVRwiEvs4mS8XXYuuI511S6tzYNSl0Tg
m8jeR7Mhto3LGb3h9qM02XQ8M0BwyObkJJdi507Hogy59hIeYU9ug+ebIELYzp0PM8FFbDMTKZLc
/0SmBjtK7YUmVdCVTswddbmanPFLPOI6qi4eQ/VcMnSCrxtu3/4cuDLsXhW9XDkWZ6VMLdWp0JQs
ZTybOL2ZlIfZ+bFYk67jDAUx5GjCeQhOlYQq3xnb2B59hp893BiC+p/wIuYkc0r9OsE8p2ccawSs
7GhBvJm7d0RuIiFV4cm4v9AVusAfzWIxsGwz0tzBQiAM0+efI3EMpOQkixIHFWnYlXxi385GFV07
nTYyJAszbZVWNnXAG7/dc/9jA51bY/Yxr5ED03E+0P4t87toyHeeWMjOBGhB8oeQyF1Rr1t5f6BL
yuNPax36KEqRLBTtduVRjq7vDgxoPJVzKAN2juOyVuWVsjtTVNizNNmWm6tNIx+hNAw+toBazp5W
G0KnOfNqlyqlwKLEcbn2ahz9S1sV0xrdH3Pp9tWrIEctPl7qwzPrQKAl4lHXmiLzXTN5ZolgBTMA
K/nA/EC+Qk5+kU5Da1wNjplgIifyxb0Y3BApcobb2JyuqOYLDk1UGhSqqRCKKjAQaF6MSNjMRzJd
JZW1zQjIH/kRdnzBn5ufpiqB0t2aKOS4dEruC7KoDE1pWOOaMMW8UOZuH5dHPcNHv2uWreeljhNu
9RZ3mliLz9DZRTVekliKLzZtB+ZCk1aamkCeUemZudt0btzdtptTrDMZzFPkIDWYWzT7WbPhfQKF
staWa3UHsr539s/0aDk5prSO156WrwjjavyyjkQjtMlU40Rhc9HEFL/yNmeuO9TsLvOsJUmSkZXK
p2Oz0VLzQiYvpryk8eQ9o2c7iKLcXPqnAMECqWk7mqn6y1o6O4OSP1Y+U2Gv1BpTH408bbWTOaFP
vzri6OhiCoO9KGy6r67ASYRuj54FtZ6FNeXBhBEe97a12nYqSlXSjiDXxW1/GQUwr++CoxFE31ib
w/hbZWya7jBAZQIksjumyYdFNIV8oXrmRz7lBW9tbiEQ8D5F1hGn1bj6HTUKphvywyhC2AMOZ6Dn
vRpC1W2T6R+YToHP5YGS88NslYo9ObhUoQ8lfkKxxdS/xFla0qoQK6IfHpdetxLxgQXJamOscsQa
kW+UzSuWKCYG5ipu08qFNlMSLHXrXtvevncDA3KYjtsnupiB3FA+s8QPsRXqNghqj+IVxLK4ILdw
X/4K9vDAEIVxpLmMJpeegoPN8oj0EjuqtPAcNHXPx8TePLJXyaEzlajbuezi6fbYNe51UbNKB7k6
bFIU/EuANnFjdz4h5zBd4GNj0eSHuemeoA5dpKwyjfNojg46Xg9ZDROdJslm9m9l1/FKK2cxt750
OyfhaS+XfJ5P1t55JGwowBF+8NDMKJJ8zIY18xqtMt0Jeql+KmmnAyaqFETEiX43Hbp+3DnifTKF
buvUZla+jBr9B8woIrU5FhCIIb/U5BkeGO2G9o+b7euez6bPXEurKf0Mx8XQkIGzjDzvHy75HFUD
pkJm4eOS9TB4UDgBY/0tGEDjM4xIDpu/+kSMsMM/To0msgyy+/LT/X4pHM6E0InIJCiK58mQRAOq
YwWd+Iqo3exPfeCJlaKQzZq96+VrPaMBvJCsPGBq4ZNtSvTZbywoPpGpMbqUr7toFxoZpCMuM9Gf
vZJlWI6tiTU50GzWX5bO8ydAFOQYUZOq2aXvBoUwTFpMy2v2nsed+RfX1qH0MyVS6E+cCWEwbHz1
8u3/NlSELNpE1Dm2oB13n0ce7mPezgXKE357lENY6YkDyrSFHK60UC9f6rc5JwCGY6hHmEdCV5/j
3ZRRFWmVgfoSl5FY9GWu0ah9IIHYLJEgL7Y/TrnnlJ3DiwlNIDjXJNDi+S8bGEk0igrw+y+Ejpk9
CiE4KOJCFhUHhBubMyuPSe6jmNB8/Z3sOHt8zW7X+lcvP/vzYYalJ3kDkBZa3nd+Y2G2bt4RmRfi
M5gEfbMuyQ56iLrQtPMvX+n5KLu+sHlaQQpHCGP5HLyuKQwj4Ujn84Izvb6dVWNa80p6gkO+dE3V
+PIFn4pLIE1ISwB2RlRAaClFk3n0v63rWUYHm4keP4+I8JhBePrMNsemaMKV83EgDwzpXKHLOA1r
v+RkfPkGfspX/s7gUGqZGGkCv0Iy6X3xfGfxirJxVNh9HkqSy7oT3OlRn0A9ylgisjZlyzqWpjQO
PM/s379AccufDeTVBsRrlVfb4+D8yh8H+tes4p4cTbqF4zGhk4CoPkIvK2acCknl1GQMGK2hOSxX
vfRrT4ahzcJHSIhmQ2ZzuAAeOSSDbhXlGxDdiRiYyp2vKqQMEeYoXNBcZlonU3ZZqJDoYqZqMMc5
MW/UNgTUmCNeqRHVcxo+AvQTpT27Jj5qUzThlfpZ8bmOKZZzicgP1GYi9gp4rJBkvF+7K6mpgCxd
DSz78vD/NuGMa902v2wkdsXvU3uhsygt+9CfelLPqFkLQkxpOOJjNhXAL8j65Us+5TSZcmy1cMpw
NMjPkAs+0zFAlGnjp9g+4Uw3GONSxUF966O2qq07e/oZo+o18UITtTtkXAHCNq25m5dv4/mT41fw
bHZO0qz5T/RTbvG3md8FQ7fxLstPdQ/8eV2149y+d+sN54k7zX/I1Xm+g5g8lVCAFAUCTa/nP5vk
CLyKqlTT9Hk1yVIffBmaaSElaqzuD8/Fr3R5Qony6WSewPWT2c+5gHzu6ZIutp1o9G5133fTbEdZ
vjgBecIFMCqdbiU3TocEgUXL/0IAG+bl7ov4A82aP0aJAtYFgqHlMXoRhXeaOtQ5PFOoVwUdCr87
glVR9hKfQurtxPQFiEaDnkW4RoGBiesWduTdajmCh7MQ7HmXRWEZpshZW7Nf0xDU+3CFxrjSzbnr
7cK7ffnlPhtvxoAIH2GzThGF/s6Y+oR0xDiX9vdLSyQmBoIeqqJOrK0Hp3v5UuLZfDbvlM0rQOCD
npJ99Nl83noFpup4+bvI639ea/GBTut1MKX+wlbPFvSo9WgQhTEK3d4ZlPTXV+O6GIQAJTKD63uh
wTPpBU0utduir9yurJqopePVxFLFF1qptt4uNKJO1g6/NYP2uCI2iLbkF/EHW2RIJKuRLmvniOyD
7619a1744UuuYv1kx8NHaGJ1QEBJ8TTyVejHx1jHcGXj7zN+0aUBln9RaKxI5q6E8+Dcy3NQDpFo
p92AQF4e0ujp60OcgdrRtclEIvGKJB/72RQeeII1svkVP9iOwo8kPfnI8aFHL4M6Uh4Yf4nDyNtj
TEoEqmXKy7vL1q2bDys5mlgqMONAmhYCU5qOyHsmHvF9Tv863Tf7tJZpGa3uZRXLv9outB9W5U0q
IV601ClcTvB69fP+prSr6ZYTqTzo1su1zqxJin8c8MjrdY6xmtTkJra9DNSw/mAd1kxz0OyY9Pg1
Evcep1J99hpL3Ib/j70z244TSbv2rfQNUItg5jTJWVJqsCxZPmHJlsU8BhDA1X8PsrvLkt3W3/2f
9kFXVy3LIhOCGN5372dP7YAjbmo29MTzu5ge/jHPDboEad2B8q0yRQuvE/lnVBP22YR7I8Gf1egC
BmLr3hqsz491XAkbG4wTU8KIpNxh+ipvlWv2d4lpIhn2dM0qkR3b9UPW+/Ip12pspJaUbIvCfp+O
PfgPmhR1QPKTMwaj8hNtBcB/OAJr3HQKf/TKi9P0vgdGRtU87LN1p9rqdsYWsmb7uVikNM0KdEe/
trpJ/wKdS34W7mx9jHu7D2L45WeZK5MNdoDk7M8j4vVkzYCgrcxkZrNVWMBAb+VbFeUft7Gj8onn
NQJFANy9cfKqS3lsuvPxzxd7/UJ/v5iLMHNZ5tnDvd2RhLPF1q71yydHdws0aaN+K8rakNhus4vB
MnvOf1FVXNMidLN39mO/jPyXr4k2jJYNk/hb2URvS7/KrLZ4akqiXAD51qTzFOiR3lv+Xn7T3/uu
l29pGQb6HLLBWJDfHiJHLNsGPooY7kbFO2MaLBerigNPsh7j3L0pjSK8SWSo1UBhbb9em1Cc8x3q
Y2c95h0yQ8ShzmXrtP6xxGr/kfVWsk/q8+6uKNi8GF1Z1CujE9a1PqTlc9Gb3nlJefZ6MCbj3k85
p66IO9Jr8JjRpVn4jGPNLRyqNxm9OKF8CmutPz2lVdQFKWSxrYhs/RGRvxnMPL939kK/6uSWbQDb
IO4LMTfG2y2B0Fw5Wt40P1n9cvOx6cU7s0rz/TiPj7i1sJOA3l/3RgRNsmk1Z2+Vk/0eA8teZrdX
T8ZdxMEWehCBUBGw++sFHIVWQfsgxq3YgwunnNZmuDRs119LuiRAjy3CRtyiGzHVanUBjr0q9hV1
q4sBxzU2JzfSLmcRWXuschTO2tD/XGCzxDqWaRfJVLrnE66tEsfmLTXQ/BIwN/wGh8bYFMzEF1wo
HARh4Na+e8O2cai2WHyeJydNTqZbJ7uMSvE+iar6srC7vFtXoewxC8X9R8R22bVWLkAhZxRqaxqd
wiqF5PxW5X6cBnGj8wXiEYQVmGNaAG7apODPWRM/WLbmnSfxZN2LhWEJSx/Lzzu7o+Xevb23mArY
gzqcZl1jef9+2vX1lIR57i48HhADJ9xr6V2dmNO0zppSPwnFWeKdK/5O9sjegCOOwC6wyNVeXxI4
Qt4WLJ3f0jq1jpTNtAIcy6SdUahMtzQiOmZ6O2qfalPP75Jo7M6TxNevISyZ2z/PbC8sutdff/ES
eGjW0IH+BiWpCptMFESf0UiDgXN7FX6u2hnjPBRZG3oSYVKrvqggLnU2tcJ1Gjs2+ssoWVMn8f2A
hmcRr9vKcT8BbxqW0i8l9FKT8UXmJHLfmOZ4cvo4OkS2G1mryvUNeL+TMPDK1XrRYyjyqgBKs13v
NG7LdglRuSDJbuAHlKudv8hCp1GxnKVQg7aRYvUOKpFk5wVtXnaUZjFEq7zJAQsNKqWHSyrBHTD+
acNeRH7ojLE8xEVuQr9wYRczEmkXBaSMySvTT0parijqRuIH6Ct1Tp5HAf7N+kLVvpTQy2oHHbeH
5/iAOAWDEFRu4x7SVfIJP3L3bCUGPns5pPhSX57O/3wWt79LPf87/RJxI1Pgv/dZrH8kqv+jev4H
9O+++PJ3oPqSS/n97/9wXbjEZ6KOgmQKoZLKxpIe9N11QRDAX0Jw0EU0ypmAsimTww/bhUlO5hLG
DSMdtqJFwNC/bBf8ESF5lCh89JeuYfBH/3SVXH1/tf4UofkmnhGtOxo8UJ8CKScyWY5nr2cDEsMy
3qtR36MWCoroOWeuHqfwkHokASi2sYl+lHq48cP+k8jgakIi+Onm/fhIP/Mq/df7m+8fAQ+TMDmG
W4Yv3kxIlc0Gz/MifV+1k34KrU+TX5/LIduUxTbKCLzTu6Zf+3VUrqwchkgdpTtm0nKjjAdrQPsQ
r1nGowsdu3xSedvORzbiilMTO+HKsodF1rfWhgh1S/3VGgt+KF71JYt79jmVxmb518myVuwTP0oS
AIjZW0ltM9kQ4KpuMdVmznmjD+W0mnXCnUDiSNNc61kfTGZ5N3nosRgTBOZ4CACjFXSNs6hXLnWy
ma0pe3kv91Zgny5sO0Uf0JlyI7NzS+uv87jsNyMoBkPzu2vHfxCmtpGR+zijGtoUKS5ih3gAB3xM
A2Qxjjd9la+HsQjaPrshhug2bRTmRQnQuas/976h7yB+XEXSxelafpmjPujSLGgcle9o/Xgr1XXk
GGA8L3CG7sCxTKtJV19LiIKR08vzUip7lbMHqh3JxeYtRLTLaGFS/G9yeUn2fWdysdnf/vR+/GLi
Ch5JWoWB8XpK+f63/mnkEtZfgroNCoWlGk0Q+b+mFErhf1nLAZVaEkYvYeGy+jGlWMZfOrPNUlMl
fpdOBq/ZDyeXSY4vHgjO8jrqI2Yk8R9NKa+dXDAVWB0XrxIFevoAzCuvp5SOhJe66fvxVCqTiE6F
VHdVmSlnk8xVw7Wj2dMxHQeOTLqedQ9dZQ0fM0uOwMH9srn/6e79ZnYRr8tPL5+GutpCbyWCCfXe
8ml/2mGxI0YfGPeYE5pSnKJsZifXuxW0mHHoiLcYlNU/uEPNKbctPJZ2iNn4jEnfcC2s2W755Hed
fsnviKEm5Ln4SDXXEzuMOeE35ONifGdT9LLn+3tT9P0Ts8umAkqRTv+lEmgtdg7o9N2JeJsoWjvI
dT4ObM8RLrpTZVMcHkW6TlwAK/NiD1lNmW7uCkzeAt5Q1T3Fo5QiYC9ur+GcVaA2ipgjldvaGbkX
VMquOJMfSTON5Rrinn8n4+aMQB973KA7cS6SNh6K3Z+fw6+PgTKrzu6KFgry+7cbXXfSoGPUuTyR
YunfVRErJSpfg6FRl/14hXbD/1CHIv/058u+PqgjZMexR1GX1HjGIv9YPtZPT9/Wx8iqZVSeSm8W
J+JK+hN0WAJgwvjuz1d6s4q9XMnX2auz0BN45b0ZZ3UJ7r4B3HaCBWo9klfV5ruw8yZjldXxRm9I
0ghMfWKzCeVRFe8NmteHtOWLLmdFVnHKXSylby8PLTnBkwsO0G0ym9zT3n7M8uUzkKEjN9AlKuZ5
Hv1O5Y2C9JhV7jfwNMQf+ZN1PqLbQC/AOQv4jwthCiSZYa5jb5q+1dpQr3UNpl1gw3dEa2Hiknrv
VPLrg6JKzLTBToicNgpurx+U7vR2aduhdiH6sHhE1iujldCyrrRWHIfK6KiQAH6JPLYG49yQLIFj
PAkMMbjPnTvPVTDFEfYhJEffktZ0nwbEB+47B3Iq13yKn19NvCg4xrDJLUWKpYT++lM6rZfohIuY
F6kFhN731p0fz7slbMvfdgMCuXZs9OuBs0uPMyB2oSKVOxQG9S63amI+86a4qYkWHzFuqehepUV1
mCR12dpu6o+oyaiPc9REU5OmCbl5ZqpWYSrLk6o1CaUDoEMUCT9dgZPBam4McbEH1pffGGl0FQFf
HFd57zanLmxuOwMP39oZDG5kMhnMDVY/o1pVXnpOe957CHXQYLHjifMZb70fKD0GkcDtSA4aIsti
pSaaSgJF8XpOx6+UlbsPva65YEmKzt2GsukPRFUbt00sFDFiriaSReUdfkEpAO0zKRvtc18Aaa1r
CX8CdehBNH7+lFAX4L03i+wD1qHRXWHEjY5t2LKh4j6AijD8S2B0IwLyttkKMYphk6NXhQapSKIK
BgNDXkEvC+SWfxmHUEjXZGp0e5YaQwUk6iw9ADf/NBZ6fGYgAvpggzva9X6qGVvpFPOj51TtRuoj
Kukh86KtBrHhESuOeoavXdvUczq9X5WRMUTbsUsrXg6lNlM09N62rcJ4nXdmsS/5UbZoVltxo8Gz
rlKZpuiIQ3Z/VE9HnAxdHga0+MoCGlC2iSxY9deKmg+njBYUc8pI6rYmBU+5G013PHeg0+Thda8a
JEorUH+QFJ/iMDaM+UEqbVzIND4ar6z6aiBr7jhW9l3f1/qpyzqA1ZCPmnkHm7sLgRwn1I1SI68+
6ETzHtLJNBFx8gxCtDXYPnlcgDPR84Wsh12eqWZDmG2kB0iARHhJdcQBW5tNrorX2G78juNwZzKi
VFgJqYKetXDraHEaXg68Og4KF68GKiNMtqTbMk9an5MxixeJMKDvAi3EVghsItRLC5J5SHxQ7BMr
vVW5mxcbiUWC1O8yKubAm21mzNLIQMYWMdpFWLhTJK9ALRXIAaPEe9b6wU30tV4ZHWRnr/dONnjJ
8FiabofKLijRvMzTXurMbpAQKWGRnSKHudn6rSyT7ZQ7xbTXpSzqwEYfnQTuaE/5riU5DS2mYxn3
1LNmyiGmkxVr/qdrl7D3NFC7XVnep0XhFwez9bt8k8WdczP3nQm5FbmvOItVLN0ScqMRd7sQ22j5
gcXYPILNMDIkEXyCTdXl0bzxxIiqCmFcrS4KDzjzRuNVacF+I1RrTdvO11FoRv3aBbNfrxJXsj8p
Z5Jtv6EU8R3gfB3gQjIk4+YgMA7s4UFkTgAZu8HYXiXheu7DDOSKamufkDmVWgEC/3SGcpPO2pke
5tZW1CF4Wjf23Xoj6NhUhzjBNr7JfCsms5afWwkfNg7DJyIxgR40RDE0EBqt+onkGnB4WOxOYiZQ
O1l5g6WZt6hqjf7k1P6EZhRoyoXdlyxJnE4y/oIPoc3ckvgnygcwe2V8bEhBG7ecQObkjNDR7taC
tfFojyHlZk8weEk/Gl1zgys54cODDQc2j4BOBgiQkE5hh8qVYmeRRunwASaI+lK3sQl2T0Xhxsts
HQCoF/J77Lwi87BsB5RhMH6ta0l96VZ04OtWykHYQwdkcscNLsc02bejYcBpdSMQAYnm+nel3iyD
M00buXNzGcurcbI6L9AbxbOJVckHqwD6ijNWMP8Ocguju2CWbNee8Mfq0Ek/NK5STnHZjeGVvnUY
LVqhF93YLZtPTuRXNvrgcVOpgktX1TxDnjOKboY67C5ffvnoivmJzwW16GTZJd8CfTG3ajHaYDTM
Bl6dOkendl22Lq9827MriPgz5lSq4fFlQwdmkdLVsc7jRljQXxQafeFVovcNDEpkIeZmGhog7fw3
xFS+ERPI6Itln0w9/Q4mn38khiPx6NbYGeMCG8ajopaL7rpNpxuzG3V5FrHNTc+qmnCIDx6rxU6W
Ogd0P2oeIEs4DW6PODGOlRf5/RkZ3gCRppaGIBvcydzVBrc1gAs7fc3yzL4aewkzrNGnIbtXThHJ
PSzO4pnMsGUOQe8QrzkHeOYmoXEntzU56feaHhbbQtURIl+LaW5qVXyTwFQ4A3iY2mvbaA3CjHI6
niuULf5dm1Iy2ORGyWsyozn0D1ZZieZbwYQ8HT3BkNqAUWaMpDb0vi08v2HDIqOaM9H2BmpOP+8G
Vlpz0Nl6N+nn1sdQruGGEsfZ71rxBDN9ootDkWgAyWzwq8ZCLKRtReTEoeaxqECDBoQvfhi6i3Fy
8w/pgObLc+Weovtg72eMNyC1dSHnXY1qsboondE61zpocJu4KYvhLEJTjvPOlkV8y05EPumEI4DR
dxM5gGaQCgaZGryGVWBqPuRRI5JPoppNb1jN7MCmjzVqfZ9fBl16ExPtGR21sFZf4giVKYF+0skO
1IfF9Si1cN61CwBik8w9gxQ9Q2pejVk+26fCqRcKbD3oDpruGLz9xO5GbhTQWvIevDJZcJVuwdwh
Jd2W0cTMNeTQnnez1zD6M2uM3PUUTroM0J87zT1cLnGbIopD19gm/h1jvZBXpV8KJlij9ok0K2KH
SNz+gcxK5Qk0LoP70QYTq9aKnrwFx3uxSTchTVIWd0b0hvI7T5ODwzSeJ2aXVeduW8fmFcjj3DmE
4wIzTMaRelPWarVa0xNnzmA31ncXeR7y+VsEu1sZe1lMpoKuHyZMJy1uQMdNyO2O3e/agv+Vad+p
pEAotNh///s67cWjlI9f415+6zr5Mxbnx9/8UU5xwOIs0h/h0twHEeDTg/lnhdb8iyILKyyeetRc
tvmqnOJxrrR40amfkh3+dznFEn/RWVkwFfRLOSdQ1/0PKrRvDkb8aoG9lr6oQO3KpzNeHzkwZjpa
Vms19q/8mZnR32nEh1BO1N9jF/zuSkSYL8d0DujibZ85L63SmkfBlXA9rQq9/lyX9CWo3/Tfi38g
k6Jv1W+KMr+7EtfgGID8yoIs9Po7RR0TBaTset8piqhhr1/KoaB3Tgb5Tw/8/+1C4FVQlCGI4Wu9
rToMbi58+kn1fpLZM2vHc6glzyn//99cxkaL/KLuefuMOqIVZUyiK/5O5W+gb1DKip08gCbzX9y6
pb5geYuCy0MG/ebW0bNC1sM3GsICJrHeL2IiwztvMez++Ustv+mns+4y8DwKjBRNaELQ+3/TmnSH
wtM6X4E7USiWAKveTNG4mArv6gGy5J8v9uZg/f1iNAEclxKd778VLWkA+Xg3q3rvI8Vb44nHP46b
hoSR5FH3oiJIiLVbiQlB458v/Juh6CHYRlFG0cGh+PD6flIY6Q2q8DUOzwS4eNtg2PY1FDQYld+p
cSw37JcbSsuGWYGqGm/160vNfdpPCTzBvdY37b7oa8z9hh5++C++0E9XeVOHQjVvDfTPuYo/2px9
x7uhUOWxbP+7W/fTld7cOpUVcTWUXIlY1okyZfo4V6j33n+93gghmPfYPoDFgUbhOLZvv4Xc0UwJ
U0uT2b5z0mhla6Bnu5GWhDKtT03ianvNrAf8XUSi22R7BFHbvVP6oQr7y9NbengUXtHgLEKVNy9e
FRY2CTF1sa8HnIy1PsCpmWBQXM1WMdEe05El+q3YNmjI9jpBO+s0p/xtNlZ5HBp6XEAO2eF5cBOC
tirVVzdOisBNQ/NAh1AAgc+eJ88yD9EshovalezX65lUCsOHl17V/AhHw2KjIwkNehatvTs2xfXU
+sZ95hrVwQ7T8DNFiGlN5QSruTtnq2oq/Z1KeaUyd+R0LicA2BhpRlxBTWQdug5Eaw/watMZbvmh
01AE6P6svsKy9Xeic/jsjuAqqVWdKY8ucxC7JOpsJivXv6RZrAWJ5PNoCB8fCzZH64w+1LbCZn+J
WxLFnm3ZDqi1MEwRcedUHHAs+TsnbLGV6yGb56b3CLWotYCkQ6wNGNFWRep2ARE3CL5d5rc4SsqN
47AKYRvCTwioEl4IHbcjcrFklwLvOBM05tZe0SQ7zy8owBBrfk9CmX02RiL9HHlVfoeKJ9kh4q8f
Gqcw7vHVUHx2lagf6oLKGJ9pQGaAL9LvAhOLEXRxx6IrQKBmfieVh8Vck8W1BlHnc8itOYvTpgZ0
nj7rgmcKg8G4L7zkeZQq/NA5HKDBPfLppazO8CNX2bbNdQ53NIjy+CpNnPEmHRMLAR3fNhwKkpoj
eKzsRNB85EZfHpMIAQf46yg5RSaFrpRQ6WdH8ylkVyk3sc8R+xia8mgELG9eLiMEHXronccOtyyD
CH4f9qhcZgspIeKG6JaUKL5SBGPhM0R/VnkK1evQjpeDdDdUc1DNrZOTB27oNaXYofbXwK8GKK81
ZwDKrZyMS6IEsb7qZXtOdM9875EPdTuWWfFsuHF15DtiV+uYvHUd6DPZTdT7eblvzbJi/NitbmNA
pS+breipIObpx8I/J4AIeSRKOpQe4UixYjTqqCJfKNMCynn0KGA3oaykyRsMFqssBHJv1/He9ys7
54SD+1mLhh14yvTRhxq45RgwXFC+grwLDSLfSTK4bxSHsE9zO2c7KABdvlWo5BNCLU173swpcaMr
csWQCDljJr7MPqclY+bdsiARC9yCtvw4uF39EKWWfYbLnGl8rPiwba+ZR0dfwMPYubSAXALriDsh
+9xERnkcQ4wE7QKYyNr0mVwd/zykSXLkgwg0ZMW01ibJmSQm4IEWlT9uYOljPNN4Qr3J6tubPF7g
Y97ajv2QQyCFgzX04vgbgWr2vswcYlic2JnPSTP5VEsgPWZRFaQgkGy/mTldHRfJlAwJamo4HAZS
5Du/jb5h2nXXsRw/lI2x76rhC0aLhCABIvD6sHbOWI3d67jnpRQlH4tA0uFi6FqgBhnvuQVdeWXU
bnbviXo+o6C4LQCqwUEZ6y4oVEaqUEbYBT3vnEHNrDheEZIF079P/UuTfe220Xjrsz6f1sNQhytT
IqCZKXrtC9UNO7Es/bXF96YO80hzyrv0kLo+Ipv1rs2hEydC9DgDkhx3HPvFxMCEShs8zAM9p+g0
gPfZ2BI98gpOg3/Zlb36KrWW7IhIMufEVuZdC6clkFjPH23ESCSYMH84MbJAmAq4/toWX4+76L9w
wMMdqrL2XKiemexls9f7bbPLERKt04nKL2QISsFIkNEkVe0+kV5Hk0Kor7FdHuoyL1cRSGlGsG5s
2iS/NOuu2sbK9HgIRX0pl7DipDKqMzwoDCbVxH1ChcCidcrdSWByr9GRC/p0zLq0RB7g1AhohcxW
wzJGbJ02VwbZ55TaY7QdJqIgXMVmZqVpnX1KI3srrZRc1KolZMacmRG7CoA1lrKPycgdmt2wXFP4
IcBYWwq8POEUPUCLFYPV4JZYqTDwQA0fw7kvrmXP3KNFzB60kTZlNhTcc7/qsUCDaIyoV57M0NC/
kArfnQ2EwQdZ1V96pIfspaMPO+Ln/V0B2fkCafeliY/lk5am8nICh3QRpvN9opvq3ssmeHJTleys
BfQykwW2KWNCk0jQCa/y7MFt2mKNOvK5Aj4WWF3ykff5rh30aA9wSNsQKdUEnW7WAJolSS/VFO2Y
3L9oNmoO0AzWETCMddCSOL9rSmZeqGX+nV544jYB+FAFM4+0/j7Joiqtt+QMiC3HP4VbmWwf1m3y
LaAV98i+bavdYRZaGSKuCVzHQA+/EFUXxGnOmQ1DJPWLQJBIcSgVRfiVV1MYKLO2oEgwNHMLhtxM
CoDuTUd4d6iaYkU420dZGAVhImZxrNwOgUbl9c3RzGW/7kVBNg+do7FynbNJAeacWXzylvmvcBUB
woZKFIIVPBI7i0Sp+KhgvwzjCk3t4GFE7Ss8zE4P8jHgOND2zmr2W/dZTmlMYQ+v0bfadpY+UuQe
Rs+tRQBWoMVL3kAmaCRkJO4BRd0k6Nquuyodl2JOapHNEaDvSzcdsDNrPZu9GEC3CvkZ1kvWgVTK
P6jUBORcCydihzCFVoJ2ZxqgPaXZOqn1L9T193Wa0vKaMF+jyYwB7fB+MXEM1whq6Biapba4o+iq
Ea0x7XhPDRy3qYRKmHvd3mj6jlSU8DGjQonDysg2hl6hdHcb8alAnnfqWaMFmUMEaJWWgT3az835
xOsafY1yV8AuFVJDxzr67G41ED+jrXtbl2pTtrLoIawxjfUBBzYLpz4kd7jbfOF91isaHN5kD+80
081fNqPLhhj9pg3MSad08WYzWo/QajyrhyNQFNaxH2TxXJkNd1B1ShIqSq7IuMlz/PerOBXdaXCW
MD84rJe1YFuVtMUjC1d59IzGW08GRx2Z1DQU86m3zywj8c9LoIznmSP9TQdZDMtyH9r7KOQdNEdO
ShvLXSJEkFw8orOmOufzj52nCfcaoAbTLVT4/E5PkvTzyxxYlkC5sS7T8X/nVPWLgo3DAbKVRadg
05t9kbz83OKHNEVTDebSvmEzsXYMNVx0Ua+7K9LLmPHZZp8mU0PLbczssTK/rc6Y/Owz+ndRQk/j
vXPzG6XDcljR0YWYAjTuUnt4e26OkGOTa57v0a7f9fp01masL8pNHsu8vwnh+m//fOL75aDOYFik
QJaF7oCy03K2/knjIK3BLsD25fuhYUNahn3IYs3WpCyJv8KE/Z4d5g3/8ftxTHdtn9Rn7Ag0L15f
sGzZ7FnkWDG5NorE7ZI1L5ElMoGUgUUsGeljkrHm2J66elmCVTULZxcbSmxjuBJBmOX2YzU3ABAk
e5w/349fztk+TS8PJ+micOa+vLkf3eQo3I4i2fuct3e2FgEastR77+AvFQuuQqECWxeWRUQmb15B
fL8D1Lcq2TsWO1cnYtYoa6cLGoPyLzEQFWYk4vtOMdirT3/+gsYbsQdDjP0BJi96RTgSkYe+fgAE
FllDm6t4b0kaW/uchJ1zLVxk9T37Umzf9nTpEzt3hyjlLvOn5hktkNp002BHAegVQkOY7LA7NNAW
kBSAaCFEIGv3bH7987Qq5VMDFqc7aKHk1Pjy6f9Xr36vXk0VjWLMv69Xn76pfzyQTfmqVP39L/0o
VbviL0C28A6WSiNj3GVd+Gep2v/Lhf1KQC/KMSyMPzHcLRvlHzJBqiegBZDlUaj5ofyz9L9QGS9e
a7gGS36M/f9VqgYEjiMd+yEaQGxZb+YFMTgN2JGownipYSHMysi+NFtVn+ZcvVcw/GXS41oIFXXu
hQ9r4G1JaJAokhpPlAfXVPRwh0mc0h7b6MQdOG+a+T2+7i+vOw0Akp7x7PO6w4J4891azTTc2tO5
HggN9A96TdcpHdltQ0Q0D6jaHHNjjuwYlZMYtz+Ng9+UsX9ZUmwHhZeDxo+nt7jjX7/vjabLEdR6
eZjZXT0V2I8dEnMH73wS83gzhrNPI1Z/7yv/5hbb3C0EZct8+gtjA8d12irPLQ4sZONVhsnxiXwL
jv7AcMarSJ/+4wsCl6b/wCDCIkvX5c20hrBixNbW+vtYw/CIs5G9Sdz5xMmY2mfwmc7Dn2/rW20o
RXRbN1+WCsQcNIHeLNWTFFCnwyUIvBobTtlOSIN/xutIMRHDRxGQRiWI8Cmtgztl4qYBfHOH5sdV
QYxOh8OcK92bbjIMfCSD3ZNwXMfyXIz++GkyvHdGAQQCnvOrCjK+QyS+7Cx4mrzsbz5vWfhspouu
36NMi6xbjcNGeCajXG+2sKWBMjaRUEdCkmH9rV4UDbyD041GttAe46zjHNmMmYeCIMXHyJSts6JL
wViSISdOMpPFiVR3TgcDHqFi86KOKGAmFwRf2shgekOyxdQw4SINM2ZvW9ujOBFABOC1d3WWWeJY
byiNjVchwq58NSNHtb94g8mR32nncUCD0SAE4Hw/XjnMEs464XTh71PKqfdpTm3jpmmNliEXUn9H
PSPRjVbs3GIhvjFKR5rEgk3leNFZ/mBdj+WkzgEzIt1x7BTIsG9ZqD+WiQABG+/pOMjxSlOUaf2s
IZZ6DJv6oU+N+mFudfMArxwlw0jp4cErzOEKLVBVQKxcaG4j+Xob/Mf2I4HD4w1aSoQlxRDWD2bc
jTdao4lbu6N6id4FkQpbhfJQTv744JCz1AcOdDJ8BKE93vQW3jwwpZwOilxyQRrw4Z1ByiICNk9R
zui5j948cN9aS9z2Pg+Nprd/p5rZfnTQgdwkEVvxxlS2ueUgjNTEH1Fq4PuhqPV9rMZphDYjNhNk
JEk24rlN6Z5wYuLLGtNQy51UA6oVjaj1+Oi7YVIcsoa8Sax2hu/1m46g+/sYssgdnmLKXV3WU7AG
M804GUrHeqykVz+Aw+HlbyjZ+dSe6bnjDVhZdO9TAtMoqViAos5aopuwGdTVeNX36JrWg2NwS3m7
64dxRDcVfJehDP2itSZR2SSbMeWYoerluy5nqJUXUUB5uf/W2NmB2XsWmY0uYWyeFsOYKn399PIz
hLqVQTHpKfPGHO81vut17HbDWoGW3iJHYADHy+vhdFCF9+S2h+GZkANn6EGqHqvd6Pk3tA8FVZTO
M9H9dbmnp6eucST6Pg9n6vihdkqdALCwAp+7RQQ2rUJT4y8gchP6QQm4vOMqIg82PkqEXtpu0vtU
rUEJTuENkVM2tWWSeOtVGSPNOzdmf3qgHaWeBoKhh4Ai/ZxcqUkz1L3k9sdIZMoB7WhcooLRM0qh
HqElFbDelWYPNvdZ3tZmGG9AFGN/L/1p65uge+NmPCi6DlvCG82T7VV9MAxqH4IbO+uiarx1ir4K
4jok483QJoRDSMVI7RGfpG406zqenFWHwvxSw6Z+o5B9RFRkB/tzZyEFY3xJZQaRn4xng6sNe8ur
omLV60ZFgG41n7y2j55QgIiTQxDZEf+icwJl5yO6n63pXJSq4IGPSwtnZnu8K+u5e/KTmOonWcf4
+hjc/tEKu7Fc08mS/gqFd3hn4gYu10KzPnZxRNOhbR5LQXB3SvaItW+UyZRNc5ZBR1AmQ2rKbPkU
C/5jxbw83rDMMZbxacds2LWQVXpukx3S2/rBBnRyV0wxCZ9u5BX2yh6G8WYe4/AO+7w41RYtAvrH
VClIN3gEdhXdpbbDhFkZ2W1KUOg9LQheLH+yzUOoQ4ZJXNM8eLVPSi9wc/JElVfdOgTHzUlariVf
I9oKs/DsIxpH3b+fZS0+F62mzYc5tnrvAPoEeFkgajluzVa02dExTBM7z2A7m7bMjn+Hm7cyjQ/o
om/xTjf/TcA5FFT3A/z6zIUPrg5UT7RhbapGBLyX/0o6L43ycuyNsd/OlnH3NvLcooZAEDNxAD8i
z0t4al/Ihefna1as9iN1awNhsKeSdsUxNay2s1clIDejrKe6KTPtnGCAnltXhFTaOjv6NLletU9A
ml+6MVFAKW/VzhV1myFDC+VDNXrsRWqYBefmUnPPxMBjbYi92SRgDZksrDxqT60npwNSI++kjRPL
AkBI8tByBx1UnvrndggvlSoe1ODVYlq5gb4Huw1rFUOpj0oA0bAOTvjxmEsbx2BOT31+z0DcwQ4A
s39OJdY0gzz3mQeLHlrjyvWgTSY1+HakeCVDcDQ5Vjl5nRTQxpHnU5kDx4jJogg4kYFPoCHunfs1
J+MUcQeqYBaTIsCqA7ne5PIOsrJ899JwqFouDBXJepynlAn/ZQp04cS1G9i+y9Cn8hdfdaoky7Gv
lXWu+l5HpWhTpQHwK59Kk0LQChrK0lycG/vxJUREJvaiZrKTnDIk3L1F4Yyq4phMHFF23z+WKG3k
m02cspMINY3ly6XRedbklIdBFo1X3cDetyC7ciPmHJmcoQynRC07FdZ4QYnPMAMc9NWDMpo6vjTs
gU+dFEvlSQ0LjLsku8i9QVufS1YLpyOVcZXHUZMRaOfpg+sGGIWdY5/JtAmIm5g+hFplPzixYGKd
Wi09J75gTFa/D7m3ELUhBwTx/iGvNP1Y9/H/sXdey3UjW7b9IpyASbhXANvSb0qkxBeEHOGBhEm4
r78D6uq+EqUjxennfqiKqpBI7A2TWLnWnGNqr0PX+odUTTT0+cxUOd8FnuY8cVt4ZcebvPUHhlfd
1gVLttbHviPFfeWTZNsZJWgQXqENQyhU0sNCU3UsVY/xdkXJI+AywXxhukaH8VYzWnYNgwlaWI9s
BhDEZHt2rG+qCpISOU+Ulo+k5mnqcSR4wJFAPtMk9S5l4fkOryrprxZ+wqRdkC8XmZYYhLpTLdPP
JmQzcA3KjVJv7F2mi7iAwFllYDPQfk4OEfOEFlODuGaqn4E6pLdWNYz4hNJlxz9tNIOxOZf5Km+4
/O2lYaB+KoD5fZg1PztrZLmjwU559SxedUwY6QXL7Gp7sJw236N1onqL3MIERK41fv22sh4SjyXd
6hK1BzmEBWE1CPScge002O2DZCiNC/kRsJgpQ7qAuRYduYKKZHCq4lXDE7/3xiY++mtTEXTa0uDj
CZxQg9SvdUdbo6TRMYvpxH1NYaBa/c4fpH5nV8sYjXoVOv1SHWdltztq4/hxRsayz3mJRjm5EIRj
ijuhIwOcGbc+cLV5L9dzeebNVx1Ehd0V1fyAO9zZJX55o3CpBbQSlzt9kcl7qTnqY9eY1m2DegmH
QKJTQM6Mg/yyxg9ASqlxofIjBBWazqvtxPbZssiQZaJj+jnJ57U7idg7avn6zW4dLogg3hABvG2h
t6+UXjYU2thvQo03cB8sgGFZQVL02gHvK1ZDjAlXqjW1kwMeSd70RclNWqWsNpnTcUeujLRjMipL
FMpLMeWwGSm7oz9vo7Zdx0+7ErqvbDjoRePsQq37Zmu8jgw0eOMhobG/F/0g+02on9yJfz7OL7sf
D0kSjYoNvUID9S2LxI/TQeXNII9lTWQ8Jj7XeNdueQCBmI3myhHb1uX7cvjn4/6y9ee4tJeRaLAz
JfDmza6LLXlp5Q3qrjkvHdqbaJOqfkaoPrkp61dT1csFeQJrcTtuVe6fj74Zn96cXZyA7Ip5wPkQ
b/uMS5/TPTGc5jjZMRuQ1evMd9626ubffQBDIlnzddmxLdkqb1N4LO7fP8L/dez+0rEDxLaJIP99
x26Pgy77+unHht0/P/NPw87T/8Wv4KrhxoVUTO/mfxp2nvsvVJbImeBXIuvcWm//bdW1jH/pOho/
dHc60DBUpv/TsMPfa9PU3lrvWESRyv1HDbu3dzbmcTS0kHZt9s48WHzZHycHCfLk1ZONOtLAAGlT
Fj4VCbtA/1qwhe4D1+5qhkBoCCIfAtZf1o03QyybBgayWXSmNPGg773t07dtsvrjOg+HSZnjzl1Y
ZY2MOebiZtXxh8vymwbabw8FLVSne7eh6N400DorHw0DOMxBGJT9pWlMKA1SucNH2f4vvhWn0kfk
h34Sz9PP53Q12AVDExgO5TxnWLrWNqJpV4TD7KrTn7/Vm6Xh+wmk16qzFnJT/CKLw7+MdAue8sFH
GIAt2MTnoZzXeXSihFSR0G0spjMxdYDEDvCXdWlb9X5Yl/45+DZ84C7GtPXmew7sj2LUCwMZs8IJ
jHyG6myI9vrPX/HXC2dDlDW32C52OFhEfz6bPVk4/djG6tD5Ag6K+E6FsufWHXe5rKgb/3y4N68Y
vpS9OeMZrtBlx0S/fekfRmk2C7iVGoM6JItDBEnRfXMt85V3ShUYZXVF+Ms/a+u/lUL/eho3lqyP
KoC+LmO8Ny9PEidzQP2NOuTw5cmC8UH56n6z+/P32k7TzxeLo9C3BjGEvp0Ev5+/l1AxnI+2UAeL
qBpKGO06wU8KBcekzcWW989H+91Z/PFoby4ajfSkJeZCHbxxMuiYIDgbqelkXgAC8H2Q4EXx+c+H
NDdZ69tvyCzAYeRK1wQn8c/fcEkLx5smHjsjdSjqGlE+JcSrnJxm9WjvJkWk2os7Ll7YlqL/6gy6
d5a2dVRJ1xxGglV2aoYM1E2u/DLPRCssdIwDE6rg49qRDA9lElVXu/5lYXoTD2dvd9ymgtfJdQX/
9Msd5/UJe8qBx4i2nUBNQKaMG8yzPe40zdKDrDfaUBKaFVmcvZ1ZzuJFX13aaoYnb11YC6QCJf4d
I/d/5nT/9s60f3NrMhUCe8wTzrTlrXg+90t63HY54G9OaZ1A9AYMMOPwdAZ4uEn/fs4sUk0mxy8j
OJbI3Go0A5g6gRNW80DnhRKXkjkPWvLmAwuHYRSD7Q4AqS8QUsyOwMhVO62AcKN2HIYIdLTEV0Zb
UbGjfxpGLw59nIrIBTV3DxkPnpvVeXBJ5vNQdMSEaCWAk9j2g7m0r1Bzvcfm098WYmH6Crd331kq
iyZtuGt8dz2iFV5BvaCFIDg4vtbTRX/WOqbQeY3MMLaX12KxLgOJ5oHvJpvcOB3u+M31/s93668P
CCM6CgOeeurJXyYrc5/YyobEcsj69FYrAPhh5zgZ2fxOrbHcKVUZ//EjyRHxrjFHQrHNevPz4+F3
8+j5azEcujg+GeR0l0byxa/FdWfhxMVj9uHP3/DXdXsDwLGTxs9Lxfx9gv3DQsoYeSTbSg0HklWA
7qHYPCXNZEFTRk7350P9ept6NqYBU0eavZGUtj//4VCJsomIBXtx8D30vo3WGqdmUu5fTuBvj0IR
TpmC5IFz+PNRECdrFW4VXncQHmlhub52xAnr3f/5yxi/rmN8G7Y56BdgV/A6+vk4bOlRSkD+Oszs
aSJM1vnemSsoIH3d4B7rXUoKbnxw3TjmvWdMi4dGFNnfliWLw/y8nG7jYOZxHrmpBh6mnz9G2zZi
zUa3P4i5dHd01co9tuFhL6Yh80JLrOJk1LO/6/TmW9lM7qUY8umQ2Pp4U62rdcae/jdCpPnbzwTI
grhki+TptxVHIgi4iOk/H+pE1SeYfztfVzTH0Rrfxr1k9uEq+bHENxuWrbbcKRSUG2bNZGJQN7in
y2+lMY+3hTdH6zq9KGAAYZsN8nGpUVnKIbOPcA6nc72Ut5o+/K24+P0X2BQb6Oig92xush/v1Ngg
L2fxJk5qulySzpV7NYnkfcoqFsrWzaOYgWRYuc7AG6urzriwP3mZ+45BnX9SMo7DmfzhHWZd/6Eh
uQfC7/ptteP6bCEp3mNuRTFa5BrvCqTNuNjlX8qjt0YM3lbcFj98gzd35zSUfOBm6Q+LlidIQP36
PNh06umCR0PWscgrZ4FpoJ+sZhnDXoq/pTZbv70L4FCyHwdIyVD855PoLawl4DV61NHpIDeFn/2Z
sureFX0dQMD92pTj/EyrIv0C6GVQYxLmjZlGhZXC50v6van3qHMd4QYTBveKdpgilogDHmY7z0O6
tsa3pTYMlkr30bWKnU0iUoTs/pmJSnc0Rlu/1myiQ9am+eSO+qOzcKAE4XUooTjYfznnv5ZuHvt+
A3GXYzvktb055UhG3SLOWRDavHyu44M75mWkrYwWmtW2/lIn/mbZpoMDko26nl/8i5SsLJy6Y9E5
AFt79aHk8NYec/or/6meYruTONLGOBLgyxA3/HwZ8Zco6cY2d1KXvCtIIWf8u9LXYtzokK1T4BXW
Hc07kwn2N8Xgb96+SPFN8FTQqRgPvdkMDglRRnGu9wflLh9B9NzPbnuhXfpausNntrxO9Jc1fbtE
bxZTkpmZoRqoxZByvLmE/qj1c0bcJ8pUv74oi7pnia1oqdMxtMb1G8aXd8xC5ihZJMUN6ZAMJpMu
0qlW/vxRfnszoWThzYJsDVrRz2c9U8NopyPPLwOpIdKl6wQCtkigZU1C3tnfpJC/eWk6+Ge5zAZ7
71/Q+g6B1EmlZi7y0s2HRBpxuCov/cse8a0C9Pu9RGaK4E7i9P7iVMx7I2kMIfsDe+Qu9MjSRfif
AweNPe00gYkJE1AIeCzacjfFOAroBpQASbSrdaXF/udT/OumHH8mu0I25QDVkKT+fIonFLRr2hd8
mHHQUZ67eMG79WYZif9JiG8JZV/VB+bTZtAUSv/LA/xWm/n9XFANcbKp2z2G+z8ffkhGkAxMqg+L
IdLPktA3O5i6ZLhjJGuD9HEanGiN4hcgqN5mWoi20CvruSxQN7TkJoUTKb83Y2rR7jeHQRmhnTBM
/fNZ+s1CQz/TQVZE6qHxi3oy1Tzo/2QeHJw57vYK8fBO9GRlUstnfzklvzkUSlDh4semDQcA7+cz
kuVGL1tgEodhjatXQdDtw1qneGM0R/9ffK1NuYTle2up/bKqyW2aLT3RHmwz6x58urn7ZnHjKwIE
P/35BP5mEeNItEUoEXGuvu1UmGuc5I3iSJmlJ1E81PKxSloTZXsP42muwFkiA/rL8vHbU8n+WoDq
NRgGvVm0CR2rB8J12wMckDGsbKS7WV6ZUaeb/V8OhXib6/Jm1aTS0De/JU4KVqyfr5tXiEbhheQW
EQTW7ckXHwC3pWJaIyAnNbTgrjfx2hQDqgdrnLQ9O0c171YIMdUDw3Uersyix3iK+6V8MuXIgJHZ
uUcOY1k6jJPiNv2EVla7KSzwGHuCXxCx9LWBVanmK1mh6zTQkfzRRreMxMBarrAf+IcMNsm6a5ig
AR0vUuOdo0wGh6WYyQXIjWp2dpYvU/ODPxkZqeM5zZIkkOxg0qs5JdIm6rKiS9/3ZWMspxKSt30A
tlOJnaZL41yt4CUOvSrG/tauauXdiEEt8YODaave8//aBMmkQ5EQKOEXdYTvRiQ3nlvbbqRsCOF7
Bl7l46j5ToyVRWuOKAgwMC0J2irUNtkTAkJLwMWAl3ZyE1LSQk81OBQZKS7JrpIwp67zke0kuipf
wg7t+8kvonm0lzlqRvhNV5UG+IK+QyXNSFb2VlxlYBI+YVylX0LyzByuJFB0j9JmonqAtJIv91Ps
jo81Xu6BuLrWdy96U3nJTi1josAbp/O+9WY/24s6gRAmZLKuIXod/1B3vKJ2ZbxB4XXcpuSW97b3
Pk9b4kLKqrHCXqSjQYaBtI+Vpx7o8+7VaMvnWJrlh1Lz9MtQO9DUqnxGIpSXeFf8O3xn+7rt93Pq
1pfYpYkqUpBHMIwOpiimqPALGLRqPFsE84am7D/lhSMCW5kxidyzBQrf+iosbdpBh+35DJ17cPpJ
3/kicw6CsWVAxUyySu0nV72Q82d3QOki1JIz/Bs/ra1jH0cLTtg4LwGz9ydEvDsEX+297VfdztDr
7L6wpjVUemZceVWZ3gAiYwbv4qrrUZHNq2WjcTceMgJdArhB8Sn2RRHOeaEoKno3LHlLRH3vrg9F
OZ/aQRDgtALXztbirqC7BNq6OxfzbEbIjNrdTOZdkOP5xHJWVFeTlSILybz72BMX4EDzzpi8dL9i
XQwXbVBRDDz/QLCYfomTUr4QDq1f16mLdBP5FE6yocOy2taMMPEHeDSsD27T2CeC9RBK1PF8svTM
PPWIPXY0Kc4mPE2UCMa+sJcPFRiiD2jljq4tHjO1fAAFBfZX92nUqfhD5WgJRr6i8k6jcuv9qLWg
rmztXeF78bknxDpyksbb6ZjHuQ4tNLbcX6OUfcMl67Txvk0679LjPw0mq78eltgNyhl61aLV3/oW
rZhnDRkmvgrSW+WNr6IfFEi2aaXDVYzZsC6Q+toa4CnQX72DMdVk/kAiqUdKh8nN84x80pojt2Uf
wcuURSLHzP5Rcu5vW+DutEdi8o8L46ST7QT3CzegY6zeFf/R7GYeiB3RkvbSXyMpSab+45J2bt8G
CGDEVEQraMGPmmHt9ZxBe6DBSZIHVzObLyQcgtewCnzEUeV1LvbQxnC9a01zCKkoCLoGWY4dQDvT
ntV7mrQtmKuOMxWQZ1kS01KN71K6+vcmuS3v4qoustOUO93Ohi8HmN709kT0TmswtzTj0qzXPzt6
TD1Jf1fu3FUvryQv2S8D/i9nV5JwHuaTnVnX89w7j2Is4lef5r4KqQIY7Usy6aN18eb3zJmq1052
Dq65qjdeAH51EVs0+86vUTJCIEMplvbLYaBieectIv849vyeRSuhZQ1me/7uhc6ITDxBy+yf6cIx
Bsn7dN0QjdwJqeW3H9LEa7+0UhR7AqHbD25rZsccRkJ5IgOy2GdQhp7tBiAZHL9pipjdV0Ok1p6H
ozQ1G+SSKCAmO3aYU3CdAG8VkUsLGSXF4Hf7gn1TdawkqtFgyJLxicTvDfVmZ4YX+MkUZ0j5ROvj
evctjKFpud2D2nRO/DwldzvFpOh2Clghp1N7AhDGV3Q3ku0Vvno+qlOMaJBmNd0kcZzcZR76xoYk
+5tm8LxrkaJJByCFY1LPnMdxMO0V16Pbnh2Zpndwl+QLrTtzR+PMvgOX0Dq7uqnW/Ur4z35qZlEd
IOomd2UpRzeUdmrf8RC1PFRcXZrw7bmofIEwK5WfuzHpHsTaGe/6jPOdET52IOhhOXgpJ1XrxHKl
cWs+SLuTn1Eb1l1IlLEcEV7maKio+I72XPFrNRRERifaszRQZq1jLz8Pi+w+kM9g7lbXbb9g5sZL
taqU0wrcKj4ndCMOyh/6r/7U23eCNF9UwPAH7uYMWj/1blUtX2HlCW/mDTwRiRxgGIhRIvJalthW
wUho6UZsQeuFOM9TKu6DttGNd9JY7LvMbuL30kkTNFiqeXEShxwala7YyWBwGsHoUUTayjJx0Xjt
een0OEoAE151FV+eXKH5vaflrItJnB0tyU9LXUvulN86a5B6NhV4jdrhTlhteeqI2kAf5NPEibJi
is9pNfAX4tH3giSZiLZAnNOoYOU5p41V98/LQtPac8f+K+kGdhjHS3kyumG7y1UqFTMX037MyAt6
AmWuXBgUfMjS1ouLN3Tyk0WewqPmry0OzHpK7xanqo2gF3X3oWzX+d5zevWky7m4ZNvlNjvYAnZu
oNIWIwcqNESnOBSh6mlNeid6zhqioeVeR/X6qq+4BbUZMh2JG158wcItTq2e1tcOnnbga2txoWSf
3xNb1H9dJ5CBOOJpie/IdFheXUmbDzhQijqIfkvfBcg+pjp0tAauIiZmfNqZ5sQX4hi5u6Xq2+VU
jSOZVClCvvtVazuWXuxZY8Sald6VRd4YYWWszb1m5TRxcexyrfXeS0cENI1Xh34/vDaEiAJZ1klB
aqsJjVGTG08i2UTMU298c8YcziuPXvvAarG+NmYuu9Ax66UIu9xW30CNrWQjwVc7alJyWhze5P1B
nwqjC+BFGe9Ws9Qu/qCzmrnO+G2WXvtAmDqN/9aUt8O4IJLO4/bBGLzkLnaAWgz+pjPftPusYxuq
zNs8J1oyPLfkvuoPneb1rPFNQdZkA43xlYravWFPHO8lykAWMXxD9E0HSzEQtryXFWP6bVzJ5DCW
JSpep+LS8Nq8tjpRQFRwk+z+u9MZrnH/vpMjNJI1fUVATJR4L6WM4lFan20fQ7mQiF8lPsPItOY6
tEfLORicr4CJJinaOLuxj1rVcjEqfCMUIVNQixwBfJmIsNSax8EXNyN6dGaResZepuuiCVTrbUv/
R1fpeM4r2XHYwrnTJ1iHcDxZNzbz+qxn2s3saNgeFzt+dPAxnHygS0iWs2rdmAV43DCdnOxsOI/L
UqLuU+ONnkzddZ249TlJofpT6lMCosVGfp588m0wmgUJMJeiGa2vI/lYbaYbLGlQv1erb3e1Y8hw
HsQVUnbxTL2tw1aem8/+tM2ZmmGf0lk+tTG8F/TYFKQjOZHPHom+F71Op72LlshpyjbyJw1DQ9Y2
R29aP9H/qz4Wlbtu7FhOkolMmIWeHU7oLotIQwwD/anQdLz+sQaSvBJy38N0vEoNJSMq1OleYKw+
WFjoH1WrOSx1fnJRPQdRduzeK9B/AY1pmP9uLD6B83SeALqWxyxzn+Zcrw60S1PqQEq5oMqWhviR
Kb3JPBo3jWGeYms1PiM/m/Z4N/TDYBpr5GXKiqaRh7En7jmYClqFybI4VxQX4hlOxqG252bP48QC
jCl7DRIHxaVf+v7rWCjzeUZgfetX/opqoRLvZDrn2DR8sbdZu66quC+fDNvFVzxylWz8HO3epS5E
y9pBM59n+W1l1GQS+Q71oM25DTKM26jk51qyrEnU8aLK+3CWeQeAFkn2OkDQcR0KepHkn/JlLs4J
URdD0ZZ5YAvtulny+WGFnoKOv9rzKO6BAmLjZ8ZGQeaq20rY8Xtwi2E2i3GPKUHPA+kN2cXTuzUq
Ksu76peM1Yu0utQu4VJYnX1XSbtBej/5BkOLcj0tS4ND39Z47cDaKnjg4O3IZM6BzFopmkikXzx3
RKGCYNA2ewQztPHGJyf8Q4UV8GAbNOBprSFKbldJS0NlGk6X2GqvF5rZ7OrckXAY1eXF2Sdm+oJD
/dzl7nyMRxA6Xl9sydXNVV/DK+5Fg6yQAU9AhPdwTd93CZw+PxqoPz9giA/Y53yCXLTheO01bKUz
bqxwAAEjII4PAFC7U2O6n43V+RZ3TftCxVq+lD2I67zvtfcokLW9NapkN7igIxaHiqVcOoOhtz9s
clrgzZRD8xHm6ojc1GomEY2u3rtHt8AWxaLhNHfatGmc68Vt7mjfNHpgejkOIYXZHXiNYecvVZXX
D/jaqwcno48cZAsLKKmLw9eyB0VRo5fH3aqvMjQ1fmGLCuBsd3nzuAjTmz50VDxct4xNDvBIQCGj
5linUiLFXv1ZfuRtSe9sxQykaPrzR028aZ7rgp0pRCxxTjbvTVXA4e9VTxMB5lL1WuCQSYN+HeIX
vc+Nz8V3amUj4Lz27Ry/mEXHJlzEmeaHco37r5otITWZ6+i7u7Ww68eynVkY+nSeGsgDsHr2wp/o
aKg55fZITUWB09SQnlNHQaQhjzh+sQ2bn/HljKbbzf3CjkStcxvV1jIUEdSAooFeilwqqlFpuWxi
Zg6ao67tr7LVHtg36vVopOEkpyzZU7zym1fNA2ArJtqPUSr8RTtoy1YCDExIcXlsMJ881YlLcrqK
orWMHa6StvKqCwFkgKjqRsz4CTGrIFQSG2qQ2qBUqrXwHE3CwsX8/WTao5aQ1cV4MgtXoAbAsnA7
NoifneZg+TiZLfw5RUgviFMPGKB+tNGP1YcyI39pUxZkbDCLuThKgy7QndniVtsP9kqoYTc0j/aE
ooJLyLw1nOKW71e4Nv2QTgLKuOpRMYyHakH4ceOPw/g6OvRGA2XClb9xNCN9VyyjeQAWUj9X+PIf
Ctdv41DiEX0H0rRfiIMRILSF2qgg5qjzGanK+dRZHXPxnGWuNeZ/DUwUrgnPLr1/Aq7oy3AWRw33
JYuE2X/N2L1kAR/Wv176sf+WgRiH3aM60MPKr7IcIHBmzmGJ9pp6l8u5Hmv6f+cJXI4ecB9S0dmp
kPlJdzqaKB2zlZzFJbMxgIO7MPhZjfdXiOCYDKmasErI8iupE3fpaOnkYVBClm5tkuSGNvC9kcOu
actGPzOT7o4TOXoPVeLN12iZsqd1Taf3kynG/2qr/58G9W8aVOSKdKz/vQb1VJYZmIH+JxHqf/3Q
f4tQXUzeDHwY5fvGZhvn9/3jGvcNAKcMUreZOhq07/rU/58Xw5MPTYLBI5kWaJT+R4RqkWmFamWD
4TnMdmBP/CeuceRfP3d6Ub6hcfURMpKOy9jC33rdPyg4MicjMc3o0/PcGqBwJknIiZ1TQjAUh7WO
GU3QMsv9R1m07FS2GUEc6qNnMzHrh6Y9dkbFcBzIm3NeV1fEuxKUGewdXZ8fFA+UOBi5u2gPhZ93
zy3vETukek2A1sR4LILR7AE1TxCigjKmt0finL4KeiLKufZzEGJBP3VYs4x1EEGdg7dYS9fqduOm
eiQYoKHZRBruGAhPaz/7+eJ+8Uoy7AbPp0JZdYysQI6HHkYOzZzISCZhXvtkPUe9Xzk3k2DprUZ1
6eks7F1ydDHxlKNuRbZjZI/Ab5aHOdWH2y4xSVeEClbv3LnRKAihCdpBbeuJFzi5vJS2hJmVgLdm
k7McE6RZZ1N2wNRT7zBnZse2sMkaCPtA+cw+5e04gMMxotmmxhGDaz6XPnOgzOrKR8Okj+2n4iVh
Q3JnN4sf0emy7pWZd6exWUSUGuY9zLE+oofj7rQlc4KZXPF7y9XKW6ueLrY+9aFdluzW5eymX6jP
5UEgSw07VuYro6ooyJ25vYyd5XLaCXa/4aUpbqe0tvhsalXX+rRrzaa5jWVXveaj4+9H5F373kaH
ktAMuyCS/mLHMfhFkBXsDtOWsoV/UaQ8+0IzttS9Gg66fR4nzL0uHaTHvOuti4VN+8rCcXNP94r2
RJF+zpF/frIbZ4qIxLjCW7hENtUTTslYBJ0jtYexmavHsiuqsC5IszHxUoUDZwTcd/HQlfmAzQym
LdT9/n0xrwSQ9QCGFnqIkWQ8sDPI8o3guiWRPsbJu9VzefdhnqGayOsGMBRQ+W6nS2lcWWmrnxdd
fS35+3eJEuWDC29zS2KI/YtLl/TBY6HFZQ35Mdh65bdA90kmlaNGJubcHFZN1Rfd5I52HTVck6Ug
NhRhIDsL4D+3/U2DQPnj2LlM3bRhSM8iT42IrljZBptVJWoLwp1VHhOQ0aorQAH9GR/5zQiFnCLI
qWnDYBMivGDWjlZdQmDruQdp+9I4UzGJ3M46PGlauU/79cLMT9/H7pUYefX3bf1hmVR+n1rdnTZQ
5GMnjvxSXIxWL3e1J7/00nVPOGuelk27UZr9S+V25X6LvAdnmJlXtph4e25XavmqJfgGGwNJyKr0
ZwGgDSKXHx/lNGo3E7jmXaxkEuW6+Mhi2N+Zspr3Wt81yN4TG0h3L54EDQY6524fVTFiFpgPPFba
2UX7GFDlfWST2uJ0r7pDScOQsva8Dtn1UA1p0A4oC+vsto4JnYVvgE1eVMggc9jmk8z2mG/mUBR5
fyF/oHzAKZacUHLQyl0LCKBY2x+quVwP9VAwT5ES6nkxQ0rvRgp8azp1C36uaCJ042ESw5Mieeqo
tYt9OwFTJ1QhaHox6Y91rpFVH7VGZ+b3SzxZ1TUlxm3VeZ+bFluY46z+u9xa4L2YNXBKL4vvF8vL
7uy0/1QLKU52W9Fhy4xPjhxtNNCdPrz0sMkONCVl1MnSvEpKkvmQkXBL60kZjpUo6fCm5f3Cshuk
M+sdxgm2Om69vKzKZ8gcsz6PinswW+blBS8yW1KiBdtHejSPtU4CQOLV1V1DAc0Qxi+VvE/wu5ws
SYzGQRIZJDHZQdLv17w5yWKkKZTVA8JTWfuXIXdfZaNPYWJS4k2pV9LC8IiDYMY7kCHv1ESIhiJD
i5Aw/LZzGmOZo+2NlaawZw7VfkmpwlncmXXN6iktQUOI4zLWAyxEHbYXFLn2S6GxjyeqIGeyiDXY
dO6KDn91gDnIA/bl5ev1LDrnYeaF/Wh1MY9IMXHrnbphtD/0Rtad07UC+Y9s1/48cPdnoYGIMA0N
LXYFzUrpXlpmVSbZH3p3bnBOkIkRa/sBiFxyjNvhtDDSvAO4Wz7SVrRcsBMM18jc4caF25p+ZPrc
70ZTVEdgbeknrE0Q5pgAoGxKlkFcJ9iJqYuFpFW/TgikR0kw4WSNI5nL86o9SJb2V/hOOhYJYU43
w9jjHZvNVqeXtsxdsBI+nQR0uggbQhiknnX2m5/aTs8+8k4mpJGK8Ka31uoO17j/qs+pYuZSxtaF
yPvxWSMN4LbS3ROigPJbVVnOV7v2bdKOUqtV9CnGErOdyE52M54qVtuwp35YImCbXhX4MWcRgVnq
Palxsa/x8ZZftVzP43OlTKbQkJ+mh7gVzhPvEX8n5zXZq2Uxsc67IBTRcBuEwXYQ/L8UWeYLFqMk
fmKKOm4yIJ27ckm1+yzH+R+Y2LA/MqEpbq1SJgl38SDc0PSh62E1LL6KoS0ucmJvRm4QVDWi5U4F
9sUI0hoPqyQ88m5tLbYFhCwQtGgysKt2C9G8N7JMp4/2tEzfYi9tXzxBGwGKnY8qIfET5Mztop07
Ix/vGeqyOQDWoX0R+oJon3YAsiwafkfl0h0/utokX/xkrr1wWWN1ksZgTVGe5e2CirnKn1svI93S
a6zhAihTlXRGrPbWGWR54pljA6FMXS7hImYon0UKs9jt9I+xP8RiV2d6MUcG6MaDKkV2iX2pH9ip
uWGtVI2y2xP5geWZXEubiUdoFSZpztPQno10cCIHYCtQQ9VHpckN55Zy3TSMYtfqdhvSgR92TI59
EaDReDBUP0S9bfvXpTYqepYxGqXZzeWpdwUxJRXJ0x8BqA5ukCWKhDuURc2HYjEl+GI2oi3d7nb9
xpjcuon1iYRw0/kMmc9/76Z19alJ+mZvpYQERyzxMdlKY9FoIXNtVkR7XvRThljlxl+F+zLicz7K
VKLZMRMb0MtiLdZnd+rSqyE2rCd/SGFogQyZRdB2WDNrmJ1HNkH8Z7GqwjvSwFkuXhGDdpjN1Pg0
+iSVQoGQLwlwgwfbH4jSyWdT/6hWCshdok+Ke0nvVeDVrvHVb80238WVk2hnr8njDwwW6/fLOjj9
3qrT+Ur1ajmMuabRr+uIZqkYMZ7ypLjXid740NbubYIHtkmrkUaPtps8VOb1MvgPYgCcodwt8NOv
3CyyfWne0ejQiNhJ3EPrUFgQ0j2Kz0jmTQRijUw2kJiLsLOamCwYmmUsodFnOl28JLntMTTvJhQp
JzMvx8Mq7CFapVXula6ra0NLd47qqm9pbioEHMr5f+ydyXLcSpZtf+VZzfEMfTOoSSB6BnuKFDWB
UaIEwB2No3fg62sh8pZVXmXlTasal6WZUnYlMSIQgPvxc/ZeO0ARgZMALzHueukDB0i9IPnuu3Wy
H2uTSSnf5tLFqnWH28zW8pRSZjGjTDyT+KMW+C5DX1d8YpQZK+I2+EUZWcHS4ky3NaqOtwLL60vu
mdnBzD2D80EyXFqlCU6z8IncwNqM4tSkRiyn9BwySej22ImHY5hH5L3iT5BfAd/Sr8+SiSDoLPf6
ZKeU7e+aZFlupGGp88T5/sInLC42lt4fyZL3e2LNe6Z+zbhPI6c6NUXqbG25vCkCpIcYI2ALd6cJ
HpymMX4S1dT+zRH2f6fkf3FKdmjvIFb656fkl5/6409H5D/+xR9H5MjhHLwmHVjrwRZ1NkrGP47I
eLJWoybgL7YZfJerTfE/U5p9DtYYF4PVt4OidD24dvXQZ//+b7b3/0MIVmgRgUGCKPufZYBY7lU2
+HdqKPqbHu1HjvGrSYyNd5Ud/t0Z2ewNY2zqGtJMY7dvo+HSCyzmH6G2iztieppdZljdRpc1M7Up
vO1gyHxlVNU8q9p4bsy2Ow8Aolmvg+UWYRX+psTxk8O4poEOBPV9DAHn3IheHcjuMCHkz/PslDSd
wJudR9fNpV1ujKqwAs7BLUFfAD/NGgkTJxeYUHKpyWmCCa1uQ9WaAb4gxAFab6Af9ojRMCEKF9VI
ajKmUlPbNl+KsEI7TouuLKxzFmmfVEqbXWcX0D3s9hnNJnXu3TTnwII/B4E2TPAZ6FheisU6B/Vs
v7okwgHuWmqr9uIe6Gl4IGl+9k5DXntmsoFIG4iXZDaY+mysQI7NFghP/SGqJPxMCRMItovdkWy1
I7nTHP2YMVpuPuulFWrb8xa6A7nY9k1oOixIg8/4PSG8HVxPH6AYG00hxt1Si5VPXItjyXjsXVd5
z5GucvojR/UQuUrovSO1YAt20gw1Sf6cMlbnyxrEbWNX9VHY06uoc+cg+okVCh7yUU4pEpKmTLO3
XOdETc1jfgpCfYvqjGi5YXjrUk61Q9FBGaADvKnGiEZG6v/odbKqY6b3RXhdbCMxkJpQAS1f8Yuy
kUWWOCMr/J7mdbtzEjk8L+HABrYYTH+4pAaY9o0XKDK6giygOq4O+AqfxiV/9Qv7V13k/c0CYnID
5vJuyRqiqYf+vS67cznW1VH2udoGubPVS2lvuhmGuFJkF7TN8gCGud5IW74yAs+3Q2vUO1mOP2HV
+7elvyQPU1QDIzM12XCM4TcdSjk5D/Lgji543mW8t4XjAwofdZxaML5dFucLFU17G9LH2KESMk9B
nef7SjOChaWQ0Tluwu85BmMCcr38O8WWPut2nneq8YynFKsuHZ30Z+Ik9b1n9M9en3Mgoe97gPDH
bD5X+RG8us9oxWSeVs+eQcNl2Pehh77Ed7N929rRPi09FwG1ER1Gf/pZe7I89RmRBAlrx0bS7GYW
pPPvtYMPF4hcSYwnCpzILLttXcM17iqOtN7CyA4LTbGzDE6Roa1fLA/nXFuQR1Ikp2WBBVWiZt14
vfHmocLbOFKLc9Z4UWwoAO/O4LXfhiWIgf5uhJxwFGKfRbFG6qS80NLmDA+05mEY2rDZYuMxftVg
vRko4knykJyEiElbMSJsmkuO9LY0h6fZGiEEFa5UD0j6y4oJcpvfKVTIe6fOQwZiSdDFVjGIl84v
+7g3rSU95LguzhX2Sih6DtKILTeWXDbJ1P8YigYOTDKOD4KhOHgqbgsMY4W1CbWeP1HlmOYuDdz5
PPR5dbR76uToQLxlrmNj9mlVQ370SLfopv6X1TQTBtMpURilhiH7NYuOghIGzar3Mhs13WFq6d47
mgWjzemNIx+VqnlD3VkepjzE/NEY9gGCFZ9MTpD+hH8gyIBVQlPV12gZdh5zK3Bmy0paaJxdEi1I
8FB0MH1avtKejF6DXOm7QhgfPFJvKHRwOTIfhDrSn3ujce9omsttWwC/q4z8M+nCdpvbCiVmK6B8
+Igkb7HGoWAsh8XZgkmxHmDFfGkKWyIYgkV7UW5Rn62IsNDAGS/jkKsnhiXGMw7L4MMG3LMlOQDk
RxnRsBoYbAMP0ba9S+pK7+diNm/9ZK5RWPfdNsVxekduYb3j51R7YDjzoV2fWukm/mO5jOQyMi7Z
GWTpgQ4aH4rMJdRt7o6TZWbEnfUIYJpwCYny9KvHyZnfgQB7R3csox+t3T0Gek2N7KQzHp2w/+rP
oiRU0DR2tjOe3MIikGTAJ7XpLdX/SmpoTcLojRvE8xnEl8ECJcMcGX4cYjykbfuEWcqGM9RdPoXy
fjHwmc055Vw1D2CrKm1vdAeCZcTMw1kAU1wWuXpjIlOLI7Ee9y0U8ataEEXfLYe3IF6IFd5gT+FO
hDV26qXrbfyp9TYgFJ8GcjI2MqwlKt+SmchQR8dGayZdDad5OneMGjWxfkg7fsyqHnfm2ngbLMPY
IlNotuT6MrmNQrt7iXIRbR0Q9ttm7cyA/ztFRpRuCI/7hY/9C5S0erdE07A3O5XHcNVB9Llrel+l
sz1WUH02ZPM5yuW26JPhxtJYY5aJ4xNHquoeSKR5sTVfbGXOYj/lvXla8M4dDfyZm4bERdh9VQ4m
imavQZ7zZpAC7Bajv3uv8b8tCyS7iloXtl7/jZQSeePhNNtYM729xJnmjZqFdeEegB+YI0KYpPw1
+EW012r5Bnyk4MATsZYJBBi3pMIm9mZEE87Gn34vlTURxNC3D4m0kxiBbke/KhzZ3G218c30nYnt
LxU1P2H2F3tYBhohrPtWthxWStnBMwv5UUvrths16P5XO7h2zABMblEVcULspuyBCZp4jOxanczQ
Xi4QHbkMgfw2lAnZsCNPF6vU+EZ+ABtG7zznuQ+sP9X0bXTIuu7nxXe7QhJQ2qCyB7f092IM5riK
jGoPfaW82Ja9wpMXlyCb+XuXJTMjAx//WMR7mDJJkH3UhK/w8xbEuh09omoBmECWzIAeZpKKtz/2
Urzz2Mv+dkVzvTTB6sYgEPwZJevJRxQTG0WUPg60Eh44bYj3QPjPHuoPEpnTO9euuyMIxNSJdSbU
zusSLnSGHP5L5Emalp7PBLEPd+6S+LgauyDlmx6nebs05bzJffJyYC7a9Fp05W1nvmeCO6z6fmSo
cTTRzBMn5IXfiOzgRGrqH0Il/T2jC0PsxjEbj0L1Dlglf2S0IDT6K1Ph8PbIlYnsMQJA6HncEWb5
1ISR9zQhnzTJlxgNSgyb5GvP7YpfXeuEqM47kfKdQtwhkjxo/QO9bo9HpvL7GgB1tJClAwJlO6fO
Mw5OZI+9eaGNJb52jKu+VykCtilLlq2o8eQTRvtJE8h7rsDu/rBSYZTE3fgIxI180Cc11QgGc5mJ
gSHHrH+YRVjQmRm652Vqm1PC4onXxWCiWvkPNLRvUO30Aewou9ZHy1gEt7M/Bp9JGkCRtLsAwJSX
v3kcTsnHyb1tW07FDmGrilWtlmLbNqQM171TP9Fkb/N45lLcaWmHkLESBltBr4aUI3vYl9tRd/N9
RbDfIbVaQWt86veYZeyd4n0d+tY3DsITSYncu8jfWM3kG1vc8LUA3PIsRZ8cTRHkJ9ObqHiTxj83
1WiITY40n3Aqf4KBYOdiJnmDdny0ZO05MgiD3mSI0Qi6LJgO0b2Is1KjwtBupbb+mJq7xezaxx4y
y5sZLsMnXLjxGHZ1dEMqeX9PR6X9UjteK3n+atFvGcMjefGYPlNdLa9R28PY4/jQTS9kldtRzDlp
iLak6Th0E4h/GXe54Hm4iUKXKOeQGdyXKQkX/2sqjXzZjqFmZw3xNvAgtroH7ObrdOfCnL/zmbfQ
hieil2JleIY6gGigyyrjtqh0/k5IV7VHpFi6W1wUxYkeFeBAFCLhxnWlEW66cippWOrkceSvHnXJ
8koz4HkqqY27qhm+VyVeYSML8F33S3rTVpSkRTU2MMnKsXyxyHXerFGDhwkuKKz0rtnPDAC2dYoV
QRlL0dE8Ud5+AnX5CBARMZuH8Qi2WS53o7CGS1ktA1ILUdHA0+mDDcWTVlEg2vpep5n2tjTzzMaX
qHd8m2KhVFk0d+FmoMFJIBHlZh6icJNBM7nPdY8iFZDfMNdh0HZHEWVlhAxgHpcbYBFE2XTC2hWL
qtotyBvWUR0WKEUwgBz7zPfe7JC2+HbBAxIcW8mz+J0JcrI1DYY+l3wcaaJzC7diZ4cpOmh7AEcm
DVI0Nlnf1pexJ5py6CLrSTc9ZwGrMVY3AA68ng5mM7XqRItabIfeyS9KEP2U2EPwq2xr94dJm3nZ
tHnbiwMC4JdORkn+jhsdiRHiltue55E02GXxsL+H4c86VOnRH0pKcKsneqzJ2+B1Edgtcp/VeRd1
hdx3drd8mBTWNxOYY6ZGxV0d0LTEITicF7vpH5XK1dcMifPTNFneeaFjHNto6chWsoDrWVkJEn+V
89R0tol0xsun5WjFLSKhO9dtiNrmPX7pqCJ3vSYTZKksscPduBbnzbzTNvaWoQhOhqrowHFwf8Jz
Gu1badofnqvdYylbtUkkK1NRq3AT5HV2IOxrJDRopVnmdP02ssum70VkjOCK3HtHZ9EniVv3tNCZ
aPYmzUTbno+NhYxQDkN6weATgjCM3GnHfdPsFfF/u2aWnG+4KU0IPXmG+7HMdszYMk4jhvzWUdND
ZAnKo5FjSIU9MsXV5FdkvqzjasM0ZvzQxGXXCUbuKgqM+95ZZvqU2RGheHHLqBPBZ1o52DBwsa9T
oOynUr57myR5zkLbMLUggMeV3Wo3Ukzci6yIlxa8dCv7kU1nmh+z3ozuRp3Knahy/yjpQEI6weGM
wKs+o718CLEjbLoOCjqQxfSDYHWxrWpETBR2TXgnkfrGujTlziqY4ogict5TtBDoH1f4bwnU+t1Q
3XvjBMy8xvDgIgUyCdUbPxmTdrT9TNR4JVM0i4Mn4yoPn4eumG3NkhmgCFJa2QsBUZGT7Ua+rQ2Y
wK9IfW6wEWznpfmsRPG1E+N6vw1mvSMeHmKvdpydD2xoU0DDPou88z5kpwkrTk0kR8idzNiogMrt
Wqa/Q0r//VL7ouJuAfNgkfMd262bX+ixygf6D6a5HVw9hLtRmSNdV+ptYY42wz7aPzrs1ClCHkHa
17gcUxGaP6eKI5roxXgscZCBQWnsR7rndAQUxoxM92eEtGJjgn4909fCGDMrsLU+JEvbkGc7KMfH
RWbpHsf0d85rlGKMOEm7WUR5qgY1Soy13fw29quMepxuHadMXimlXnKjaeKg7YObDK13jHSNwrHO
Tsm0NN0mG4x2W43Dt8hqbicLVgu94dfKYMnDdAa52IfUPUH6ecs0vEinaeGPmeEY24TQvCxr4JpH
ksxNNWeX3Kjee0Ue9txlz61v/QIiRf03Ux1Vqaqes9p+B+mErWOs3M/OQwlnpq2zRV33qlFJ/1Kq
NJZ9WoUAn+h6UHxruKDMtsuncO4ZCNWpgIWtQpRr5PkBcx1HeuXRPD01FjILhvdJQtupn6a917lz
TvFfWpxxtHeQgxM9VSxYwI8cZAV8PNSjBNNkvcGTUO58U7Znu6KUXPJUc9RJtnxVKrglklzdjzgf
4Z1LYyWgy9xChgBVdTeGiGV2g5mpO4CM4Ynf8EeyCn/Zqf3kiprFI8xBfCNkO88em6vlTD8SqYbm
IInv3ml/cDdBAJXUK/QZZZ7kUbdeGRlXcbFO0Ad77QWqKo3nCJIKk7oVo8yUO8FEfMBL4sZpx4xx
4+sWtjRG1GMwNsQsLmfNDR9DoTRPklSvJOqodQrwm6IJsHWMPT5KGewC6Rfgl2j/NZHZIaVggEFl
SuAjBLE2HR8j0X2aDIi3QzLD+dDVY+MqnI7lHJwqF4lKYPTZgbMLDUTa9/cozt5yy+0Yzxi4OlqM
i4Qp4rM2VbojdNUC3sjhrPWG7lT1qUnnoq83pvQ+1ZREj4NBoLxIphxQ+PxNphads3529oEESCp6
53vijdYzGZBy6+t5amMx1NNPD839M2sfKgHfa+PAbIZz29CMMi0RW4nh3jKzNOiz5Dlpb6aUx8iv
MHMWBJgvDo50O5+iYRekVhlshJnJc8P+aOEaROMwq4/Oqut3UoedciuNZflBeFKiY2uWxkftl+19
YBbGUbDhMR8MEPWGEv5SIDkigeYR2ZYh+7lFRL5DfD9/p87i0UpV+YElOryHxpPcLn02/DBy/1fa
WrPCGmp054Y29OOi3ST28gC/hcrN6UuoveHBtjN3uWt1WCM0DMr6QBe0RE/dOwqgCjn1Vp1bwdaX
ud4qO8fng9FQ7XNF6JMLQOeO2a03xh6bwTFPxpc59b5QIXjP0CDqfdrM/ZHnYN75bWdxuApfp9Bn
hc8q+zk1CxV3mXMfWl3yUaKdjEWZhDG2YTvHeQur9WayKWouRUVrtenH7IYaotf7lIhfjBm5P5zd
ivVn42O8EIc0mfTaJCqyzUQvjJqm9K1NxeGG8m6qlbeaf9vXVrnNTdOE4YhyCos5pHN6fLMSSTyz
LsD615FzNzFqehn5Af42bIblbcCTvOExTmga0aBG7Yo79NYZ1HAJuHua2FQT2MOmyi/LqvXYsmFF
G9zLKRUT09ONZSMqYZtfKyFWmfdS+sE3/MaY/OQg+iNSURSchm4oWkM3JIjCKMbYDR397A2K2LjK
lMrfcAwL+SaM6BXxTPpJIKVIt4yPU72lpzY/zXLUMnZ40HZLo2d0AR0Hb+aVRDjChcNT4KhfE+X1
jhHB44wTZkMiLeBkpnZbTw0Qf3J8Kjod7TchqMC3nsuCvbSehay5RmhQNCMOS5SmVLxtWj8Ui4EE
wM2HM+om+jLlEoW3LUbSN7IDzDuznOaDrcg94vDaOY94fIOniPBNqMFWEuEjy+zvc5HLM77C8dm2
HZqhwHt5SuuKZXVDSG9lUzNmuFa9DllWMLnsWMNEVxAXUpSKOzr8oOTBhDvFjUBZ4O17f/L4pkvm
rT3Txa2W3cOSkpO48Wdl79YYgxega+lZuCyVKLDmX4UqrffEIh2JnaIneYMG010WRchaUpE3b4Pv
1ftp9cemtctmxi215bCT78y0EwdlQLMGJl3etIkOTuNk9jvV+fJCOhu4bIkr6lIv9fSlF1WvWWXB
/mbG5GJ5dxOWkx6ZhmzUnTdP4bHMrHTXjYs6EP3mxo6SqxW0nfrbsCidr3RvDTaxSb2Y1HcXhPnT
fuip/mlnBnRpjOyJkMgxRquIbotZBkC5rrwd+uiHMVrWjsUpOfoZM12D6DK00DwajrCzXd6gfc+s
8KHSPpEDpNydfSNAduknxdbtOXUMVIwx/eb2jGlpuDXaQF7QlH6vQm3txgQxmAjnj3Qusxi3NScD
FDTZxkoI1Gva+dXInWQftFa2U/bi7Ai8Cw/ZqLp4bGf7JDvMnnEtq9mm0YbCxNHW1reQUvZeTS1r
Lu17XrgMqvtsOWKSwG8XWN3wEAY1fWArKopt5dlj8aS9LCdohs1GgK3Cq4G992IEzXbyGN/QY7Wo
NOpsb8mQ7BsyDjy58N/N5LFz9Hw/9RV94FG+Rp391UlZrD2j2uWus2zplHxEVYspNmXgMYHyJuSg
IGQwMOq9TYrXccJoiQnlCQwrRwUXBGQ0mFhk0uXeyXJnU4jmTXWNeCBgjHR5G81X0x/GxR2/GZox
iO0YX6GRmntzoULWjZEf1MhGrcPho4xE8zgNzeNQ2wUupzpka7fWg2BWGPehE834HOzs1FSmfSE0
/BPI3nBb21WL1wthQ84YjEZP5H7tJ28g20JfRqU01u3m7TqL/b+x9b8aW7N5AwH752Prt48uy7Hl
1dXfy7vB2Kz/7I/ZtWUhxwZ/Q40REuUF5O+/ZtfgggOH6TWja8bj/6nsjsAL0xdeSSW+Cw2Un/XH
2JqoMM/1LAfysA1UBCLp/0TZ/WdciAsqzF8T6qChMLO2/yG2aiHgbzC6gYHCWJRLXOV6QCLb9ciE
p6b79ncX5uFvo/D/R638UKPr6/7931aMy38NyK8vBpksom244kn+AZyXetrFq9G7j5mBf7Jya/tl
7sfoVeb00aicTVKboQN/RCMQr//FSzsmk/4QKDMX9c+z+dyQlu7pLzxeDUJV1BKVjRuPwJFgWHOv
We4YhZrtagZKVlvKX7/8n6FO6ydHFWDDtkHDzxf3+8vbTp5WEWHzj0W5xq6Fxgj53UQ8rc54bHk5
XWIJ/+vX/I23+seLcquAkoIFA+/oz5+5UuRMpiqyH0mqsF8q8lVONjNcvHlMi1+vqRxuvjpXBmvA
/Qq6vf/0FdkoheFzHRofb7AKUmAcxDEDTlgWEi18BiYNHM7RtG5Ig6a1l69m/g3xKCXlLDN152+2
kn8KOV2tBX++axjAwt72fNsDtv075zCcQmdAmW4jPqNKIofaPelikHofdtp6uZrj9Bol89dX78+M
qL9dPNDdaE2ADBNU+dsN4xsIJLTXWo9izSyhP0MMM066X6bQlFm4nJ48V1l3THAQAVxJ/3/9+v/4
YBJPiukj8M2I++Z3SNQYRSsNWFuPkEaIW1ofGA56xDqNjXX31y9lsZj8foUdCxQSFhJe8B8g1ckc
9BUqKevRxfD1ZFDNy/2YM71nuuR0n1q67sdo+uvTuXq8kOPzsBh4FB+EpMf31+/mv/vgjumyWlqr
0+T3u9Z2ySZtzMR8HPqGh8QNkqK+UGubI2piGf0vHpKAZY/nkv8F3u8EXUsJ/MnOaD+2HTUi7Qo8
itd8rGtaGqNfl7ZER4BKk3OXR6SP3JVo4zl2CwuOgSUWAlx90ohShrFwaUw7vPRyJF2l90lSz0ZY
MtUseMooe/V0jjLkaPu/vmTXgIHfHpEA858LQ8tzQDH9xowTRZoMIbKRxwRoXrNfAsJerveN7kv1
3q5x6UU4seTOXMByzX5J84VAtm6OmqO6prDl0iW+ZpkWui9WAjDhmqj21+/zv1kFV90WgivsMq5n
/vY2DU4Bo8+Y+BHLIxfkepmtNRbBMol7IqLmX93Z6w76pzvbN7HLhuy5Jg7y0Pr9Fcs+tYUp5+5x
IqPnxutL7yOh6covDsk/g+noh9bx6c0neUJOhDkKXAwTA15QNjJXGwc55qdTj9zpJiuAafAQ5IAq
qMW4J66XqGPXAK6eQ+TvxqC+uaZbGuSinGwK47tlHuqbv76MfILfPxafhO/Z4c5FVg9Djj//O6XZ
EsooaMBAPdbcJXGk5qXdisAQ941TcEKvmAZOGH9HJj+2R5BSnI9lku2jLKWXWPCzzXjWKoptAdXf
LPtgPy6p0R8zWBJWXFkp/T4j8RjgIapiEG7CP/1COy4FSAgaqN1M6byGzERB1m1N2+TJEN007NgC
8GoxvAa2E6rqcaj67CbsSnGxy7C+G0VCyR7WLfFtIJ+Mr9YcyHurnosfpuygc1EH0LedF4y/sx6z
zxlLk3/u56za5j3795mA6dLZNI5QD1AqsArRc/cx8NQdYT1BhjtsDAJDvQ5kk8PjToLgOUIuauLT
TqW/ae2xIf3KS1tOCT7heLHf2+H3xqAJFFdl18sjpsoeldswYJW2ifAxTklouRc7hdWxgbFwNmEc
P8/TCEs0QJjePhoTykfE9n3lMdS1MRuR7qLUA9njBS3vCHrjNhRE9qXZwLYruUcCFFMEEOPX2jVl
hnSM0iDaBVZPWlFZe94H8hjKhCpktaEEZCEeFbtAh1ka31nQYTBKSFRHCkfDaKMtUQQXOsRyYGe2
OO8p5h2DGaizk5pivgWc0VwMDfxyn874N2jY5Do8odvL7oh27H+EyKfQ99iZiRhXtNuI3O271nbb
fYszBFeKep9Mc/lqdWF+thn+bWH4ccqHgEQHCpdrQHLYnhNg/a2MOu8roQYeSVwq++RG0T/TIRFY
ZbO02poDX0+cAcM74Kb2tqUVjDE3VmniqEsqrZGrGMaMFL7/dBt68NrLU/VieGEub0bIVdI9V1UR
lS8B/hIz4gYo5jrYlsFqz9/0M8BHGlKA8RKb/0cVgBs4lm6OHRibOdKkcgvLKVJfjWz0Hd6uFJy2
ZihC4Z4MV4qfhVQcZu+rhd0Y6xuMexRDrODuRxNOgbNj+q9mBgRJ8YWMPL6xOenZFOYZJ/UYrBFj
HEAJmJu5K3HvQPWHldbwM5h2qPcIKBzENmsFqaK/MmLTbEMYNxiS6YYzfujkyJKdu+gMgnDp4wXK
/UfiTdMmzU3qVXIPWY1KIimvobITjorPjki6kz8QZ2W4rEOBW5LI2mb08aFFdmGMhYMfPzceb44T
BymgAY6KYc0ZknNZ38gKThN6//Uv1UV06fuR9ZnlDJVJ4UawrS1rpdykmLs7IHIUPjZKoRyJAKfx
PYgc96O12alJZXT4Gy1Yqjv6USwxiCzCS9rgOI8gZjxBsWdTzw1W1OsaSQ0XXhKPTTQQTcsgKiTX
OlovZbTGbHbdwG+v77ZkgiYYNLj6oabsxIro5fNDc61FZEEb/r5iZndM09G6Gxa+kRHcyc1sT9YL
AopoZ9tifhpyjhvOissCCcX23GuYMdcgwtnm2lvlzIfikeSVZAaxB4mqfhLr72ho0LRMBdWnKUcC
Rwt2UaLXu0+1Rqs1Udq8C6gSiD/ybn66FgqLbAhYu0YS2Zr6XnQFX23Dm9EgEYDSYVGL88ChSUN+
8B3YHWbBdWLegbCS9YXbiO/uCveq6oaNpyNt85pWagqTIryuoXF6llTv6CvZzWdpk/KagPP98Ltl
tajXPnKZpmt55+hgqaDqepr1pTFaRm7XAodpCUnwi4CEcD38XAOKZhGtcWje7CLHQdlE6qJiHnE7
eXN4yZBRfmQB9tMD2w5vUNlaLJvQqCaxo+WWfC+MjBevro+QlXhC70fdrmUQO0+/bafH0J2IPo06
viMFrQjxIGwo1KLtrnI91rZ6ParIDIKMNcPiYRkgBpZv+q7qnODEx6lvkK34TyhPEEthK+DdIpLD
6D6x46JupS5HBn1nIjVB+0S0RrtDL6RBr4h5uFVTamT05BLOgJZfcdcCiyJjHSMWbybxuIF7pq78
aoURklzw3kKGjO36xiTX7xozyIjU+8CawDXVdCU5AqyLgCwc/QRUhKtSyJw8wZm4ySbiCVP++vLl
1IexWJ/6AlXdu2B4cAMFgmQ+dqkj1B++1dzugG6wkXMdJpM/X4NoCTTTD3pO/Q9EKTyvZoEqw84R
o25TYhsvbdvxTq53oquhqd5MOUuAh6UaGCCSRoealjiIh0gn9nQKsZyQjN24LE02Zoxj2VrRK6w8
TYeb42i3o2FKUQQmiRrIntLymehWDxSVsF5sI+QMQN+KrUmH1svkrPFejk0TEzspiRTQ9yL17qeK
B72xJmAn6ydkJ6JG7tBzb1oSmxATcLGXySDl13J4RFOOqDlLt7mZONK+gJqwXujm87X0a5W2hBPf
07VivG6b82JyR6nCcFYmJZ998VR0qewQjNxgl9t2GDjJrFetVaOOtmKyimXbrm8n8/kUMgeuo1A8
OHG1ZrEVEpiQuczImQNncfZovKDAeV3KcpQT2Ub3cw3tyrrWYxTKLT9wg5Prm+UJoeLTGDTHOfcY
F3rRUHhPup1WhBri3jXM1/Q+XL2uLPzt6LXSJsfWYnCJ9q3RV5MIMxUos33+dTFkdvNsmfbELZJI
LvSy3le5uK592hbGoU4tFnlKkXQ9kjOpWhAHcU9cL8Df1qL14D4Km3VhXVjbNGDHud67TBXY1nSP
JU0H+fy9ZRt6vN6fLnPbg6ARcBirxpW3wRByi4Tm0B5Jnx3PWTq34R83BPqc8JcKkDnEZUtKJnCc
CFnBGljt00u53hW+ljwUKAoJxoSrcrCaivR3b+02yA5OaOxXlVXRB65YifDXGjFuXZoQrbemc+br
BzKmkruPcVQRt+7En80UQmCnsOjcgc0iLntdHLzMJ3nFKkC7xVh/2WHALKCGUNw0RNGx2ju5dU9Y
xPLISZ2b2jQsRvk9/ga0PTxfruyxA9ZJwMVmMrlu3z1MbMZ1E4/NugGhyE8d2KJ0bVkU6rQdkz3c
Kxhf1TVLVAw9j5nTzLwuanX9BCC99TdAa6LXaA00TT16y8h/RiYKk+32xla4rV5d74ZankcrzPUR
Cn6V3ZMlYdanimX0Dgkr78KDWESvOWcksDWtZGlfem+gCEkNGb2auJZJ50XDsOdRgSzFUPgZyEx5
TxTVj8xISFxlSnv0igYh7BpIN8lU/ErRP24Cu8GiiK5fxmONkd/RbI/wi9iRVnpm3NPyjKhQZv9V
ipnrnCu+0NrDMXIwBgHPsoLzv0mbGgPyqMtTrpS4ddzOsnDWe+WJk70+VvSy57hQqkJ36tS/Il1Q
L/i2ZjGkyISc1NkoIgFO9ua5WRf/M5omGpFRllFTAb/lBFNUxcmobbowdNlI8CuSyXhOBZOluAVt
S6cqsrhIjgcNjw7ghIB4YsFp18W/GalxyrWka7IQXBgAqkNBDz4emolnZj0oS8I4byYn4lGNsgYG
r9ny9pIloNmEZBUUbDLxTvV1M0ky1u3Fy2uJg2CNUpSRIoJ83cMt5FivSZhwB10PhqmZVuoMyAUr
btuzptW+hjNNPw1DaFaT/xil7mlSkXWXai8iYBREor3gU0FB5544g/G9Vr7N/slslLu1TFmtFjSU
LyOvHF/XTfDtK/SIDXM3N6Be7GKtN1UCJg5DOTMpmBes0dpV71eqW41j9KNteIR6sm4PeYKIhHjW
PdBE3veyoJXDhPwf7J3ZctzGlrVfpaPv4QCQmDKi+4/oAmrmpCJFUbpBUJSEeQYSw9P/HyjZlnTO
scL39pUssVgTkLlz77W+FccHk4nLZ0s5eofYeOCO6zVUMnbWyCvYvmuF0ZBruXKXCmQN1tF1YS4d
ObBN/aHjfIM4cGj3Vd8NO1xCaLy9rref9WwxHvAxVGfeMasSfR4+EjfV2DZQy3KSKBw2FkfNDmhT
3UEa60LJRAp00y7Ruhy8lsy2XnwhqXZCdV8W+g68LGhaZ+7NHc8cP8Qwpt9OYC+uYsQebxFzZkHH
HcLqzGln2bEhrpIJp0CiNVu1dtdCmZoY+MvS24pWTAccpdrLUAv7UyqH5TPyHoWtZuoeR3PMGdWR
1Hom+Vm/MijK9jnNlafVFEZWfBgyrm6aMm22UFebky2m5CZxawKLUyd5V9R9dA8SibnQUORzkHW2
voc5Mt9IUYdvY83NXkCa8ptwlSQdlTJY4jvoaZxYc5h4xiq1xTyAo9J5/9pW+GfC84sJD67mNaHk
P094LnH16fN/Hbv8uaSJ/Lnsk34+fsJA+PWB32Y8rvGbYeqoecTvyJ0/Zjz8k0eGhv4V7ePSpPp9
zGP+xiNoPzKEgblDn/nPMQ+/jhYZXHHmPH8rQZIpxw/tIhyO/EdLVfAasDmCafmxXdS0EeZeKauD
5hLAks5xdQ9Cpk+2ZJIX28S0n0agnNe5VqOkGeqnnKv/qI/ujVkNOfSuJcYp31nFG6mK8i4f9EcC
kcH31XmT7ipr9IJloBBrDZfzwkwMGLw+VuHOvalX3Ig5GXf4dNpnVvxrFM/XQHT3QGrDoG9xRQ1j
gSZPDUDq2uTLoA/JTQEiyW/cmnRsTj5s2Ux1J9sEZa8v50rqd47RiY1sx2cgjBOrErhNa85YZpMv
XY71oBCgmt3Ku3HFhIHIRfm9pqVkJVo2dQkZJ28QOADYyK6HebmzEGDrET/FnrGZ4uR5rjGGVc3y
YvcEuSvjpXKdp2budnhGKEeKWLwDYHBIWtwJo97JbcXUiH6BxzopnjKVP7v6Yuy4YS96m12vn0Bf
wAeF2vIlrTnmdREWCJp1VSCKEWZZhJtTjeohEuOFPjEuR9OBgZDLlzHMJIl5Fifb+QyMsTou62FP
G2FMs9v5lk1LJh5ICcymBwdH+1hbT7GAlzjlrPTpMxk0N6SzU5FAC91avCH0FnjK5jsr57uaRb9r
JBoNzcpOC2cl6sMYJanJGdis+KDMuCWfeCWRkYGLpoAl1B/WzkiP9J9CZP0s4+J5MEhU1ynlNv1Y
zf76XNjdAGbjKkT1cNebUGri5Wx4pHtoSqcHUWm+yuIvghkOZ5XkOsums8mXc/Aq6cC44x2C33uk
BKYN0TuAiKTQWDJ5InDnaYCBaLmiYjxV8/LYWhQ0sT09FLodTHOJTDZu+wB29nOpOKvn5vTiVctZ
mVHipzH2uKxxn5JJ/+g14hb0ouE7ZAjMZn9YAArhJVIPS2PD3ax7LlRxiAq+I033ch9VbI/Uezlz
FEGwO/J9MvQTJ+lyJdA/BGhqFmLD/vBYRsaLFMiFiolBfR/lJxpeD007UCbnXwq6c77uUOTgIXoQ
9O42zELrXW6uACs4Sb5hJAn2DT53o3RuJIN+YObo3i37pmbMvOvXx/E+QboAbxiF85S47XwgsmPZ
aMZ0g7Ko/pBy0vVdoL9Bq4XqjaArEORThD6Kkgv9ICLfxp3VCfqMOnYFesVJadptFs/5doVW3pZa
Pe90uAyngqYSUMZcvPRG92FWrXNleFkN7mKqksYKWnLr00AWjQjcbBmfQ7dCiRnR7SWg3mrKRzTQ
j9gWCUpfrI7mYmHClI3DG86iH1pBIFU2kfsSOzPurySo+7nd0vKBeNQSVYJvYmqhAVQA0h23uaHT
cFdWGLFGzXqsNCPyu8G2MczRHCvn9qUsTc5pWhpvc/A1HrbBTb2K4IpVT4+VKLwzeoSf1GnwdFLz
BY9yvemagoOe0n1nMg2cfHgOeRVgEyFD4qs09GDiMEgouTvsp7WKnjP3ydWcm8FsxmOo2i/a2J4t
Jzt9t+ncfR3nfD89/3F6sq7i0uTAS3iO6bg2I90fV3F4JwDWxqzCwUenUwxNjxpnukns5hrKtfOL
ifWPk5OvzwZdnG4g0xpScn+a1aBRH0pndstDxK0elAZa41zEG0ewoP/1+/pxmPH6TAK5hMuT6fjz
f57RjMgiRRrWFSbS7FmGrIbrcpwa4+yLbtNVR/6k/2Ji9uN099tzYjN3IO5h8fs52ioSpYxpnpeH
ubdjnFrqAT5Q7msCuY+24h55v9BKz23H6vbXb/fndLTXcZSQpDy6LjHpX4c73w1vyAIfl3T2ykNX
IHJOSdeAAoXvn+XinFZpdtDl9DJ2E9DaUQFWRr4dtBIDcBvPLzHTjqhczkPEuQZE0UFKhnvp0OL9
GM+jw/LtOeba8eZardLr0ml3ha0u5BM+0t8tAmeybgYv1/ypquTetmntR4zeESayPPz1O/03lxDB
1TpTe8fQbdP86RIykdQXlWmVh9jsdlal3+lyuSsWLBW/eB7Blf/n+PPrt8nA2Fln1xaX0nqFffeJ
ytHw0DSv16qkPdtxepuNxNrSJBMAyWUa4Om77lHJvcnVfEcBXbyJI/ZQa4m+NIp1eS1VQOKv84Lp
HGHN2mD2fCCb5Ua0ah97LPd2nRR+FMXOvpnM6SmyzXlfRGa9nZI5OQ96210AmT5OLdv+YCbWiRBG
uGIY5s70P76ECWZDcHR8i2hz95OWYqldHr1o2C19x+Zdi0M824c4xgjKAZizeT2dM5fYQXNY7ty5
ERvT5HdLT/vQ2tkMaZUa668/yH+zwgjmIxLtouea9s9j5AXJWwOerjwsnDPWcmJiZbNr09kw4/qF
IGcdUf78ndk6+5Tnua78l7l7a4J9QPpXHuguXawuOYHF+MWC+dOY9PW6cNEZWYxI4YKYP49Jk7hB
5Kvr5aFCErnrEsTrVri8rCt9grcY9154ykzrgOPuBol5vCV/8qRN4bsuTT96DswaMMf4kUE9wwdn
E4/B/mO2La4NI/qyOISlgkTPDrlAuEhza2SivHRXeeJgAKjfej1/jSsqOnIKpQuCFHRjGJiQG9nU
O7NFck3MhbkfpprEHDP5YjOfB/qaXSP5PWV2NPuek1Kg4lqabKP2yzImdk7vL1WJuBP14i8GyyuP
5ecvhe9CogNhHUZ2Zv54I5Vm3U/VXJQHI+egoOjA+wkB5mDOM94zfOa1HZeChPZuCptYtrADwYcR
/rZPuZbDrNxqTjnsxnAlezqEow6x/jSmtQi8NSgvU85NCNXbxyOCEtdMAxhOpK1VKG/ddH6k7fmy
dCQqu8n9JKgOGd0mfqtN+yzWH2cKMUJI4nov8nEv6/ES2Q4O4Zbr0wKhv+kcBfJCs1LQgLnc44F4
lHWrrv/2TcKesf6HBo/T20+f0Rhh9OxHVR5GrwwocXA3jLwci5l2WEe/+EaMn7Q5r9ewxy7MsgZf
xvuXe7KxoFqZ1lAeWrMrGVcQjEmL6RSyU0mD7wcJMnCVmQOSMlmm0pQKMMqvnYwCcKhCB9G1rP2k
UM1WOgsO/xzXXDl7H7vMuNKUd8sstfNjVNe4qRDlirp7YZ5xmfL5XLjrZsxlFonsGSoEVSq0hXTR
r5uBQFGoKz7l6lb1qbeD+HrzerxcrEkg7OYHZZudHA0FcIo7lZ7UAJ0YN8NxWgeY6yGIeW8VjH1W
AaEYH5Keg6QHiMNfGo569jI+tNhA4J3LjRTqAQjqHeLZk1gF5YY7wBTAsb/+QQPnRJrDekHWg9oZ
Vttt19uom2yMheODE60HiDV01oMP6ucN1ZIeptdTk3mBW/PTrWY/waXnFiNx7Era00u7Zl0PfMBp
nlwD9GPkQUCkb+XWE/PAyygsxxfYu1RZnDSVnpaigXcfcQP3fX7iULyHT1lCQSOWAYf6o4PYOzfs
D3E3lqfMsG9Up6CftbO/HoyQ8Sb7sWnRlFDZ5731ZLZo4n9x5f6b25taBzobPGGuqJ+jQ/NZpI1p
2cXaoHspO3XpdPY9xTELa3garPXX61G76iUUbkml93rPl3G/m8duRETBw5oCBEVfplugbIG3UmGD
vI8anx5fiQtomA9YnzQOaBmQyggkRQPq/wWJhbyuWwkJLWJfhE3BtIb9wl9ccWNqrDFpPz8qQbml
txi1HT0Z/CnCPZh7VNbwQ032wxhMgJ9GlNluOjz0ihW0NftL63EkZe5yrYbhYtlDsgczPG2TNhNB
My5nJBbMewsawbjFN2hKXpiP1ru27i8up4NDljhMizk/5f3wIJBtrdU8Pf1v++s/HbZfddiEs+rq
/nOH7aZq+/i/gmdI588/dNi+PvBbh006v5HMiqSLHhuyLtOgqv+DAGb9plsO3S3Klq8srz96bKuU
GlEO/4wSiaqb6vBPKTXnchpiPMyDno/K+v/9zw+61O6n///+fEZc5Q/bJ7011xIcKZgwGav8+2fp
oiU9HCKTa14tum1FC9Hx8DzDAEboBqTotQYzjwk52wcsHzvlQMra+h63v2P4ZmIcOlVrVyGvnVY+
mRbR3IBnRQNwXUXU0K0YTl4zuoGVS+dcDSXMsLKr/aqMtDPFprGp4WLcU3hMb1NuCHpnFeNCo24q
PM8pKMeum0ktoYY0ETOWG6lCsU8bGfq87onWCUirBHA+RM0THX7OwE34BjPoLQhHhqKYcS0sNIem
qwVnDI/EE1jeBmaXcGAliKPm02AbI5l7dedTNqU+ufXzddhG0XbsOTQrnZEUmY5N3mnbkFHybtaX
ZU+CF0qbyNxrpV2+k7NKt12dJVgSrW0+tbdtNhO6GGU9CpNe7HKEPn4N2+EgCofnLwxUGfQxgr70
JA7TIbm4UVxxqxvLgfgxial1DjdjXasDPbfbdpbw8rtsgfuDXXMw6TRZei22sW6LIEoQLgFHhXFS
5d0pS9zr2JCgVkRxgQQFYiR097IYDjXZbpswN1daV9X6FuPtwAz1vZakhLHG86Pdq9lX/fomYK4F
/cBkOZ+HyG9tjbA1b/hYdEBnpqk41cRZnkGAc941yUdb3J2W5PXOXpoyGDIwCgnZKpsGYIwMJWq4
Sve9DDhLsoQa3OUEeoo+2Ntu9akjlZ52pgWeVFPFfDSrOH1w03o5doanAtcdmx2qaXtndtocdJNu
BYBdIVp50X4agFA1wsGkb6Qf6qm2zkw5j3MZkjVgiyYYuhbgbA64RzA+oYZtgjzXtlnaPMAqePSm
5So1SSmJlGPtNLCkW0NfYBNhZ1wI/Uib3tqnVdj6YzqWW12CbW5M+RnCVRpgA7CDVV6Qd5ipRi4J
4u/eyCqtdkxvZhCf9F2Z3vnKMxDodqtbvrePjZkaH2ZrMfys7c745T8uszXRP/LqLXjV+WCX7NxA
ubwN+TOSYIe0Cdyotg4xrc4tIe8T8Bv+juCnJ62D95G5Uxg4bI4+kJhmb3h8gxWd9Z2TFu0uFOlb
6s3oGuJwsRPex0h2+mmKmJrataM95HjrVghdbAXgQJILOC+EhfjxIH3F875OZPugl5NH2SKzy+J6
FrGPy3VHoOPOAwa2NcPY2S3ZgEMJwe+2nAxykkxNv0ucdtnqS1ZsEeHF/mDDoI57kcLYSJ2jQeyX
n0SeOphmdOxtZZ47TacyMuP67UDe6G6AaR2YVorbK5JjYI/szrrNdtrZqf52Di1902vEbFAoEsIX
1y4b6sKIesnK+0wT8x2llX4y+m4kuMRxqMtHLQMbWntjgMqYmj4vs62YO4L5nBYTpUbHQjoauzzs
lCpzbugvf0yI/gKi7uVH1bgIcD2lBe7C51kvnc1UlHCfROhfyJnxAlJU7FOtoDylTn+ve8lxKJUD
CpT8Aau1L07IjG3UBRgmCRZ3GXMnsCxYJAD1XoY+Rx7EGNcYGFiUnK/SxNgj5/xcWMu8y1t6O717
lYz8PKiC/Uh2LUkbZUlwi9aia+jqYA5BxaJ08jaGlTw3VYQEz1vuu4rBNuoH0hk5n2+gtvY+B+oZ
PU5Fzm7ZcEnhaL2eTXc3FOazbCBWeEkqoHB39n1ogsRhwLEdZm3DyAiuhtV8VqgKsUnP4Q05N2Kv
54ZxCj1YGWmORDdbtWegFNYwvMI7xEK/rXLzg+N0V2lkpcfOnh69sWOmmTi9T53nHAkjLR+kVHBW
W4QyNUTXeBx9FSa9T+jPg2kMZ9fq2xUShweF/DGCj/LrnCqIaGpgYmGJxjT2/LBpvrTtoNN8p6dk
L0O1t6yBDDB7TrfN2OdXcz62e2tCH2KLUB5yUpg6EUMQ9+QDY5lDRXzueXHSYafMudn1Xo6L0eMZ
y2V5aJSV3BEbdpUabEKTFsKjJH3Jz4wo37V0czd6Yd/XxPYEKAeTMxD4Y9Q2gBQVkZFRDzg/B04R
xEXjvM+z6WkMB6zus/upGkwcwVEOoQuF2X4qJw2GQIhrGAH/bQ8xjZEPs1qGZrzw8bpuutDvbZpn
RXip0PXTvUl2U5MwbXAsovRi7d0ga4DK2vRJ4JhmLRyGo6cW1GVJwggqDJ0D629yihX1f0QSHkxf
gigh+RV0EUyxp+1g7yJ3FDszr5EKYiHZR276blSJfSS1Bz9Ud4ZOBgNGi74IrXZPqB/CnebmkPJq
x9jZFaNuwyr0k1czkK8sdnJ46+GuxUQdjN68iPIjtKWyf2slQB8yrllifOHojGjS10y0xqvGxx5U
hMut2MCeQSXB1Vd4twx55Fhv8Npk601WpYXdiQPRDoli7lyTsPBWDGMpENbOM9K/iM4pcrGUpsVS
jwkQNtRzF2EVrtO+RzRfLuWpFaoDZ5GS0uySg8FpCr0eEPd2aduvJ/N/yutflNerGeCvquv/y58/
Phc/FNZfH/KtrvYsxtPUq5ZjGF/n0H/U1Z73m0VjHqMBQwdsZGtr9dvsWtjU1cwhJKYhy3FeI2G+
1dVC/800GTdTOeB4xKnw9+rqH6pq2+K3eLQl1+H6WqP/3N1lXTCtTlgabTp6O6skaTkM0uoevvtM
/s145efD8fo0ruQswLPpHqfVH3tfi9HBdlyUdugWhMdZhcNZDLp3WxBOUfzNRivPJen0wQjGxUEP
dG1of9ew5rsAgKlEeJiNSt6iG1FkzDFAtBZ9uqsdYDi/eEIshv/yKboMHXDBoDYwhKuvHrDvnhK/
vN0YbhseEmZZSO3RbV1V0AzID9SwHOAtHxGUeZxuduQcK4JtUC7Ne8R10GUbm66MrVjVNuDycAWu
eiRZTajaZtkCfJuS9qqRndyDiZD7ce1mFGhkfMKj1/S7tfOe0ZLLtbZ/a0AzPUnV1jstLJKbcCYT
EH+1XQaCfNf93OiIyaJu3jZ9V7whYXH5LBEFPsaZ1T6SOHqtD3OyHd0ctm6d64cF8vi1ZZmO58ep
GN6YHWFui1iq20WM6VsTRwNbWpjv7CYufdLeFYnQ5XjQK2JeGnpNe0/BuWubedwa8USIRS+6M2aM
6qalukHSnolnPY+0Q05hChZOGw8NoWPRxppkyKR+DXPuEMVe0V+bqFmXeNjozYjFv/Wsnd6ZuNwz
jdZxMMWtS7cFwEQ0du/piq+x0XFZpzu3dIHNj7T1cATAOa43uijKj0OLZQDxp/eOaDjzIiNdQulB
cPApBSYEiFi2BK2uVERgemmCUgyNIRp/T8Tk1+WeTcVr5bd6zrGQkXxUXbnDOMDwLMdHtgpK6jAh
upnRHrEy8BRQRaQE6grjEk+JDoEKUWDcSGfbGXr7vnArtasmvd95yuGgNIE4+dQWRbyPy/hlXoHM
kfDscyS9ARv7wrxp2/HhxGisrxv8xe+AamtvRJksV/oSekz3oNodnVLpjPWTFFiuBgrbAi4F9U+3
DmosO2rKJLsiPXv4hHy4/5gZazL8EgEe22p9Ik98BF0Qh85L0+f+aIztDUJzZNlu/gnlMKyDzDoT
c0NdkUVvJeJTLtI632sAOgjKKya/m0CoMKjSfdhmJCDU/TnVWksghKAF7+he+kxfNuSH3Q8iJEoz
Rv+1Zd7eXMIxN6+cuLuzp3GEjesR3iipTAAZmuoaGZ+5xT/6eSpcbWe3Wn+dmeXycW2yE69U2x+J
7c1uSTsy6ST3/aUBGkwL0rs0jUy2ROY+aUNLf2yJzS22qI4O6wLHXzrjfVlKwg0NqUDbWW9KkHku
fGTzkGTeqEgIjxTTQoCLcHhC2mJVQOQgToTN7NXmighJyXaOioy4GXMgFnfOCTu+Qog8T8dc6gAf
fE70ur4JNS1aHrNutBTKYXPoRmSCzIkC5Kxd+mC1qRdBUjHSyVPjgzv3wMsM0JaBTQ460KIwS0BB
IeFHVuuVFNpqcdynCeSNh1gvM+0jfkTcW0muzd6uSztUBHAMegdV37hEF8UcxNuJOlHEO6ObiDdV
0ZbjXUSwvIfGwmm6+CxDhtQYVsLRfm/W8RoHpZchqQZjO0nzMR0Y6u6aSdruJ5dUGGMTQ37WTpTV
KKPuM+IJC456ssvek+mY3SNzSvatvsZBVoVLj1cn+8gFUU6ElDBBi46DI072pCr0vIsaSbLRYoap
qMlPo0kD2ZgQsZgFHuLNBN98RoEqUc7HcKqQF6x/7YZOeD/Pw/hCLHHoQbUpyfvJVitIPvG8g1Ui
Dly9zoyFy1MyoWBBQbSUwGYAtYOJRb5K6Ypc01WusXsdDORtUm7RwfccOXVIc9ocI7UJQ/lhavlT
02vlPfOVEPJjqa1xtGos3kzCqj9bqA6ueCFrwqJpYVeYSVAJBofqedvOY3X09Fze5nbiPOf0TRhc
IYrahZ1bYH/DeOZnXsFrwx7Jv9laT2Kk1+aPQu+nOzKdHTJol6K6j4oYDWdHGQErnDMhPDNAJK/7
+D9V4K+qQPnX8Qr/12LEL3+sAl8f8q0KNHQapRZNLlybGBZfi5Lfu6sGFSLlIWZaZlASneKfVaBL
FcijEBi+tl1N6o7fq0DjN6gW6yjxa6yh93eaq+ZresJ3A2Ndejava0130FFMWuIn+UvRuLAFM2dE
cluj4HYgQ/XEzWw826n0M5xAzyw4z7j9Muwzs8gL/V3vCcfYZsjpuwfokf3SbrDcE42Zt2lbjym3
Dh417x7aMI1bVG2wDbF11sily50lRqwJLLMzGQHjiBYLFA3z4GM75EVHZ2Dp6SvU12U+Ew4MhJPt
jEZqeWWH6XSiqFL6EaTVfD1bYUieV1OfwOfRZKrUfqyUG/k6vhRpp/VVWuA7JHyZu8Kmr/MQO+QU
+UnMsrWRyAPXZhg2rZFIkjGgdUHR5jDguCyrEU2vTdYDeBzqOtFjnE5m3LMitRiiMLnSl8z35aTy
/aTa3AtsWSVHp2CIiZisVykWcDxNjaZVK+F87pmJZ3DUtRzhQVxYBLPSPtilS8v4lpYOv3jNBSeI
VIWg/u0Qst84G5fRiUuF2hvDcdx17BT4IAg8pf+9QBgvcCfbjXrqW9R84YKW0m+jBkzNVHkTbdTW
5o1aoT6YTyHNuKvRNvJ9Zzrt1jIytcVK1JB4b7TkpFUG0QWWO27xhOHHSbLRPjqsQ48SzenqJJMd
WHurIeCb2TS+WS51sPaw9d+Aa92aLIHFXvQ5KYRY+xiavkYVMe/XqG8L5dLZtjhH6wOo8dpRxaGp
QrAWkRq8nTmOI61sGOYIP1S0SgUZ+mJjBbdkcIL+ghhAp9VpsIja3I27tbja6uTyPBM/K82dbAsy
mqqpvjdKYoogdOVPlZ7iPtcVFG6O/P0hV/HaSm7d26KY0ZPDk1uDL2gw1nGOwE03JkMRTZDDtFXR
tI3dVt5OdlNT1bQgKhsrOsUSZNWGzILs3snFGhUUDxRDqVYdoVabxx63bOAQ6POBu6FVnMoN+TEs
FDCwuetVto/6xnwI82Q4jm3h0qtQNEokuXn3nqVe9NHWAsXIOQi9FuwXd0ByBOAqcPJEkyK2B7nz
VeGQyp7Ftvd+PVTsVbdKl+xuMYyA9mS06dgfRdCFzYNt5e1N4+nLx7wvwoC0tfkR41lxCBc2Zl/T
aBXTD4EvxYCku52rqbzByppSmkM7XsFOZI3aHbNcIw6rt04ECHjUZHksYX296yk8wcj1YX7JLDDX
3ZLVewJP9n3lcR0Sss72bWX6GzLlB3/uJyF3FZm7CJhJtwuJxvBg9dt9fdsWodzRy80/Iw+b8fV1
FdJF3JEKk8+mDPsXWBJWgFVo9PErWwcgp9KvLPMZguo7sJY2FMVITgE5U26bBY2w+R7HTU0A/eDc
jZ0WRjxthqphbr8eAP/ZFX+xK5oCBeN3jYDguX/+JuG/eS4+/+9/33xWz59+2BW/PeT3bZG9jwYH
3QwOv6+gpD+aI3Qk/tgHLZT8OkAGcM/YE+mUMBv8fR9cGyU0F3RyemkrML38OxshzZcfT/KQmog/
ItIIczHJRq7900YY99akyrYW1+667s3YJY+zMLSW3izcMkq+pgmmujo5hmTZrIwGxANHO7qZXk6O
XNewQ61LrR0vGfKInJUIrbOwfLNuIFsP6yItlMVyvS7cHIHIi3xdzaXyWNnrdZGfXtd7kH3GZcBN
9r5ct4OlZd3hOLzuEtnrjsGSNO6SdRtx2xTH8eve4q7bjCN5iXAjU+CGUVSh2dFmHHvWPLvOLp68
MTpIy1ggwmep/jElRGfe5HOWfWpcrblNIhZrOB3FdEuqbBdtCPrgvRd1gf4inZLMPVZzay27xUBc
te9mUMWB6JCynQYvwjUe2818jJg4ohUq5on8Nl4gSr2QAyG8A/zyb0yvrt5IK40uS5qp22a9UVNm
t8EYF16E9Il9PB1b91DIvGz81KqW6JBMFLytN2RloGHxozwgbe8tkUu9u9C8D3XyBg+hYScD8hAz
Eu7es1kTdm6Ls4EZKTOmUvcxVE03Amhqafj9rLQjrroKiUQdNTGAWmr1kllLgoozn951NRFIgnMS
MRKwTAxmDWQvqwl5u7JkuC3ypJWbGttisau9mq7EgDbEiXzOLGl4G5JSugOlQGopa2gvWJmbQbn9
VadrKg44AxKufNC7kaXQbMmIJCOjU+uF4y7AMlJ72WkTsuQNcM4RgXjfD0Ot3xhzkfYCSh3VwIjs
KMM41RlPURijYnw/Jflctp/6sekLBg/ZsuThm3+OAa/Oo18seATZeBC0/rPW4liNPyx33x7wu8ZC
/81gmkyTECkDC+e3EwDSC4cOmsF6A7/NRIXx58q35rI5Bp0NEsq59NZctm8rn6X/JmgM0xxxiKty
10f9pKf4S32F+FFfYeuseDaXpskRRSeO/FVZ/V0PE4Z/r0o38U56U0xnLWVGN5JVdZmEnX0qSrUc
x9f4TzdnYyVYbE0FFWs+aOp0wNzdTrsjPpH+GOuZurNEHz5mC7HR52bNGo37JI0gMaxhoGE5COD1
r8mkQE23ZBWy1Nr9+GZg5QVwMRd5eCJSM/+k1GxfqWbwHuOpSslehSVTbHpvDUQtK7JRe6KBY0la
qlpzU9NYEKHqvMaplmuyKh15Cgq8kySOLTepnNS7nh7IhbxYQlkHCAlf+jWpFR3+dYY/HMVBmaTv
lzXR1Qoj9W6KGgb0sLW/aELgNZWRvUrRJpdOspIFXhjR3aV2NF1jd0VKKlngv7iFpr2pynRUG1cB
e1GaScSJVTP+izpieTdjJaDexGlGTBxZbsSdjkP8vGCjog0adltbhfF7Y4YX4Quv8PbdCvPitOLk
97MRx7eDPRAPO1SsiTgm9xEQ2RMqYLXXqX9JTyrQqsDZAJSylHHuMlAiRpLdCrXzJs5AEAXwAeUn
AOwTMCCvdXUf/wnZWLLtfU48zWkgr26bdgYiW8LHHWR9kzy3gEE3Nq7lktlq7d3AAJHJLlTucFFu
0RzwtlaHDNDLR+zRHqqxpMgrhOBOfc8K3+PO8YihNSc+HOij/YZ8gPzWID1L33jRkt5yoKvou9mu
esIHN2/AYvTe2aBAJ4JymQnHIYVEnoTuhH0QFSAxUNKCJqEn5ZMSR96rcNBNWOMEHRiDJ9FTKXCW
jRMTM+H19ZeO3zIc9H5pkkDzsEyPpAJZGwGYC/ubtfQvJau8dgBonj+Gw5QelSgb0onmFKNs6ajn
mkP0nTO2wErr0t5JTbSgq0UjYD9zHtxMiTHeIjqP0sdGh2EAQF7zkopEs4V88b1rqIRwGDe+K0w5
G/knvl0Trm1ctAmfLUfjWOto37ZzldywORThTdQ1EsFNBbLV6tX70R6dowei5W3k8RxhR3JMvtxb
HXw0pocGMYCGgYA2xB2+0yqCNwhUd3yF/eU0Q97YdUVWcHuL1p/R1tQ0AjduabQr57Tadnq9trKM
cJfGGfQPtze3ySTXgxhc1zwzzibyxetKJ1tgqqyLbjGSHnUbjDO87FlvCYbWy9Ui1fC5M66tiw2o
mDAATswVCKpHv9FW7hTKjEH4ZETLXZIu/cksWsySKXRzMcnxahALvNimyJiOkJpNp3Bpzriih5OZ
DsVlNlATbJLKsffkBfQXTXZvlpgbM6vSL9BG3hoay0DuZYDWKitIkVRsqiTtHrSBOAzSY1y/K8FS
Jyi/71vOJzQBCvKeZIccVndIKievKd6kY+T5CqbARg3ZnbDKR2m1oKEXbmytEoe0jy6OU8bbogJ4
HjYlibaJTgjC1OXeoQWhj9DfWT/tanzQhYgDnUh2EvqshXwHR+09GGEXp17jgfMlw2bZ2kfXtuDi
28hkEXh2w7UtM33bTOl0NRf28k7klvXkFtRWcUZew1TH8cmFkfDguvZwrkeHcBMZdawpLqQXJMl2
qL2Qb4T3Ks6g6uoZdy/I1fRuAYrxOYtq71AtlnWA/5hejYYmp23URdMuNAkiAl1Y+GNnR36UZA3M
AJXs3bZYE2TNZ3SBZCxFidpNYYH0Uzb9luaNjn+KD+XNmMfZFs57maOKyfm0TYGVhhJWypcEvhqf
ufj/7J3ZbuRGunVf5X8BGgwGySAv/5wzlZlSVkklyTeEauI8BGfy6c+i3HaXq0+7j+8baKBRhiRK
yekb9l57SVdZyjqgVUZxjglhv08ab/jam46x7cnL2+etZW5NRj9gHVS3YzGev2j23eCFGIOsQ07/
S+KhuXI6AzDxWNwLhjOkZYfmI7YFQpcmu31VIrQ/Kr1g9HUUbiehzV1W2d2ln1vvmJC3iRaWbICt
41kZD90o7j5CMC5PXtTIN9lwSUuphzOWtOLiYU4/jIYj7pvGSZelf8ddNUwfMcG43io3RHxFctWe
TT/oz0QuEFMUOcm6T5oUxrHHIzML75mIJ1DgjfjBSIFRod/3FHQAGW5k0lpLxFw0n6C+R7s8TfJr
bGU42It5gPFdObgDYwtNwGz08Rn2cnNoGI0zNhPj5xxTAf6+an6UvSQmJUhUvcLV2oYrpZsnHQ5o
KMn1BRBT0nJkrplwvenoA62x+GiFvbWDgo1ChwKSDQ1Lh+dKVw0JHAtzsSlZcPJg0gfe6ONblOoM
j6StGoLExLgdiDdYm5Y9Q8jr2hPG1lvbTU1yH9ZStO2LqYmmIkYDN2hqvpBIl2EgGanQn23HCgrC
E0u3402Ushi6n8sIUnUhu3zbCVdvJgkLY1uZ4/zVa3t3G6RTsa7rmEdwhFmqX9X1gIMrmrr9YOaA
GUa9Z4gVbrlIgyOnMtt08M1ukiYJBIA6dSFhCdolpeq/9fH/qT72HfFX5fH/r9O3onlrfpQhY8Ln
e35XS/iUwqiQwfzZ7vs0/J9Vsv0LJTLqN6CMjuNhpPmjSpZol/kWiM2UrvRXS239+3xA/sJEm68G
U4maYkkv/htVMnf7n+cDQvDTIDgyqxeQpp2FbfDjpl/HaPwrC7yQk3keQkGjv9ZFS+h3EI2nLMTS
zP4O33EJ5/IrsCt1dmB/8qgTYvhQlh0BCk1lvGUqMy8p8ozrXATy0WXSxl1VucUmbGx1pRhrPkwk
Zj0iasuIUSH8Ng9d8WsJ0mubJYoIW7K426nRn1kUJjyNPCIA4mQY61XTVfMXs8KQEQchWXgB4Wsf
64bMAL/IyHdTkkkFZbYc2+JSOliE/SzIN0aSRyfRN8OxiHNwPTn4kY1lhOqUa6QA6HHHe0Sw2b7K
PP88NWEPuQwX7200Ov+q4tS8iCk2L5OcDNJSSql39DvZnsolfBF+7F+FkT4IslcuAbiZ2cQnLdyA
mbe2fcR6upLfiaQkjiKf2PtTw1jrOq/bB+okmxUoXB5pOyPtAaPTvZOZ1VceNnonawLTScJiEt+V
6ZO2E9zIY2aTMpCPycFvFq+JPeQbU010/NTAz6UXB/dtFw23toznL0TZTC9F3clbmHo86KekJmct
GW+Oy4djErCx0wEvV3N09eccEfCmL0K1q3rC3pVI+TNCSlM7LTIMK+SCaaBoXw1fLn4uZMd+dWcV
2NQCY9x2Mdra1CyLTUNaZJ5W+dHwjCNax5RpQMkOv6/1Xuve+R76SYm5pY3vWhfBGyRj8uXzKH8Q
M7H0VJ5JeoqmJiBhcE5489tT8imEDvaqtJujmXOrU1Cxy676QT/6gR1fZtM1L6yDR1hitYyfaeeQ
OHZm9tEu7Wqf440mOU2X5sGhIwPSl0l5mycVX8KQcc+kFMmbbPbVB1KBedoWqN02cUMYqzvE5gMh
mOpUhq0b4GKysy9L9XcNXDc7TGMn79wWXUBeufFr56n4RVeRuJJQ5NxyL5sPI2LhK0MReWcNDjGI
9Db3LYzHx2SWcCjzJjvmRkcNHvCE9wvHu1q6sl4LX7gXHdrpMRZZdSCDg1AegjOz3WBHzn1WDXdW
NNhcjhqUFikTXRS2b1Hn0V1MYyq2VhWoNy3JstFglsKpghFKnUWnGtg7xURng03b+iTt9Ms00ACu
jdC2XpVXPJa9nD81TTWRwlOYtzKiEgRvERgnx2jI7gIbZF6jHpcyYl5XvzVBnTyokPclri9JCRR4
0R7NLdklc5w9eTGVVi9hDIKmyu+SkJM4gNeCPIn01rOz/KOSTfuZOQGuyTYVj0Dzj4y03VM56H1B
ftOa5T/pxDGMjpsUIvvgBNnBJU7l5AZzcbTTvNw0FaOujofla0vvRrGZB7spRn+uGkQceMaSDxUp
Gt/mEX+ETBMCpKNl7Fc56YsyjfFJFRXhG1YOZIyAF7KZI7TSmsnYg1GPO2TCxMWgk0nWvr9zaL/2
QTOYF+z3BAZntz4I+hcjwJKYuhL8txlKMFae2azpIvprYfb1F9kSaoRCZTOYo9qXYhi3RCN3BtsY
6b20akKfWpkQlsngWWJf5ym8n5sy3RtjO7NkmRy1rvvR9Sk1B8CrwUQQx9xQHJUdlBBku08hQnZY
veCl2PiFmsdcE1P9V7V5xzqsuiDLR18vjJfESlHekkYht6RF0vO4GiFLXdAQG/EzahDzmJmNuWXR
pFdWkpaoQ8FwBGXk35zcc49UiCOBMPB/b3FrpJgEyItjIfrmQg/cJ+x+H8xmCY2ucmlee2+xH1BM
E1DrZe42lzDWfN4a19mOomcUT/GZcOJf/bl1D7wRZ9CpDVFoOMG4lIbk3CRkuxI8CIi6s+uHNgn0
JTEH/ckI4uzKsrDaMowMd8IvyaVCv47IVMvndMitA3GPckt2ZMmIOLG+kffSAaX0qzebADJeLt0M
+oSB51NriT5boX7xdzLxw30HwmZbTiEJriKIHqBq8BBnO77qQz1+NDs++iJy5s00tdW2gc6JD4/V
LDz7MrqXKhm40NjQYS51NGe2m/cg4bo9cQntMfXn6ikDnxcDE0eqHZAwyzh9W/U9Mq6pNecEXkph
rxjB7Fxd9lfRh9bJF2H666CJnB6Qrq16wesWlsN415DGekCKORLErmv/NXXdeJMXg/mClDs48GQi
pK21NhNjuoe5S4wvla0I/Gk9Y5eHqrkXMcA0xzaCHYqv5paRQPMUDl6wE6Y2P0Z9bHI4BRxumgzy
wSNVX+tJfy6aeaIN63j8d3U7NyuyKXGFyEEAGkBqg2XkDijV4jIt6hjFPflaTk7OI6hhOB5pbN6W
dSLv/iQJHzuHQmSVdBqPXyH99qYJ3zyUcM8IO6gU2bYzdpICIYynv/t1lR77jNRqG5nyObbyLYCE
/KGnvzq0Tvfq1A5yO+BkEVyxofuctu6rE0dvZtB9Rxr96oGWJRiKZeE8YOKUOj/WhZq2tY4fLR1W
pypS6rHHDwTNbii+sFkZn+uAb+wL1+BSjycW3ydGDbHZnVCC677ds2LXs3uh1CpCdzVbqekASypb
ewtgMaLRchSpRWPnPQCqn1yyb4PvXTxJjyXuwIlDfmMx4EBUugZVvO8mqp59HlXlJa60Ub5WPECp
vfx+I8Yg3el0CvMTFON60wyJtaHIS+9AcRcnspPUqzM5+ldoabTFAdDjOxU5on6EqBMFMItTYlbX
YzMAcEMU7yRfvWhsjCdHg9NB1dgHBTrPOIUGu0SIF+9h4n5Z7Hq3eUatNTAvDLONiRgA6Zj9PBrW
cHChAZIx33ZXvnLc+ZminITQF9f2ucNuj84QdNwqDXnLGArlLLXIUzFH2TZijnziDWJ8jIw4PCPF
I9m4ENOV5ba+1pzN09yyvo3i4c1O/elU4xRZNbbR7UUxYsTolnJLztBb4GPVd3F8TINdqtxp05dB
e/Ay1lWp9uJ9g/54jXuFQHRQ5Ik2wuNshy1Ru0FAaqwVn8gHPLsiy9amEtUZnWBLbLHSv3bSzdZk
pk37WPcxGYywe4zQZNseZ0j/Axs7QskAY9UGGNocTvOhQ2uBHNTK9w7guu+wkiijqxSYdoz0Q4qv
rle43nNjdoVqvnS20qnzBCeKimMd64xR43+3ur/h1f7DkgOTJQuIf7/jIG+7rN++lj82cb99z+9b
XZN97bKw4PJxMWp69He/i50WHRRdE4JrHJ3cw/+UvNuCTg10Jjrq903wj2In9xeAABZ4Hjo/5PKm
/3eauPdMkx/FTnhYEaP7vvI4HGPNn8ToJk8Jwvhm4w7dgk58Xoa+N3Uvde/bRX1KzFzxcE1pJqNk
T1mEYPYs/Qx/YpjzVlPgSkrAhuGJBaCXykthWEykGZa2iEsSNoQoBZs9KfPtGOxTL3bi+OyEQ8/j
dea/BuRY6ZljPZkOpfmMnKfDExmdBYnMC+Fr8DA+RdQugLy45vOTZDvUrVM5gPKCkRT05isZVUG7
Lt22rqaPiUb3AWHZDgd149HURf59DDpgaDEVZSsmzEa+droC1mrW1TMAeDUhHWXQXmqv+u9d83+6
a3AlmwwL/v1tc4mbZvkf6co/3jn/+L7f5x/eLwIilL3cCEApaDD/uHV8wWgE4eACLPynTeSfgw52
i9hEFqmT7S8Mq7816FhugR9uEcovYooYmbGs9EwYMvwaP445OrP1IiIkwyMj0/li5vW0lwkepxX+
aFKJTCLQv4xdr78Q+xf8B7KM6y0iiz8f3eF+Ry3o8hpD//jT0SGUaAdEeHrMk3K+0DOxBrca6LRz
TkNGDqt5aDVKsJUlWkS/Qi8pzz3BbWdwZdPTHHSsAsqwYd2ODpYpuS+WXUcaQKUH/k8VPi1o7Cqt
8T82CZXtXRADN91i+SbukKSIi69C2mCfychqiuwx5eVa9N9UQlwSsdvIz+pI+s0qYaP6QRsTHQfC
vb03DABjYbPtKokjVfV2cEIJx+fmFmNx5td0ilUwFNWb9It5h7wz3RQL3RHWekKGbWQbRXWA9rwo
pwESd2gn3iXVE2g89bUPZejuBmKorU9mH4TxNgfegB6boCDnNTJ9tkbAlXxyQcpWppSVQ66r4UFb
Cmm3ChF+XGcCD71dmU4i/DCQw7wzM1gShN2REoEKr+mx+xkRup+jsJevDEXkIyknGb3Y0/ywwSRj
y1m57wL04F2MLgaPGnYtUleEtFG5C3fWXeki/JwvvVm/dGnle8MGGoPmTYTae5m7sTW2xdLdDYVW
+w4Zc8u/CB2nB8TA31+Vl9AYspyRbEXpFmfqQ2QedJB1dmPgxzihzpk6NQylPH9Xvbed/dKB1vmw
07au0KLQnSIvo1FtO8DYxuQHt96dxqd06WjNpbfF6xKtpdOV6zZOnW9LIvUHeLpLNO+ocXAb/i7C
RH5sl645QQq3GiI88LGqiyPugvbEQ/YAiDT7gMM2vfWM1ai8GZyBKNd7Q9ChN7Tqoz89qqKmeWcB
0nx2ShF8yNNIbSBMU4Et/b6J6PZOmVmzbcANrKNlLlAuEwJNwMY+HEv/i/s+QKiXWUK/TBXC9wHD
WE3mFUso6ZHkThqn4n0YMS1zCby2E/ATPX+SVvaYGAxNXDSfIcz19EuMKuGTu0w57EHarCUC0Mgp
QYruMg2pGYsEQeO9zcukxK9KhiY8E2AFzM02mXEpQTCxVylDlv592rLMXWQ/S3KRw4AhzjKXKZcJ
TVAq8Yq/AYKnKhjgWEN7BK6cHZFvwihd5jzNMvGRy+wnlbm8G5Z5ULZMhvJlRlQt0yLW9cmLLqLk
lTOK5naZKnXlnB0Y6lfXdJk5Ve/jJ7AIikJazg94PvpzvsypwJ0zsgqW6dWUoG1eGYbksQJA+OJN
tbz5TMcSVE/c9oARAmNVeXF8KtxQ3nde15xhscTP4/vwDA2ieanSPr60rD8eu7QbPsbLvE2mIbaZ
kRkcZM3kU9277R1hnL6xHTtGtub74I4Yn/wBOUZwrOZx2LezGW7MxPd29TL1c5b5H2qP6ZkenJmg
bxyLZUrYMi4EpY1tuCNwZ2A7CLMyPFoMFyfHJMiScWO1zB0xH+GdXWaR5jKVLJyK+aRo+j32BcSm
kTlu5mWOWb1PNPUQQ5CeyEwp7OGWlI6+RssMFPOavAXLXLRbJqRoNfsbH0hwzx6xe56XSSp+NdJe
lulqucxZh/eJ6/vwNV/msNUykeW0c7cYcBF8lVZfpeG2+9nLGeKOgSnJ4SZlUy8zXvbijHuBKqDA
snr60MaxvjOfWDqVZUY8LdNin7Exnp7+EgX5A7x4H4Qus2Vk8mRrsX3cje+jZ3OZQjOdMC9+m/pX
o8ytG4FHHS+KZvLPqJyzvc8wO3sfa4tlwk36iQ0y02fsDYlpPMYYpE9VifQ89EjS5sMoLh3CV9T4
PGqWKbrhOsnJ0rb46DIutNZmawTrRrtABN+H8MP7QL5bZvPNMqUnv5jNOCNb3iUoXnRp/ZosU/1s
me9rO44fRZ00H0LVAgZeBmBGp5kC4R7STw0d23V01Hzpl91BtWwReH0OHzLI9e+duzoXy75hCSie
ADmwhSgKZzgZYd4zfxP9tYexCmPSKnZerPWnwXGaB7qzYDPZ/byX8RgxXuiqV9fvys9eW6jv+MJw
HrkoGeCAh18H/E1bO5599pLVbig9fG5j42wo1tu1US4uJ99ojKMnGAGszCZDKpF7ImN9PkgWwBiZ
T1lka1QVRbtFz4zrxckXabGbpN8LW4DO8Hv97IWF625p6vLPMgy9PYb/4NKJwLvrvcJgajLX6H28
g9+lFn4ri/cbITptdm0hRN8nXt5c8LAx5/WaEuQqprCgJccjsVPnOmSKvX1fdM9woAjgqPy+WdMX
E4vUyKG7VYhzzrPhT99M2WV0x13M69rnM75DvWI8RpHjvmrEHPuRSHp7VTaEMywP7YoBxhwEhGl4
5b1KC3mNTfCXEBWwGXnZJFZJ4Hh71ZbM0TB5xXJNzole50hbQEUq7y01QSaZsXyzu6a8GGHhfPRC
HIMIdOR5qeN5DE7Ww6Rncx0GgJY5gSedSbHHKLHuES1tCA2xLp3XJgyFy4VnWZQPZWjJJ8WuFEOd
ke00DNq9gWKCpHOCNQgEsdB0xM0GMUN1JPWjuSkntL+0UY06R7QVEqmh9z8KfBS7gvgtMLW1eMSD
Ednshyr7IQ10wGK/H/1bFhZqP0S8ZMFGnD3EqZz23AZnZopLa7vjyScObCtiQ3+LuthC/jMN/iFo
tTqQrka6OTJUPK1T81DNWfWAf0wfEhSNBxRoxZpYAGM9DLM/7wNRq2dqAesROXmCBIGe8bvHeuA1
L1ECBGn14uhMbY3Ev0mrbpC/luYS/Tt4zQGMLKu2pE2i01DVBv5Iq4kJG3OB0KJ+nb/EVQ29o4mD
4WSx6oHhOdxNREpzadrNLk9SB1oHIA4R87Lu8D8muwEFVbKRembsTZ5jd5VhpzeNrj9Be8jvQU/D
Bghm097zvmMsZHcpWC9jAkUj1MEqM+9eCTXyVlDxKwWa26yNBIuZnoJDt0Sth1HqW6Q31xg6nSwU
a67s7IGU9j5a12TSOCvCNihfe4y9qBiGD25N1tuARffomlNx36Ya9AAkxZqLw1dfKXxBHNqptU9B
B148mEtIl6hUofFa5vCxx5H7ZKZl9mRb1IAMOmd77QCruAe349/NTE3zbegER1NVXb6i7ZWstUre
YCuvD45x19czvg6ZnJKW8J0ViIO4o8SEkp5rK2y+yTwB54yutZ0IVFtJTU5V7+Dhbb36RFCFvjE4
lBfbrqerr2uxIc8gXENCG09RMcyEcrfhy+x6d4ntPoZuDBnJiq9F7Aj+SvuUkyD+a6xsCy0hwykd
uD4lWe6+iLm3jkDU4S8OEfwy4nm3lZzfoL9+jpVx8yobX0/UuxuyKKNVo/Hplm0x7E1pMBQDXjvS
ItzFmSBOJgmfOC3E2Uyevcaf3W1kRnFjZPE93A15aRz7VTRwPcae+PcwTbNNmnporvKMDyYf/FWW
T8wLEBYCmrGLUxihIyswwxDmNp28uL+PJpvlU10AimdknYOzLuqdUJa1no1xRqWEYXYuJwRS5Ggr
D0PuDAvldTIslgsxSX+57+39wFH3iMrTNQvm9FJw+b0Zjdoifw8ec7KIDhUJ8wgIG/OyDPg3fYgk
bfZqXnNNFB+ZVHo7vCvzuiIgi1CHDrV22YbXwsAoQ8bbdO+Y/HEINrfxjPnD1RU6QrdCFPJDx/y/
YAT+tS11LQdn/6KfRfX6s00tCuyJ5S+wGkxdtHUGkR+nekblvXJgOX20zYKOlFoKVUhnpr95H/+E
JPsRQUab/VNX6lpQzhZKwjLX+jm0do4JMp/mKj6KsazhnNbFuYqz6N5LoQ399d+5qAj+3ADTz+Dc
EUv3C7rjJxdCrOFRjwBCj6JCcIRcyZvAekxh+e2vjyOWTvrnA9nIJhg4mGhh3Z9GYWk5oTlLVXjs
SBveRV5ts28c8fAVcfug65RE055QVeLP7PytUiEdNb7h6N5Aak5zHRDpsn3/lf7rpflPU1fUKT+c
vH+x0oCaK759aeMvXfvj+Ai8L9/2j+kRURiLT1S4ymJ0soSe/zE9UvIXoMPKhMcHAAMOB/LvH3Iy
QKFamO9+l8j8rp5BY04f7Toeserv7tS/xxpZ1Op/utw8dOXw9CG4C+UAJP8JWu1YEwIfgDcHuHpi
Y0Ux24y58NcOyrDJTT97ZMTyaJlbwp9Gf423mU5hnNITZWVFje09er1Hpk7Wppexy869Zze8tV3E
ALUkwsXgKZ/gkZs6G1caW1+Mprm5YUdFrpinmRH4BnIXt4PY71u3ilHqBlsnsR22l26FVmguBcdk
VdGvE1zjBEhqc5OkzUuf+azdwMHpCjIr1f9n16jMTZbz5SmvlTWu0/pY9fWLIMuMcqWXq2RGxZgH
6pMxmB8SKT73NYd3HUJASkIiwhYKQqmoPlzrJkCmr6yCv8etxnZr1vrFFQmRcQuDYjD48wiwBGWd
F+amN9Sxrr1jWLTtFgpRtSazaBu2ELmx03y3UgPMm8tHWXo1EbKaH5r1fAQ2jAb+BD4G0zvmDCs3
Qc1X9ZQd676y2bAHFjq+yCoPZGhV5HGwtnI1HVCf2reFxYX4Drmkjac+9mmoZmuRL0x8BFUm263T
ivkWlgxnpqxHm80hs3B27hxb8+sP0tp2ml9IVm66wTX1lDY+m361LOXL4vtU6PKgZW1RaUwsbtOJ
R4wP3jTIDMHn4D/6JgoO9KTUimaSIJpOOMGt5y0zI8RCid88EhGVAktBg1IZGWO42ZwPlGdyJRsO
OjiKDsUA2sdFgl4cdYetm02luA6Q29/y3qPbM/3HwRP9GiYuIWymc+tjfqkwITdKGjX7ggTBLh3K
eFKUtPgml6uo5Wtxa1/jRmA+LBtrq/ooWbuBO/IxcWFhbOZ17DhXrufvo58uyHF+9WyIPwPo4dzP
/Is+ATqiMArIvV6Dhbrke3I+pUYwpLFUxTBWN/66buqX9/Odhx61DGIEQtf4e8OIS0b5jARLhK5I
Mr3sZILT5ibnqmabsPIirk5Pcakwl4CGjsbzKYv4p+sln6VYdJyjzwobSuS14+PCD/w4zZz5QXOf
KDUEpwEcwSVCCLImk+NFpfxAV3GGvY6LyeNufP8wioqbYjD4Uvhin3NQN1vmgvqUWY2ztSnSSXFs
gtOEhOcDCM0Kh9zAAAZO0Fri6drNuWVt67TEeYZCe6PNnt8hjJo7r4FZjbBNnDGTxKjVZ2tL7i9p
U4OEOQcgDSEYVxnAhTXwkfTiWdyo0uRB4PXsT9kEZ1ta8e+AW+JbH9EYLreXTOb5YIrO2o42Xu4O
9/SqJOQORBqn2458Ql8is9iPbI63vVhuw9Qr1+/n1iCSg0zn4uz2INZCwSVA6oW/lgTPrt+v8veh
cAmjd49YA6V3nvk7TNbZZjC4nN8vgOUK5xa/4UMo9oR1EO/ac3/btDx0f5y6thsk9wGXEYo+yNCJ
CN6q2DEOTsSfOhscq+gE7gVf8vRy4s+syzkFIv3O0BBeIMCILSHb8TqXLfHUhSBvue6Ks4rN8eqM
DuPr5LMRsmQy1FCckcCnW9bS8bqbTeMQOtynxN2IM/YFf6dcLjI8NsXZIGmESGQeXyrJkX/ycBAz
MqTR3vtR1rDHZvQdiKFfY6Vz1yQEyE1dO8TnWk19HFwSOVVB4MIY5ybcIEdujYwUGUWNvw0GTh2x
Xf4+6KwbI3dvP4sC1iNeOhJw+n6NcJnequdXGDpopdwi9BgeTzBQsPK3Z5PlU9G837R97BKIHBqP
/OzowWF6vKkd+2ZNC4wpMEDVoYritQNfe9IjVHu29GvaIAh42izOo2uP106l31kD8tFM3AHvn7Xr
07qkOT+yE5xXu8AMDyuRvppKkvEEshaVGcGDhYhi45aaGVKgv2vFf847bDYBLvIw5nli0zvsRF1/
8UzD2RZL5kqp1ad8SWFJiWMxhu6qAAHgWPHC0xQTm0e70WQCAM1kbq10AJoCim8JgMnmX+lXllku
FYG79b0FHD3PdfLZSspxg5zGB2BkWo8OHhhCHAYSBqew6U7xYHIKpRmEJBOFApJnYuLDjkpKwii0
3UX/TSSkQos/wjiY0hbTB6Qqgk3tqCLoR2vjBJD8zSDB+itTnS92THe6CuWYfve0NGbwEsY8M3vx
x+HQFnW58/N09KtVbWi5rpKaez4hiGUT8iraWMILLv4AC2+XyWJorlgzPHUsfLvJD+00t8bLFNr9
OoKslZ2DyJctQvAM3CZ7IR1fnd61iFICwGJ8oLlCNancxx9KsYffCuYfW4Of+xLqGttFpuO6Cjee
/zObOPMNa7aZmR7I/Zz2NNff45SXiyy8x65mGOOwRF7bMVf6Xx/350XZ+3FtVnSImEwlzZ/qKZ/u
kIChqjuI4f1hxz0o4/RrAT0UHVD6/a+P9nMD9H400h5QYAsfZMhPR5tJ9mUCWHQsqLhAlkrAx0dH
SBWEofcj/bcJ+A9NAEIB/y/9pddvw/87vOUVbXdNr/fbZvo9Lu+37/y9ETDRyv8DN7isi/+hvlDW
L9TxlBXm70SZfzYBzi+IFAQbTTgw72vmPzbLuO95gNFYSKQXKOLhIf4NCf2/tgBwAEmTIQaD34K7
hRbhB5upbbhYKj3szWnhsHab4VaA/P30d69UDoJcxF/kIvzf0vb+cJC27I0KUQcow9RCDK6aeRNB
ckJOZLe/9av/dirwk23WXgJWbD4W5dimMp2fb/0yD0adINI6jH1MgkcWp3dkpwK1LrG+8R5rD7mo
DTIIHBsZE5vQv/5L/+XjpMmjeWPxjyEBd99PkwIrY/oxuBaT0mIAw6OePca5f32If3nILIdwcFeQ
buhiK/jptq9rY+rMQOiDI4bH0ZGfGl+U687CAmjOmqv0D03E//IklYuf+s89IjAkhhEOVCxeTHSz
fz53MtTMiv2mObCS1Ce2kWSzUKrmZLYEOXGB9hORsTonrlq35gr6cpJDPffBD5FQD1MBg1K8UlaI
Ay5KvPTYDWSTEsPb+3o9Zhl4n6bxKRItLaphlUf+isbBOlo4RXkzQpbtm5aFhMfSvm5N69PUEPHB
3hhqdAp2+QrIBLR4RPoBFtXx05QE9Tl2Q8htEvBItLGJfH50mdI+x5MqMe2yXAzC0rl32iL94DoG
DZcNn7cLmaCRSywAsvlw7L1OrxzT0bu+m+cjA+cL6tN+J/P8u62yD2Vsf3Fn79bWjAEH24Nsbo6/
hmzhOETibg2qmVVOEbtJq1nvU+3QyRTgYJpk+FZHvibVIbqvJteANVwC/7HybjuUg3sdRyxbDJ2D
E8yETwoN7ymJABnrRsEA6vtvOGL9x7FocNWJJEFBoMPHFmjvmpcpPU8fblRJrTAOQX9gZR1QL4zR
pWhg80YE/gbeNNw5SA1SiHFGi2dvmEKfdXrSjbu4VP6jVpR/kYdS3vJida5o7sy7ohKB2BVjXbtP
dqGM5yjt8fqWgp/jjaP1WIIvukNrhaFXUk3Gdd3mnFUnugtyXV+o2pytVeh0x6SVSyTXyYMuYQMi
URXbfuqsXY8b45NdwraZesDSRhRb3WsXm3pBAU0kuKCBfiToaN4WcSlWAesMCkECZldDLHyQwnVw
DoKovlVzUT+AtT4H/iRf2QO0j3Yn04M2InERo3QPecG1gOA13nVtMe4pnF+RPzoTkYRduMPcMh7I
afJvphsme0NW9QXNePnQkWJrNd10Yflf6bUPknNXD4l+xfqKgZKlc7gSowNQz7e7O3YWAJ/myH2I
VbMLAlnmrOuUYFsYsm5MoyPf9jz2SNfyYOGYDLdqSp8SFOHsxcgzsPH53zEQTldx1De4XsPhhlpf
7C0ZmwdhVng58hbzU9XoO1D5qMtMVGT3+cR7gyuaMoU2KDRvMtDTW8PahSYPY2cfJsQo0LPtcffC
ms4MgKRJTpgyCyRFb6c5WphKOFlwaOXiEQ92QRVNJ4xNwatHJApxfKG/D4NguBvRQJPd0A1rFzHL
HsdpwL2PWNqyMfLa+Lbps1N/hQZ1OLFEFucRM8YuSFz/U1mWyRo5dbFxVfQmA/nsi5nqsG3ND/E4
mQerl79Ccj0bXhZ+pPvEeqT4pGU8n/CjsGsLUK3OtkH45dDTlnoiYruZXIxGV7dEQ9wr9PwVWnzj
rSITD7UHRuAYGGG3FYZ5G6duB6EyBHvG/KQkaGk/p4vpPXD1Uy0MlfN4GoxNRVzNjjxS+db0WYpW
tnK3zbjTVSgfHSiEayhJ6E8K1TcPnVHJN57b3jHOB/DmImJN0UO1jKKOM+TY1XwNsrRFFxBU01MJ
dv/MA2lmkO0zybec17ocaJ1IP0N8GJREigfWBg/Lma5zH/ECWMFbQ5kehkR1Z7kork3uHbPeekpz
1Ajk0BfrkMWNXXvGZp4NUitSw7uEQfotGP1kPetmqzrLfutMu4I3I/v7iuLdXzkZ9x6PBPc+njA4
Iw3N4KdZxE94MVbZYR5eyKBldheDh4I5kEwkfbncQKtFpfOdkIPsWQzafAzUbN/wQbmsYOCbiyxP
CJN3MrlXAMy3Lpsx7hN3/AqQhuxNUnP4mAtyDVTyyYkcogp99rprXWfdWtijDXGGp0fm0ap1s7LP
mYz/h70z2Y7byLboF8ELgR7TRPZJJsmkRJGcYFGkhL4NNAF8/dugrLIl+8nPb1yTqoHMRCaawI17
z9lnbFZ4aoebQnranpKc7UXjvrrCjLCHExm+xiOWHrzUc5eYBbEr7aTYtIY10cWZkr2RgSvF3xjv
0SFVp0r19t7ubPvGSUS2j7UoevbsTcHue5cjbV/LIVYfBSsXuQKIQzhJ+Gw9Rn+2LnDjaV1m3FuN
s3HGovjUoSx7VuD/z07rzJ9kaa6rLBkJHK7b9tyLuttmBYj4bnLTPTG5+IEdbjJenl/LTOI1ptW/
RbMjD7wfx8NAr5IICnqTzqkTBYCftZHL/r9F/v9JKUrt/UuT7PpL/jK+/Fjef/ub79U9zCtGNibI
K4JKv/Xyv1f4NhMAWDDUvMICJUnt/50o7v/G/pQRALJO5gDISP9T4JtwyC3KRx2euPEe1fNvCnzh
/8TQomazl92HpQvI5wAtfyoYs5TGp6BK2E+oBB8hWpX12qlRWKwUnNIAt3fRbetmus0rYx6DPKZz
qoOxx3RVbzG9ljSWzVk8hklfxCtoTE6Q+Pr4RXUUL7TwUixSeD7zqLstPU1bwYx8trSW/TZgu21J
ashuMvVoA54WWTYnMdmHNF7v046ulsIkds5TaDP0K2kOY4kPrSCEDXV0BDNDYt1YXVg1MFAQpmn6
TntSDb0upzCXiaOd7ka+HGtp69QHd8ZYXmltdyFJ3jrisn1O3UZ7TPKCJlNTEn+DgnaHoSPa1MsU
ovZkfTMrOgGooO4GL3qzSfqAb8cvFbFxx4Y+2/p+Fq8nmwiGlBb/To+yrzXyM3Q1PsnZpc58hMTM
maghtDjNzNHxyd85plrS/brrDswO2Tt0EoX3AT7xNZCdkgzj8h65OS9DOj1438oBjxkgC8Mrrogl
vLK8+jGEthDMolPQe6NnuuiHxVLFSN28I8DzubFp8LpVda9SbX7Kcnqg6FxjNC51v6UaHoIkwd5G
RafMcBOSnbLKQmf5Cs3Ksflo1hRW5NnVb8xM07bQEMHWSj9/qJjYPFAo0fhc2vsQx8ytg0sLj2nX
8B4tvsq5vtUda96HlsabeGpeKguLDjxeciiS0AAmUuckQhj1bT7a+9CbvZVnd83NNMTto5V5HxyZ
VLtKQU9HB4ZtJczczez6Yu83jreB3/kxn2utwZ05foyA/1Ak4d+mD7mA0v2wf9X0pi0Dt9HNu87I
zXORNEQnjwZENV7QVIl5XN6bBENvmNizE+DtfZF5B9bQI+8D/IcThDw5ZG8PyTrOtQHBm2r8XduY
OLSiWrAVSKZqlbLdhHE0ONXZEKo/RbgHyX1sNfuja43JySoc/dnih68lePegSFIjAfuYVdVWeEhD
cXZP+mmcED8eKiyGcE/TbvoKkG3WdgBRqvDr5LvjdW60QFqikn50jnEJfmseIU5Ixf37nu6/3Zx/
6OaYC5LgT9vfv8x0P01VAWrlz32c3//m95UeLwB2GfaNEBEMHfLhHwNd9vv8E9NfJqq/48S+z3N5
PQg4CMxzkS3B9aLF8gczbPG9EFCBWVB3lwHx/7+Vo3s6tQbsRlsYlmX5Ji+bP3dZwn4U0GWa8dwX
bxFsjTj//Kez8TfNgJ9aAX85wE/NjVaZzMwUB/BYSWJgNr3/kgznxGf09/brQ717Cv6khED94NGM
x3cB/wyww8+t1ElIkdskTF2ndj4tNp7id1sPCddspp9lqiLvNa7gWuk7rGpSmzFK2VNSHnVTb6Li
rQJL40Y3UW+hxHd3iJD1HUbL/ktCPy4prmA/Ss066Q6BYTktiLD9gMB9OjkWmKYPE1RdnmP7KFFw
36bES2Nlxr4LEsUoGYR6ZmuTvkQ0AKX6OGD6JESiQN9+3/ByGVoCCMrBJXOh8gr6UORD4LrtjWMr
6uTjpPL+lIdN7wbzQKLQtmDra6I1x8y4tpUznxmw2+MzGzaWbGSjycrrjBZXH8i4G0tj7nhCyRVr
96NO0E25MYco9LU66L65nOBcYnn676rxf2GoMETw6PL9p2n211Ujka8V3Zbyx3Xj/a9+Xzc85zc2
IGSDE3KB240a7D89YN/4zUPpYwBYMX/HBn4vES1w45R/iDP4F8NlpvHHwmH8xgPu6mSrLM05Vpx/
s3D82FGkW0k72TaRgZh8mni3G/554TCEHme9HTsnP6rafVsIpI9Am/fzNGVz0LXSfvnTCfqbheTv
DuiyA146tZBmBT/szwfECWPURl3YJ5MCeC2GETCe36tbEGELtU6K86+Pt6x8fywm334gay/ny2f5
pWX+4/F8mPySd4N1csFCvKBLEGdzyd+T9pB8e0z+1/7zj6On90NxqbnWNtgcl1zpHw/VxmMc9Zmw
Tlkx2i+Jm7ZsK2eCABxaoOdunv0HN0vFuUVZcPnXv5I7yeZu8HTAlaB3fzirY5MNk06Wx0kaqXUo
vZqqmMYOpe0QgZb+9cHE0vf96ZxyBwpMoxR+C/Lyx6MpIiMLVyXWaawcDuQCaxhWY6oTNT90bkrM
pZnW8bFQFNfB1NK/erRElcMXJxUr0I3Sv/r1N/rrRXZ4jzr0VYTroCX9aZKRwsPu8wjApTda/Fyf
6Iadjjlq9/88Fq9/XlDcwtw4P91QEfraPEardzJhxZ57S5NvbleoS58a9dOvf9ZyHn88z84SY2Qx
KUJ7+FfzXYcq2ql66wSD8qs0MG73RqH9w9X8u3PHIoRbkYOxSv10MZF5WaAFcwspsaxOKZs6dLAO
8dFizmi8//oXieXs/PyTKKKE4bD3RVj505VityiGWRPmiRdsVqzNgWOKUJNkEmOPevJwkr9YzsRD
mvjqMsWdeSBZ2jz8w9f46x3sYItecnJ5VBda9Y93MNQjgxA7AnMUL1fMQqXQsPP63lWNcyLQmRsU
mywzWmeF4AaX5fvDS6s12bGCtPtff5u/uwILeJtGAlcaYeCPX4bAKEfBH+LhRbJy0XV9XI3oZk4W
GpXNvz+Uw3jchu+JHfy99PrTNE7V7DlaBEKnxOb0+n7EIwtcmaXeI3H9H0Ldf1zqWb4tjB50C8ik
4nB/uX3ruKvypqm1Y0gVN+Pyauun0syxe44kow/lxOrw658nluv2x+21HNIloIPhGOJFLvDPM7ga
5xk+Otc/6iGbS/jRGt1FxBEXemzqksiQ62raM/A8LzU+JGx4N4XqqhORD/W49hKn2ZNGS+bXsoKA
6KyJo5wNAibCWJvFOhH0C3/9ldEr//idcZAtcWzciAz1aAv93KOBgZ1aqkAqT9hrsSVJdt5WiUOG
o5BZj54ObncUEFLWVmEADHByNoIPu6MXnIMPSXO+Y1gQYsCONuresPx1bwpWDkFE8cxzZRBJDu2y
JZ9pxdiQkA0R+dZLE3vqgkGz3RM51b21umMe3Im/W8vUMA+jwWSjo4o94bUwj23KCVxN6Mtv8ZVC
RkLz6j+Qbq6h/fPDRuwF/EXCDtyYFM7Cj50soBANkf30iensIIdzDI8z7ch4um0aRtIra8DSsKJR
JM4yJoiSYGdRP00V0SY7LZx9B1uIWZ1kFzFLJFytjI8ZLeS3LM2bJ7cujfpYiGS6MH1XtxqRF8MK
I3GUPAtayMR4zAQ4Lh7+MXxo8op7r8uclywh9DGwUsN+meA+vqHmW97QAwkjQNWN13oOjf2AIOjS
Oujn7ZFECjdB1AIXxocnit+PN4yYhPigmQ0PqfK8KzR0WmAqizMaJuEDWpBkF5qmfGtlR1e9wi2H
NI7z44+he5GSpCljsOVbDcTUwaVLJJ1QrXzLCNwwVg6asM0sQ2EG+CH9h76e+K/wBZgHP4SivirS
CWpbx3mzep1kpPe3HNQpb1tLgjBWUxG36T5C94Qvy3W5s63YsaZVUU6zi+aGwkRLMbkAVPZJHDPU
BfU5QfKodjFo2WUuzkBtuGsymDAvrpNxNqc0rUklrjw4j0x5XAddEeulNtC120lroD1vKIMvQ6Q5
4b1tx3vRqWKev4qUrWhTzJ44x1qRcyntoiNvtSLlG/s3QiUYWiHTEVGa3MsMv/wHwpv4WK9D56Yw
ht7WYhkCd52bqe3E1hA8CSk1CJTMaAb3nM/REnhnvwAXs1+cmCbfChyxn6/tSbT3aAKM/Yxoxl0b
kWM9l/B2PnhzMl3nzcC0QCpGigwwhIeVSG+PgFEGMNWQfVcyVyoYS3hVa13SQAMOuzT/kG/iVoa/
fGZDqZ8KKwbqWmTEYCS2JO/UxqIygcP6kNGh3fTMjOpjhhuSysihx4i9q7zraomSEAhF8aWy2+6r
Z83VwTZcMDQOiIhgUksADYj9egzmnIVr1AnPXmFWqh+dnBzorbQn51XNrlhLjM5XldTbaItnwmUQ
3dfJWqRVuRuAU5/9dAleAb0VP0cmiXYo1+rryYmdXVNO4QmbntvsPDk6T3VCRxg53fzMIL06EnIa
TcyTrfm5zBugrLYxB1IMXEYvtIcgy8byOSUwoFuXA2SaTG/d3VKMIkFU2NSQFxbapqEGZIRpFFv0
gHg34zlclcwsL32GUbHMmvqQtrHcTnY/fWFCP27g6Wh3RI4Xj0k2WET9Em1cl2BW00aiKcjaF7ez
eD6SWVuHsPiCfmjFtsDLmDL5Olsq1ln+SYoDLkVrDVUeGsSqA6aD6sZetSjxInboksHrFZWutzdM
MdnrMhlGxpYhBwKvEK6tPooPXgUYJ+9kvPh7tA3Atf5jnTkNWu9Sbns7wysX66+5K6tHP08MBNlC
bUk5QZeQ8z38sCvueCsBFEEDHV85VsOsL9K5otg40ivm7uWt3vW0S2XHTa3RTepeprATZ81IeSQk
Xh8C0+vOSE+OCimwDYiRTcBq271FBLgVQbUEr5Ezzy2rA7x9aN0eCrXXK1vfkHavkKxW6HZXhRvm
MzHnYJlCpmu3JExpgTvl7R4uEO9jr7fRbORLNlqFcI9PE6qWuyzpWIJYjSnM6orVVrGPkjKlhHOG
WUCcsnj0+9hu9payUoVAJauf6prbNqiQTiPMJ9/3ycDAST1H4BNJ8xVuOxrtsi6e7ZQg869TTaCf
JJMhpAnayU2ZWuMXUvMaMhwyzf5EE9w/oJ+Q+xzEGZ16FWFly0Uaf4aV8JLW6FVtK4kIrZhYPh7z
Weu1e6xX8KE9hIrnoU3R/KML2sTjiE5Hc0ApemX9cfajwsVSbI0fB8QbF1z5X9HzPCrkdzdMa7s9
66qbYxVtCVPva+MtgjDzNifJeB/1LleOJ56UaMKyfdQw7kjgUozuEDWMdI+OnciKmO8coLd0WMeD
rJcRcktf6SerqabrRnbmxZlVwgSlyHrwE1yFNKDY8R+0clDlRokuv0aAYd3MyZzfNGhBL0XiNUFb
CfmKQDPfVEDjPle+g2yAvpaxskODlEfpmUmQxYsHsZ/xuRUNElWJD42hv2cdp3H4HNbaeD92UXYn
+l6/bkkdec5GJ4uCNo993pUgF1YNOOSzjz/9ukV4dCTm06cROETyxUjG+lSQyoo0AzSncHQtXFmd
LNqdYMnbEg/dE4QtDCME7B66ahvnJaDVrK6BdJrzPVl64ZU+9fMdOBFkB3jenvoclPNGl9JKjorU
AoJbKwTTjPBHLzs7Sh9rJM293LPL1a5Sd64+6lgD/ACCM+BFQ3P1bN9z85xH3vBfxdDI676uhx3C
4elUprLI17Ufh4ymBduLmMVtl1mhSIKaykILosEd7iJjYOJdvouCmf23T5nqsPNOuX2lEoNl1NTR
fAZNDWt0bRRtHwZ5WRnXnTvN9moilsbbeLlrsSCK8UtlOH24xWyMN6COrINlNRBOcmfey95NLrIQ
zcdeTPIBm7K1GdQMOpqMlxU4MGtl6XFMluCcung2RkwiIEniN71AyLTqlnEPyZBJvrY4VbfDzD6l
zGe3DWwUWDeG7qqPejtq13bSAcZPFka+947LLxdyPuoie0TokTCt67l3v4Z5rD7Vntm9jnbovo0O
mtmtXjs9OuFc4LxMqxyQdbhg++d3gn/7TvN34frbC+BfouDiLbdg/833BICqKps1UavkAlhuC/9l
CQvQcmIDjPcEAT+iZgcFqdSKVFgyBux+yRvImGStNMsdHuP3PAJ3iSaADQdDJFwCC8r37IJyiTGI
NYIseGdLgUG7HnPVP5BZpULr2w72vxOUf5ig0IdYCMz/ey/0UL4lLz/lLn77m++dUOu3JSMFRBYT
kW9k6N9H5aRv08ikAYGs9T12kR3y9wkKPjrbZ08MM1+gQ1x6Td950u5vy2Z5+TNm2+8As38zQbF+
GnEsvVam5NjxmPIgrvy5J9AbKH3nWGmH0JwVFvI8f7HTEIk9MjQDZD9+5YHcuIn6p9eGEbgDvhcn
botrlLOWCoQgrCjUk+HN7UVxMxMJ/ezrKVPEyGdXAgxaI6QErN+2IDD+ubBZd9ABGzdtwhO2SofW
vJ5F7s24HoqIRGE/d3aJ492ToZZfWhhPN/rwUlRtu4plnD10A1HFaEsGjUlCXs4YyGv1wpSzUKtE
asRZaWZkhGvll6ZamR3wpg0xshmJIBmrgNkWWBYmow03lUGwXaYaYCBh7vfX0aQY+qI0na213bLp
3uTMU8ygxeNPoeyl5q6hhosXxm58ZaZoBkkvdhMXLRB4oADfe/Vay7p+qjp9PvdkLwa9mUsCk+X4
6hVD+WR1CesIQ/fplIxZczfVafRigBiAnG1UvKV6xJfYa5ze0AOVsI7PtqpubZOcE7Z0yADY5Yzu
jhDZ7OyZ5FFbORCZhSY/yeqAOaon4ClDJFb27Yo1fzcaiXsrGprBq9QsXsmFEExnCyJEbFEDGk27
e2gyEoqylBtrnExi+WqB11fLyqPdsXcgkL0/YexGZzBL0RyHmViFRXXns6bajXvl6YWB31mbSIQt
6v6+txCopb2gHOh5BTwmbhY+dlqtDvVoNxsyN7WrcTZSNjO8qStIuMGowvlqjkT/KV+oC4GNaPVq
DNvmFHveAEDUn1OsNAu/VuZWjLu9zDf4m8p0XY5+U65oXQ7XuaZaZEMO7vJmSZGOpGrsHb4WVIgI
a+UzdGbM+CMYgRr4qhmh3vBLsafVklziOjM/GQyeAPHYHM3UXQhYpClv+ya2TsJIB30Vs6fZa2YX
0SCp6rXRDc2elLThEsXFAptI1ZNWRu0Rr5f/ZWxHt906ehEh4cMvQ6p50/iXpTc/BmzvK+i+kenc
xlbC62zwCKAg/2POXi1KN39xQWabSMew42NrDBpUbx+4jtnHUcj41lWpvJZiInujNUgPFTCYwV+W
xGE6gEaxwqfVB89sdHIPOsxoWsO/iyqyrhvoD9Umror6nKIJTRjmFTzlj6oU6cIkjhjccHoUIv6a
tOtE5/8qEnu6bqX8YUqdi6wo4fKrUtcV+xMGkR3+sJHqNhxmdjcUV+Z0jO043Tejcyu8NFvDsJ0D
MFPRCru3f68gyA/ICfv8ifziibl/yI7U7S0f3FZtVEEJdv6+J2UIxG4iCGVAbxHEZaKfLaDqV53t
xDurATshK0nMOWKRDVEX6HJNtpAtz8sllIogZtTD+UcVjibx7X2nw79O5Jz7axSJvX5vzXIssPG7
TmmjdGi0/di3D1YOl13LPNBoqgVgYbbDkXmCc13VdUscyMIsUfm8Azwx3THtNA49rRmsrnZ08CaZ
342t2V54y6vAylKyNmA3bhhg0vd1qERDdnKiic94R1c9li12LsnVkB7rMeGTTK2hGgmbjZ/AyQpj
tBOpdkxTxK1w0Vc0fTAWMoIN2GZaD7FlWodQtlUgOC1bhvXyJtGtJ/bB0Rr6hr+pxkG7TmcR7hkU
KHzJ+qcSrgq+qpCLPNGqoXCeOYdhp59SoChTIPxMJ9c+/qjMGGBjWj14LrE4hVe/wknNNxSBF50O
zTrs8ofIbG+cMU1vu6Z8tBbzqDGd3GTSt4Ve3Q8JKK5CuR1IFqJE9TEb1kaZEzREcJ+3d2NBNrmD
FrIfZOOuEA5fN4mQx9aUJ9DRhLD63oD2d7DWQuKlWjE11Ncu6qQjhC0r4efV8xMsXHmNk8vaOqPA
gMfowOFqX+lRy05O68uLDkx8t9TMOwu7Fnzqaj5PbZiG3D80CEFk1nfNNPkXc25RPmGayO/wMI83
jt++MULTj9A/xGku/GajSeynQW0rsoQJGCZR0OP2++DShVgzD2V7rWxjQxVYrCMnms4Qg0D4DaL9
OGdRH2i2Jc+Gn9wRGE/byMwAqAyDPBdtVgQtwcb3Qx6Gd2SRUP4uUec21DPSDQdi0PVxnRlm/JKr
8CWWenNn1O54ayhfnZJWspeCBnffj+jzOxPmGyz2QDGgocmjf7JljLxf439IZQyxoPNNjcx9HdUg
L0TiMJjv1bQ1p9nf9qObf3VkWJ7ncSP7uYcAZCE+a3tpnVlj2Hp0iUvOAGmUF2ApNJPcMjuZBP5g
nTbYoygZv1p5vpAPK4mNOOsv3IQ5qGE9J60shN9XAqRKGFOuybu4dS1prdnot4diNs3b3DP9tdZP
9Y09imd7aJ1NQ3jDfbFEt9ida3zqKgtg04hDmjsjzvIVdYGDctYtockbCIbpSO8EnaMTDFP/aMtx
2pdeog5OxyuS1r9zoPPliPV78fffOvmf6mSDnPBf1cm7L1UbJUzN/3CMiW9/871O1n9bBJs+MHNj
mf4toqHvhbL92zI5Z8O2UH7d9/HZd1EpNfP3wlj/jSartViuvHeb2L8RCAC6/Gk+4S+yVj6MWpRJ
ju0s46s/zYx8oypRons5SvDoacxitepkVm0YuT+WmnPfAsQu9b559ArxSCSw2PbutMWPekTi7G1m
rTEOJkEiB4kzaAVl0j5ADMt37aQTca01QPIHv/06hZB+qtjF2OxJ/Yo0ovoZcat+0YzJ2JHY9o70
gXsDC3BLgUCAR+RekKh6tyMBZZkHAqock5FP6/OVSYGxkZoBPX602qPetUEzFDeTNIi77kgRS3N1
aKU739n01taVO7qBmMb+A5tgaLzUv4c4oTFtaeKOt4e9o0r55FiIcYxxzHdukcfXnZ6IU0pgXaDr
ZXIrHNlubECQt2yB4LPlD6wiq94kfHtqHBsT9PBS9QLLkTmM69aq1ecEpeopo7eKtnUmJTZvnB3P
p75pLbqoIwMy7EU5fXnTfOtSZW6tnno+yegHgGp4MYYJMHE3HFM/o7Oa0E5P5xI9RVdSBLjUyZAB
LkUjt10+ESSl3YRLMdhrjdrXJn4D5Vbi4tdG/tgNdv0JSem28Mc7VKfFJbOZayS51/YU/GDsAybs
1y399nFjeIMeNNh5Hvu5Su4yMqcOJrUPa3gJ9qhGAnWPtzi8p3tmn6yMocNKK+x2DxGywRVcJ+e2
ysfH0DfkGzIX/4HxVwa4HR8JnmzXu4rJc9zIEcpD0+fenTtipilzmI50Jgd735le/eQmKfnqVE/5
Q4mB8cTq6zPvZ3ZhlTMFD4tslW0jeuZXboPUpE5MwcnzDdpr8UKllUZdIhMOQzTOlV4eG21GHNt4
pQslK8+Ydwk0gxAUmPlNCMm3xuimz64B7HOtQvCS5PWED6mRV/c0mouNKpLqngwaWqSOYjA0pv5V
pFT6XNdEi2H8YYy0TbKZNnVK/kynM9eYUKGc+w5YJZYdS23AFnP9KMX2ZjcuhpEEbl3beMzrdDN/
mCgnPre9ax400+zTIJIdZ7Wt+G/iQd1yArWAkG7GNfA56MpWdnnE/E5QnAGVf62XZAIbDPAe7B6u
x95m4JzS2YumCyFIfMei0pkFOcyeZWUzwjMnrgNBQ3wgSuS42TDTg4EEHBI8WFE/xTx/bFEZAsOG
YVYTqoSJI13p/KEWZXKe4J28Jc087ERv1l9s1arbsK/qm/dvloZp7bHNE3x8bhjuXcQ8kQFKazuB
Gcbe3bfZmtYVX/Mito6lXfYfJE1haNuTgxJ9+eGdWUyXqbe7j67Cn5fnS/C7zZxKrmlPTRvdB7iZ
jlb6/H6npXbH0ebIH/qVmAz7lKjRh9ftVzcj/UDCLaO0D+y5yR8sfzQ+jaWWVJuusNw7ohmsQ0WQ
5EUoUlPwuBmBEfWuta9pgW/7HmwYjA2umgErYZuPDGI7N4aFplfODfKd6dSEwriEeupdRsqlTcwd
yUzAt8Nn30DhTsxEzIiIxsFRI4LurnUnfFl5hNivmhuSrZy0uidfwt9VaJmJOuRqFWNR3ScIp7xA
Zktqm+gGjzkxT+/kWvYVO16wZ8BH4mHtRHx8j+UvcHPFXU+s8SrxCK4nKTUwmioJZDqfZRmfBywB
ANk+DA0mzcGunsuE7JXCmQLfuza6/kYfo9t4yRfMu3hfpO1Xe/RPvklHv9OwDxjuRUlzaw7xrnPm
h6iVzBV15V0BvGWhC+0Ngx+wj1MVeEZZXTreYz1TjYpghEQ4F6tOP0qBVsoZWMMz4UUMcGozgFlr
BUkxnUnCXI8qXcuQGVXphrei09SNUOxSvSqaoJd4bIycKgOD4g/WZoJ8glCJcTf7IMSSXtbEa60V
byXBrkNjfGnKoTo1cVKf0rln9mAU4mAa9msrOsol+87y6f9nQ2/ekLMRPmmR8Sg173Xq2VLPpSy2
+QCosZjKYaMV5rRO2V1lK4MtaVA7TnXfk70eYJiY34rBDoyZDYVNlMO27tR9mfZsMN0MsHcXB7Y9
c4ETR2xV04ckX07ZFTznj86ko7XCPZqpqTjoEPX34JrB93h9vVFltriyeqI9wFdqVfXU6L21UkzZ
YF3r7hHJKuKVydGRp4dPuiiaAFTKiobzV3OqL3XiuV8SA3+GhYnr2XU0WLVZ9qETMn0hP8Xc8Kzj
7DQbLyD2gUaR9MEtE2bVrIZ5Zj0wh3wfERElVkiZYNZRVPvhfVPIt3hioqOX3nRWqAPqjRnhzw7K
zqC5W85MVOisMb0Uzjlnzb/jtiJ5yQkFMYc0wkejL6ug6LUUn3pWr1HuDjB4jPqLtOkLwKY5TEVF
0GVdv/TYWNaNJ/01aodH+lfYWSre9j5eVGib/atu6U9NjDFvakLaBzUxtWaGLsIcs6CybO26tUiy
mEodCi/mkxTJ+KOX8h4upbnuhO5dgV6KNhQJ3hvZeMPFtRPxMUPfTw2BzCOQiJeOYxeORO4YoacY
JKQfyV9kniit4ovEifGlA4lx9FsmTnCksBsPeIt5p4/bTPK3UWFu2JrpZzdMqzsaqQr2RkNltcxt
x7r1zvVQj8+lPuXPoyHMs4MZMrCpsJhqJvM65yliJe8SFMZxaTeQCQvPXzkqja4AYmfiSD6lUPQQ
Z2BdPo02Dx2AziMRPXSO0m4c0XpEHBiq4SJiG0U9TQBolvZXrt1a3DElPVHm7GSEWPPIa1AxYK5Q
5h0tIqwA6toFJKwmfPCbpLuMGRhE1Awksq46v9TOXeTZByqFjOlQ1RBpmzM1ATZtbeJWfS1BDd2I
Iuo+jrRF98TZNJ+cpqtWOWvhmnTlOBhdunSaVZMH5+LOLqjCimHQjnrFAobwsdlXoS0DuIdpkDIJ
RE3DHCZsmPBMVv7ZJRAWTVA43mSOxrQrBOPIaLjdNQbup37MwoCa4ZqM662laTs4eyRMefNT2rY0
utJywNE5Ni3enEzgzYWzDVmVAIg2s3YzjHyVgJtvgYKujJ4uqp3L4XbOqPEyxqC8uQbvhjjP/L5J
5bj3MN88Ifc4AziTX5jrUIAQ87n1ayfa9jmdCUQmEQyVJFmTF8EjbpoGHTL9whu0uild1a9qv59W
Uh/tB7NWOzWqaC2Zqk2O6Z7pUMDr8rx0N5Vi54wJg2zRbqqhir40iiSBjlfe0BCKPCRpDxZZqSOE
UBn0qQwPcKaukqi50M0ALxx6KWBaR53C1IvRvKdaDIvcMeeLn7G6ipPbQzQaNkg/c1HvEMGm0Z3p
pA2+nF5iyucHW6ScYitG/xJFDRIg5BHRVATumE/qoKh/5yubUiUL0qjI7A1ppUwOPXqPDITAHrOJ
Hvq+WhcwpdFmMEkG8pxhnbIQzYSVQfOt+KQK607DC0+b3cfNCyLzHk/qvBHTLM9RalcY22zrurPn
x2Y2k81cOxd8+BpReR32Lb+kq0Um1k3j1vZnpCHY1I1y/owrobseC1fbJmL40kaTsRltY7j2hsFc
4wS0jmQ60XUhOPfWH3PjanSd5hJRqmyMEDYoqNNnSBwh9vc+fWHcOgUJil3miyT4FBoN4CjVdQQK
mGGHISH3uPZiXpULXr0jVIwJygdfg4VPiuVpNim00YS9uQa+MaspiEmkg5RX1msM1YuGVOIfp2h2
yk0q3jvAU9t91q2xe3Mzm3DhsZTU8dLam2SqHMAu3OtD7+srZpkoKrKhyw5wlIHYzLM1XVlJS9Jc
Xsyf8lbPr2VcvLIBZUZRGZC7V2MHWY6gNkj8ZfzaFAVvfa0p3lwsEqxZYddte5QV21YwsaB8cTZw
OdSlC0lNowa6mElq38BLoJkscHMdsVySgjfNPGkw1B+cfuxPZFKWV3M+eFjSpi6/yUgqsCGjmvFn
cMiYzcM0UdsF40xL3l9IfWwNK+qA3PfevEhn4RgiW1zw+HufIPmhQjSL8vMcV4SXoTC1NJZ8hBhB
r4/lh5Kif2OL2SM/rqu2koVx44n5kEyQ1+qRTRYs9uycRP34REYF8pLGxQdplzGohzQdq5XBwW+a
iKIkrbyYjW/idx9Mg94YcOqqKWcTdxnvwXlivDGS5k5nCzRt28jhayyLYu+aXbJvm7EmUbT8kiny
9OQUumwf5VXWgvqto9a7OP/D3pksR25k2/Zf3hwyuKMfvEn0EWSwZzIzJzCSmUQPOBw9vv4tUKl3
U5SUujUvszJZlZUYDcLh8HPO3msXZn8Txa26I/8N4AS2QsCDNl2fqMJJF1rJBghrSAxB8kjhF9Iy
jKsdAaOYxl0j0v+djv6vjMSLwJW+yT9PR89V2X6Yjv74mx9dn3d/GaxQJpkMNUnitf5/10cId3EZ
m8hacZMhb2cO+8d4lAwnRqCmycTSgdOy6Kn/MJjZv+HpYHbKokIP6tr/GTB0MUb/LK1dei0kSPEf
C4AEzKAPOnE1Vxma6Sm+9pTC158bBfiUIZYO3Dc3mw5elVnlrsvgHpJQaKlzJHNjnSdR/A0OHe0N
LyokvEOTqfwxnmtUGng63dcZ1ca2oL6gy1uo6bKqCVN/Sma7RtA2m99SKxqDlWD771YmuuZpUxhs
ufsEafyjhyRQHps66PvTaCV6oEXBnhe3GYonzPJAPYCZnhXdtrXoQvKiJuPSpJ0KUUb5iAbTcubE
OOmvqNM021KcH+1+JMVhSn3xndC1DiGHFdk7biIwDgTGgEqy3Tg55z32fNj03sHQnT72VYFTjfJ4
vO1rYy/TTm4qGVBA4rNFBtkS4xtVy6ea5vRpdBpQg9TEm24aL+NAkOBBW1gLTKyZCFu8z3nKONZ7
t5qJxXWGWko3oAVDOgjwNGyusjl34obwcedkp3Nz00BtdC8G4TmvXJHpAtrh4mybF5dbq98db56O
xmybMhxU9uCOaq99ntZblJvDuUrtPLHzg4fwUZjlDsRN0ZOYStxlax3YXeOqHikyVd95F7TI0VfO
a56KQpIbg4soReMXRHqU/VEUmQggwgwB4bdMy4AtgP+JfAMx6gbKhf2lt6RACDuhQKsDY/wWlJ5a
KBKioRNoysG6klBrCnHvFaBnXJrsaMgUyo/PaDsobFCu9pcDIO+TW3ZI5JiRh/F6yrv0mNgMvDER
I2cS0HXMpECqEmfDdQMKdWUmScqyHMkKpiaM1oYU4sRgrtpGjBh3SLqyfUYYpkgUTyi3s5NNaOSS
xhEY/3Vet9HJ91vPXtsWV3stU59IecJSW7p0k3MsRlPvwEQ2z5VU+atsa2HB5Sa+j619yYTxQz8n
uTDVPPihN50aGj34nKMcDHmSioNddl/j1O5bDt+2c2NwBR2Q4ir6GmmbTNTUptWH2mxP9Ga58Xi7
MyN3tRezGG/LqhX7eMgIbLcFz4qi9rH6Z9KEhEXUD74C2fQbP3PLYz+YzlXS0i1ZIRO2L2GOzqcS
Mj6PD8YsWRc/8xmpps2C3kYeXblxAyu/s91LutPN53jMwq/IyoJdRQzqXqUkgWY1o/JOeOqR6veK
VHfndlnZ16EAS4dqv9y6tTijYZrwiaMm9i3lkIKhpOYKKPOtEpN5XaEj/xzhqb/QtT1cVn2WH5rc
XcafbrRP0z7bhwj5AWWo5pscsmavXAapkc1RA+eDvPQz79MszWtMSEi3jdC9zObeARDOVDPlDPrk
1NUQr9JsHJBxWfILWW/ojrpprkBq5ybTIwlpUVDyvRmeHzND4mrssjklbrHNX3H/QX1NQsABDGbq
gIO9a98DVRjjtUTr+Gr7TMGc1I5MMq+089IWFXosOFq8hiJh2s8lrVKF46Tr8+NgutUJ8UWx9oHp
bMM+HXdWGfmH0QHINih4nKuO6m3XOjgCVl5HDLVA+vYAFGE58fXZA9P9W5Z1defL6TIYaKI5WRgc
DC9WOO+t2jv50I6DVQBN9dvolvFNkPvJoQ+r8hvE0WCTmyj/V6owTXc7VbZJyIs4hm561xbaP4Iu
HZGCT869MBaUmhgmSeqHFa45+D36Zio20+hEHkhaGI9p3rOzd6b1FWbxQvXqDLSPwk43o+k6Xxx/
CDaWUPNdNUIKRQ02PGVxQzfESquzzFWGBNwbXyGV9tteWi3E1MGA94+pHwtZsx9taX3mQI7CRiTB
dT/6881UcqrHMt/eSK3VRQjk+d4TGgUdyQ9ZvauqJto2CGCfwSPojU3FeschCT3wRPbAOk47Y2WT
Y/A2zoQOlX3pfbFky0F4ZmlRIJCfEbdTj/wwiodNWbHz+0AAVh5kgLMkOHBRfNOej4R85HyrLvzB
iU8Vca83NaGkmxbpLVc2iKfvCQfxe4c43nRdyzCG7TMxMo9FQ97NWLvoN4hFmPU0dWtb1t+LIrG2
UO5BKDmyOo9IrdeUhPpyLqvhNveMLdVSgJRBOsiiJ5SUR4bi2Tk2Rb2hFk6/Un/Kh7TJ1dlT/nRv
IpqAquHGwZ0djO2h9wnZqcYwIUQlpLWKbtW81jCHnwriVp7ADumbkkr0k8rC5KJDJLSKCRl7FPQM
t8g1qSx1P23DCTgEkQiIpG2+LWgR2jvtERViD1DV6x7xCtHuSeym3BhkuYDeBqRam7F5g/wwsrYe
M6YTtEy7hQk1TBdo64uMFq+QW7+yLa5jO3y2Rw8ZQI9sfRoLAjeAPM2npWH4ii3eNNZVyCAGaS44
qtQMnlBhNgfTnnnQ+4yosAJFTbKjdnQB7SoFqqjX4LYcDWUrCv3E3vjDeIm8QO9I/UI/8d+R6P/G
Ro1R1Oc0+8+H48uqY67x4Xj846/+GIr6v9Eh/8kqzRn4x1A0AMyAEhoCA3biH6j9P4ai1m+mxPMb
EGwowcgvRM8fx2PJC5I3iv1fyuVoHfxHx+PFj/3z6VgIYbHvMM9aZIreX1yU3NUD8VxCH50yZIaZ
poa446RLoEsPCKeqU5+zp/LMl8bwwgeozZquZRmeDB4kp2bpEnu5Jy4x/ZfokOlbyh5y1sr3M+PB
V0WzYS93UHmY4KIFuoVrURrd91QjQRzjiGEFAJotMU9gxOMiPANLi8cNbfie6ZGl1yJC/7tvC2M+
VHXh3ndA/f/FaP3BxsYVsG0ejA6XgWv6F+tdOvkasqNSR6Rn441Lf3gfTdD9Zdsu34vP/dMSufnd
1Pcz6HcZO/9k9Xt/PzjZtM1x23i0Xvn/fxpLS4NAJs5/6viODCfV+SWaAVsn3Mf/8k4fhKHLO1FE
UeEJ3wnAUnwwV8+dKzDOuDyqcRVsZErOUTBxAmPql9z3WGf3U5yGd//x1yMMxDNxdYMBMM0PU/fU
lCiyyiY/dm5MMqKxCGAaU3rOBk+Hnn6v2//Ruv43FxN+hODoAiwK78uHixkF/pCURZofBX1Ecml0
Me9GV4vhuiNs4dff7IMH2FmuZ+Bxt/oepFwSVj+82ZhFUO4zMznW8ZgDC0KFj26mLqqNr8W8iqd4
vO50Jy6HJgNjiRdEbZkr/luCzV+/M2gRmLHAYgP+6X34WXPReFPRWSkzZth5m5FwOCZkYfgQuOQr
/ssF/usaAtCCu1r6zM2RUXzw+Oo6IJVBu+lRiXm+fQ+DaA3uYIXaMj5OTQL9wysZK/zL+/7dl/RA
gAUkygSwaz5U7VmUkrHlqvRIACZP4iU6Y7C6YaAfBfTw1z/sh/cC1sLrkxZLQ4Jd8C/8AzsxBtHH
ASlFoo4Qf00eZ0pTTxcRw4vHX7/Xh/32/b2A3XApfUgLzkfgQVoAINMGa2ie5kFsqtADSJtY/Q8Z
0z/eGH8Rv/CdEEgRysAmw3KVf95lOjdvtFuNyTEkIpoj7JDypUgOA9TXW859nGCXW40IS5PVrMkH
2yJyjc+//q4f1s7yXXGgsdEJdyFnfFw7/SQyUnhbPkPfRBuFl0WuotmIzqE1FaeKecqmca3pX/bz
90v40wa7vC14A7645VM2Qbj781fvI7ev5tBLjjGu/SedusUJU/90pdIy3mtLMQRsjaWjMWBQ9khr
7KaeDIFy/CbcvNavChHHiZE0gksTZjDGWP4xp8btr6/O331Ohx8GmBJ63L9h3DlWOMyeYcCe9dwX
Ds62ZqKbo/MOQSu6h5JEOw//Ks2HrVEN2dnsJRlOhFKExy6r7IugJQEUjbl1teS9eTu3j6sULVLg
9ftff9a/rlof+yW0QOjQ4Co+Wr3NgL5yQ8zIsQhMhhxZ5I8Zo8Xm30jYf70TGbHyk5EWjf/U+/hs
TAzJRTGa5FjB6r/FDI22o8wq5yJvbOf+19/p43bOOgF4T4A7T0cHI8ZHFv3kN05D8B3bOTMwUjrD
fmPmqlujbM52aCABmY0c6EU3el+Mooz2pNu1/3Jhxe80gT8vV99Cig4Xh0MBH+fDUyXXypDcGeHB
6wY9Hb1csplisSNOMerUfGvQXX15j+dIgBliH1BxGkHJy7QPUNB0Lhgnhaeg66YbBGmyWzV1qpCN
5aQVkz9DeArVZ3iKk1rezbkVvvVIgD+RBoYBOdeMYwjHc++9esxOsvCdix4oilo1xSDv3hPRXKLu
Dy2y5cuY6EHEOCoxHkj3mG8nEHv4GMsYoqk22+ccXsLLbHCMaww1oeUZy/Ct8A1HncqiLpgl9Co8
YEEgBDH1YvKkLU8vZ4Qqo3Qva+iuePLFa9kV1uNApwHuetgDDmmwQ73lfWtj0W/RNG8bP43PKO8L
RrdsLUL3yUsXs3lTLztv6PJ9iQCdY+MChKSKGpIg6kiedO39YJschhhANt98gLKYNWvvC45uZhKV
SFlv3P0RUGG4uvVKATK59WXD3mlidvsyM1HckL4anb3lbxun4mNAWbS3dTI0w8qDMfAQVNZ05jmT
f6rrabh+v7yhO7SQpGPzVlkAt04V3u/4GIrIJVPVLOIzBkxg2nTaUrWFqsRuhcLhQrczOxSYAONr
WWWsSJQzAiByLuDSJ4CXV5MDrX2tTTN+sCHbPHXMuQzkPWZ5Y2XSA5Fs8zoDosCz2yIpR6SdvGgz
GAgR13qK9sEc5PMK5glwy8iyHv2yR3NtSK5tYcnkJaf7vRO6sp9TByLDipsG9muYFEgQYVMgxc4Q
R5l9PQLgtft449ki+Qphl60JKdsnWmN2vrWWdVgMVXjyu3SI1lPst8lmHkky3oiimneMp1lLXtHO
Z9jeRKaHlF4Tis1+vi0cgwHjXHDO6bDdMtfkCzTQBIaZwFwWGH7LWD3HS/ByNfqsXkaN440O47E6
dDEVA1Jp44H0Qi6YGdmgsA3iEzOyBoMZQ8qo7fGawXe9a1NPHKJhpsJHXrkmDFffUpYnqFZIMhwi
Mg2TJd3QlQ2h4VY5n7radA/WkoIYtd62WnIR6yUhEY860sMlNbGYMZZj5kV5SLy7uWQr+kvKoiJu
0VxyF3F+WhtzyWKU1HxrseQzBktSo/0e2shVlZ8CghyTJdExFUSJLxmPQxdXp4CbZBUbjDKZWgc0
l/la8JD1Ol6SIqeewZxcZFQtnWvtkYaJO+Zajy3hTD36jH5JneSBw7S/Th7JmYLLsWRTQrFDLJM5
a9WSW5kFqCxo3qMxI+B6Eyz5lkkQ3wHEeEGE+ayWBMwU8dBmAiBHCBWNIMP0P9eL/pyxn8pBAsD2
Djslvy68kNnyBSqT5CpeUjcz233o+/CiKr3oc6vkvI3tiYzOvGADtpczUiGnKzexrDM2h/pWJHmD
zIy4nHmmRerVk4/e9UcYKJtI1HyvzUwdJlGlHUPqPqxX05IjKojAgcBOWPNl5+R8oCoHtbPqJzk/
OrNt7XA6h9227WVw0QpRX3NQsuPN4LJfZESqP2o1RY/4uob7qXI4P1QNo5gVg+fpnAHt2IaF6+3s
rPW/0RLXyAJcBkYgeXhTTtFnYH53JC0Md94wTVtr7rrt8vxxCHBbQlgTVRc3TYvLxuNOY5xj2BwF
ZAY9RRPiGmU+KNOsJNgViBcZr3Y5rGCM8kTwosA7qJTSp2P9bYolIJYscntP8i6psVrJ4rox20/g
JuitDeAP7fec2Qh3XLppwQmlOyeVxYWxhNKWSzyt2Y3NzvW66KlNo+HCIsW2XeJs06EzMQzRC/1q
MecJmRwv2bc9+yRpOjo+We/ZuHKJyZ37goWZcnagRMiN23zS3raY9OcSo80OC3D/Bemh/9aSZz3h
JhDyQRaO9zS+J/SaS1jv1A2ku1Ud57FyrA8KFNnVaNRAZJagX1jvxCq0tXeggg4OAVZtYAui098V
sWhbpkrTqW6ts4fQ5Ry8pwnbgbhk9gi2e4ka7rw8uIVpSP5wCMed4n9JJRaxFg9gHOg+tHlw4kfF
7uR084aHMFK50uht4BUmQcdY4o5jXaLYrGq5IYxzS++ZZOQpjJz9sMQluz7ByRjHbLRWTUWLr7Hw
D4n0GKZELXMFk41V9Gi8Q7Hvl0BmIyjPLu2DdVgEEtBJDuKbEf1lsEQ5azU796FTiw0G8Wqfm0jm
8rnxnzsUSms2mnrdv0dDA6yBuJEtidFxX5JyXdI9XSHaij6V5mhddUvKtLnkTcP+rAAkvMdQT++R
1Ena53vYvt4XB6HRA18tuhgNx682YWjnJN8Sbt1Sjl+2S+B1ay/Z15ZacrAxHPJMR36q12XVO1dU
7IucxvMoAER1yqF1cHcB8BjSIr9R4Hyv/WYcD1bdYNdPgFkUSzb3AP1o1S953cztwnPalf7ejvri
ZZFOuNtMBfWTHZFy4S6538F7BDjm9+qIT4heUprrT16jvha89FbXFSETgTPLfN0gq3s2lZ1iczPA
d0RqEez4AhFUjeBswywSCkBIkj3d4S2/eLLNCvk6GIHaJISbIpMILBSWUTSdvSXk3BNlf0KLClE6
4BmIPm/eT0siOkmQ7Y0w++Yl1Rl7dp3z1GAT0FkEisb2gIU9tqgRvebVBQpnr0y7HOO32MAi1yYN
4OjIbkvKpNZ4q924PI+I1q6SwekejSjsX2yd+F+iLtDk1OHFzJlQkOHCY49MOK9Y0xEpD8A4ppOU
aQDCxu2fplYgCc+KmkCxHgdpWhNLh4NVrDlFRVeTnLxNmxOdZck6PDpVPlp8qpZIiTI1zyCDc2K+
B54ZeG4RPuVdh5CZzSlGjpyiyxeE3p8EwXLdprVlxXY2zdG9b6USnQjSqKMTjDxGBN0h1mUO0Z9A
aOMhyQOTMWPF78ZDYW+Zqj2pOeleFbURFQbGpJKB/Vut/eRrKJelTEeJjGFPSaIEpR4PrmlBLnKk
9WxIZbxJVDeX5IUwySrndC0Q+DF6GYNHdN2wkDpHfw2VnXCcNAPySZJHDsYoW0IXb2hW37kWCi+i
56aZ7TXMQxZV8cl0SnNl+sad14+QXLwS6wR5xvYM2EGXGO7szCxWI4eTjechTANECW2VGhtsDhrH
YExeslwyhjWok7GFQuCe3OiA/V/uOnf4DgAj2FPL2+saUcEO2bC3zgr3JJvCgQ/Ui1XhLHLHAKCI
Lw0kbSxnMx3FxeQUpAuI51nxwnHV+Xs51dmKiIJ8j1V5vK9dyXSvIwoGBeCboUyLCBEkDG7fy1NC
Y3fb0M06JcAhDoFJe0COPeJSpbs9HDTzJWsJwaHG56nDQehkd+gdCeurSURpm0uzHdPLTIz7DIk2
0RAxzKFpdDftMF4PiEJWsT26B0fX8dosmAcScLHJO+RhkqPgzch4ddXmBMP7bYO61Ki2yqjmvXDJ
SC3q4KuejGKnJ0WEgKJ3wIzriAn4Fovlc+LaO7KDJ84pwRVeU5Ro9ZehmK+7LDy1lfuodHhmy6Vh
lCfthavnt7SOPkETvPNkuVecptdlmj8HZrLEZ9Ck9NrgRTgmUgUddZvAEM5jlSfM4Sv5MgaCgxXa
6Y0fSwRIut2QUbtLO3UxxlCLush9LXrS52RBVxuTHhVBNHTdExD6V1Kdji6yil3t5fh8pmCKnkwF
S2ultZ+ReKGw50/MmKrEYhy+7evk89iPzaFr40unfjT9vnuo/TrYxk1y71lRfPAG3D667rvPhtT+
dhx6BmLUMJddp42DHtEuGv5knhwr8T67jV3uk6J2/U0TD/qY1C7t0SFdyglUVeO+GgRH6AQhKOYT
lIyYagy9i4vxzpFu8M10vck4GSqnoYPwsfHNvexROly0fgFKBw8hFg5A4MvryTpDdk3TeaBxgR7k
GIGDJ+lxyJRe0dW003ZlprnYkRcTgzjiPIRgrPOQ13atl2zIe0nrlbFEjbpgKi8JrUeYhnvoix9l
4RskK25A3pURg4MgQXMUoZDaIFqjLIpY9h2pFWFOn2mZaUxVF35BN2dsw4VeAuLEwSE7j1c1z7hP
fh1OZ8Mm5AiHvbFtcTuZV6mBdWXbBhNlR+exLQ1NapGUslQnIhn77+ksh+vUJdrHFNm8E5EmDTAb
wi9RYdDkjmxP3MGUIzDEYRpJv6s3X5i7us65jful5IW/P61jmIxPSPc5OuSGa+6VsPSRsz0vbbgl
KbrwyhYIWDTvPAHxzIS08NXNC/QcmuPfCvjYjaMhLoieBBcVEZDCI/8okc6sk8YKT1bs0BRoKPL9
zqNHsExq3t8P4pHBrNzVzMlh5VMn9Hu0W8Xn938l8At5R8ySe195abD30PQfpJWp56ZoqcFGLekS
+NZwPeAdwIdgLrOeuXTvifGbzonG7WzGLYNrn5BelRPALMeKJFSoX+QcJ4p0gQS7kxHwEQsEHycX
09feLZzmiWxIvkCS8orsI/NtQ+Plxkly8bnoTH71EkTXMRxGfdROOd5kI+ddAkvNw5x1qJfVNLVr
JvX6SDBR+KAcyr66jxUS8ymt0XUqavuug/9C6OoScpTMdEVoXrIZdPCiQhM/dGX3Dj6F0CwK1r85
G5dBFalnmn/oWLOUjqI/XwRaNxLDewA4n2cH/u8ymqtdmw0DKS8kil05mAUvAAMyIZsdmlfhnJ3e
152RkCcNuNTg+I/XCHftfBu3DQnI/Wgsny9WIZB9umsrgzLrNu+Wa5J3TNkE/5PfarwCS8Vlo0m5
hjo4n8lgLfc4dNttQ1j12ZsQiM/5gB0RpeeOiK353DJixsfVLy+Yp+59JANjG8QEZqkcsEDLfH0z
ltgiC5M/yUpbH9/TVFXVcrUEpjAs5ZY3nXteCI2/DpxNPRjm51g4yCOyNgv2ScO6jw2O18Kjz4ox
mYJfGDJ8m4VNUyllNVkzb5mORvVMK5F8GR7n/WMrR3EZED556uOweg5jE3dZGHPrEHzFj2mhUXMw
JpxCJarnzGvaY1CPBrDAps/NfqXzUNxRHPANS+nS/gojUqDW8JbKfVAm8pK6RT+1iLcxF5h5duoq
LhP4VonEnxjU9xtWNln8rZgL9Vz7CW89dk1/ytspPLa0XIHG+0bzPOM/wpYH7anm7wK9xPRp/6XD
jbaOBcl9qlWvJXLndcAwb9/0mnDcll+nbUNudvRleBGngI5FGexbjfJqEVmfLVrgZ1VgbtGDMyEN
dmdxkcNoQQhEoBoBRHzyheMK5Y3tcG9aDs0PxqL+xllWwaBozTnKoaXg2GSYZjhK9WrAq3pyvdl8
iSDRPzOKNKo1s1ju6Uo7mDeoTiGlsD8GNlcKn7vxgHA6fPMQbheroF3WoF4ATZ6jwlMSSdKTfLzl
qHMwzKEbp+zDqtR/913q5DUFxvi5qZLx69j7TKEaDuSaVqqKEFtAvMQzlYKvaPryKh7a7iExB/8b
3LTwLUFPc+qdGM1jNPBkspOh3k2ON6G4L1kBfVCHX1LXcUrcD5ZGCVzR4N7kKsEl994S/q/3+2FS
3//v/3n+RlQEHJhWJ6/tn3zclrsQZ/9Z6HAgTShJ/uZP/hABOza0eJRwnkWjkCEB46YfKgewab9J
AEhimdA6/Cvoc3+oHKT8DTqhJ7Foe8sMflEi/1A5CP+3gI44qbS0xhmX/WcqB2fpof9Pj51wK8jB
9PtdplDLFNNf5g4/zdxNlx5n6kTyvmmUwnkyF/QWCeBmiUKoDC6VHenbOMkZ/niZfIjjzLjDYjTt
ISVMpIwnvrMmkYt9mry6AUCLWLOjKCxEvfrSmCavgygdsavRV8lNqgnOZQN3rGOF3JCuDDHkSmCr
lQa7G06NYZOk2bSnlsru5pTkTzhiDWIqBqvlbJBDGduDfW1gybkeOb/mmJ7a4TmI1PTsWfGU4Kzi
sq3jqGdv0JnmlJCb9QmRsHrpZJw+t9Ew3RgZBGiJDezLpGe9DlSUeVhj5/Y78iEwGyq3j5E0xW0U
u7f4EKlXIKTLx8X7nW1+Wi9/o3p4DzH98BMso0h+VcasKBIWmfZPP0Ex23ZqhI17P2srODpW52yV
HDW032okapiyswX2IovgpqK2uywHyVdTrl+RMJ2ZeEjjdNp6nlMdg7nrz3PoxFeys6tvIsmMp7J2
mrt4wp7sJGl67pyWdqW/+Hkx1vr7KNZq1zVWde37+rHNLboqC0AzGug5xXKPruVbWrv1y6+/9CLT
+fO6Y0a/LGDo9oyVCVn985dWvutHoanKe5uQ1y+E98GurSrxWUj606D+9LFLOfjRySakPS4LSWRI
O+8aPCXnsRvNF5UJLkPgUE8tITunoaJPH078t9qS8rtUlbiIDE6kMWKPS4JPOTL54Scs2XIfJBim
sxJtiZvl5iEp2edjhs9Q/Sx3M1W63c5mwZq2WrO/MGfrW+nCCUGac2i70DkgjGlaoKLWhlTDjIbI
ILcmXuOdk3zJVZCebLsaXpOYcOqcXtArFdeCYgbJqVuQLGGMLQ3N9a5NhvGOmzK78nryPvImSw6Z
BQMwSSFchdqlvZpixPEx5iwymLHbJElTr95PoOascSsnyyOnLMe7seRXWrBT6bmIrfpyQpNKb6NU
3/0cMxF9Lhy7K8chOWzhy+7KmBTYYFTJRU4845mCcbzxS9GfHfxKNDKtDhZ1Hc/pYdJxGqxnO5J3
RtKO1w0t4EsGIFjfZ1KAB2e5N42MsqAfmic7buqXIMqiSxsa0trEL/8vY+wPe9Yi8ZCEFeKLE1bA
b/kekfbTDUMgCwy33jPuKMM5cwRduTdEg5d+5MmvPRRKxG2wdnQ1vw4S+lrTLrMRCGDxtxTW6ZVy
ZUj/06yfvNqm7o5zc1/76vMY2IROdm7xCK2MqPpeOzmWHoqBfJFlVcSRrsw2mhlvReMWj6q8Q61N
ceiBDKIla0xnOyYrnO1q2vU2zR021CrDqatasXVaQ24TuBq8JlXslc6Y5L4vWw4AFCcJRx5dO5wT
FSFSVe6bn32jaJ4CJPRPpTHXV0juKMcLFTMbwm+ZvJRmtmdGaxTrbgyWEorm04IBInwr82P/2jdh
kf5+FPhH/cS7OOF/9qvl8pPk4zOCfg/GYCL951t3qEWD3U+HdxS2ZMa1whOrSdfGfToHfAORwndj
MmA8pFPSw30cVaDOoy6pp31zGV1Z3IOMX/KamVfWq2fU1sifAoxRzDWE5rjHNJUrDfnhWCedsfv1
3vN3XwBJGx+L2CfLY3D+5y9QEougRQxrBFJnux1TQT2komhXuyF1c1OyzxC8xH4hXbaYMnaMLXRo
joooRi7E4IZv3HsWG/NUPVsjGj93GCl1pQIGWud++JB7NWfCuIzwpf76s78/jz9cfNujUhbQEwK0
eR8+OxyJRM/24NxV3XLuGwAJv7GaQ/+gG81MEZbs0jwfr3Ov53zNCBDASVm6R18l/ala5IQDZIJj
7tDvqEjTI2y4CPbBQE+MvklXXs9+k1xiQhxvhiKgX9A2Q/NGzBvO6iCxXxpUIUdznn3O0zXY/c4e
snLv9aBJVerMq1GCPWi7LnySsUgPhm/4p4YJ+zYkWnGXN1a0U8BIv2gXvqEe+hAHXqy3c+mV/rqV
cvwuyISjfVHYZLgxcxPbmSb6zqqyFwFFo4mtsl5ReKtjblMalB63OmeC8eb91iM4KfqmQyPut0xv
+Hi46OlEa3mHiZIeSJFa/RrzOKRV1cy71Iw559dD/93Oi2UHWS5N6oWnjnr0bFPnJkzQ2PlUotHQ
yyJ7MBnERRg03eSzV6SvxABXxzqKx2M2SObNSzvBsDGLxiOmZgcswxV5jTxLfr0QOCT+6QnKbRgQ
pmUG7xqN5Tj44djAXl10qOnqO7y5rbeeTG6w1fvenA8jxuiQ1qIXL5wSuI5AxM1KPbuynYHBsCdt
o6I5xgb5wHGe5qea0SGNKcrcbN0baVIQR1vu2hr/+oo7yXyZBsZ8bP/ti8Ty+71LPNvYANoqPFpn
/uKG4Dh27suWmFXPROIw2gRDrHIrD/NdLkIKn2AuuoOPf3Izzco7jnbxCHUDJL4X4+NZGxD2g9o1
bvFDT8OmoQT7Vjs8Vlhf8UYTAHYYUW3u7YWvS79wOXIuvytsufapGWGfGFDKNyPZDtvAmp6EUuQC
Vr614vPEJP+m3BBBRFfDSxn9rnHeea+gTYsNjDJ0ByKlYRLkk4HnZK73M+bx6kxUMtYQRbrzJ54D
ySemQXlOJsFgkUqYFOlTg3UE1klW07WOObeQjoxtJFsxdo+/QR4Td4BFlwOOHquT6RNXaTSFu9HY
QwF2xh1zn5F+Cl8XR8qKpsNSIQ6a/x6275qWWDLK9+lU2pt8BpMYMSlDuma/tyRT6yVGskrqt3BV
dmG07XL8CSZG80llbOeoNl8KghKidVsXBHGzs5troySnMnJoMeGPQVEDFL66MOwppiEkLOuzqOaE
kB8TenNaEs24om8x3mnOlofWgG8EvHyemSZk/tHvZmObd0WGjwK8Q0TxDVXN7im+/cZNCG/WeJbw
VbAKk5pT5mqM9KYNgH+jnQ7NTWLN+ZvnDXcYaMm7gBFc4ZDJPHxZQ1ZceV4R38jCGwhEYB6yapbu
4/uN9N/K9t8qWzi0bBn/XNlePJfNc/Onyvb3P/lR2SLSJ52KusKkgmTgLqhR/6hsTUl8oi3pncDg
5XjPU+pHZWsjk/1RyVrub0GAcG4pZV2sAP+ZnRV08IcNMeA0yHDJQl+NuvEvUjz6jX6eRqN7gSnV
J+3e9QTwKTHAZlh36K7amrHYHMLyzAqrCq+qchLOWjukbAWbucUKcJ9jKELY2DSupcetwXPDDg9+
2AkX2i3xHiuvJsb0KottCrpdofvCHq5ac8Hx83DwEMHgyXTbaNfSh3cve7tuXjNi3nH7eyEjPsNb
k9vh7XJEtxDVkGXxMJnuDX/mlpyR06CFCURp1isZyHTeS6Ehp5Uj6YnrtDEXfxIpuNDya7+rb6ga
s3tNyNEXutkWrMWm7gRPoD5VF0hlYjDAU/D5/7F3JstxI1mXfpW2XjfSHKMDZn/3AoGYGBGcKYrc
wCRKwjzPePr+nJlZneJfVerc1yKVlpYiEQPg7vfec76DSs6quMTirNuZDT3Z10CYqW2WkuScKnFV
Yrfz0vAUBppXTa/JaKW3q93LXTXQdaN13SqWsTH3fmXGGhK8SmN6vRb5MSUN4dXp7Oaz0ZlAfvUq
8d4qz33LZ5WjAZzfH7NiOfJHeBkHx7xJ7EQcVIrmtk9NbzNDk+XvmF5zN9Ac5TlfFsGQDJ6Mb9XS
K/CdVQRqWyFhw5Nuj2g/1+J20IcOGHgRHo12YUq1yuXO64wFkUDaIARMGCD6IXvfgd0t+cb9YN+l
Gcqe7VgZ2k1cMDjHjMdpoqLHCs6gfIxXCafLHarbarXkZpyZwmwstzculj0azxr1P0iKxjBvKktN
wWgQbxjgy+OY6Cs1lL2MzMKVy9Aohy3nD8OftBDjH4HGh5wAhWrDlry+akvBVA813J5AlvVosb6/
icKQx7jT64dVLOE1rv7qXBFqX+wZpC4387A6ow48aLR6ll3/z3/3mYGs7KLZBq2bTSKKd9jI6Fll
e5UyRpvKK4isU14FBDA0qbeDHQkOU3cntD0TG/665fiji7f/rKj/X6YojuUsdP96RT1++xJXPy2o
v//En61CFTprgf+hI2gKR62H/1hQdUlD0GRoQOXrSpp0fy6n/4YWoLO82oRm4dyxyYQU5t+CRn6E
qWPGEqbgZdEy5DBqfhQFZzoJp7YMnWs7tpCIhEwWTqVcgKZoLkErEvIox2MTPB3mrfyBlESbsbEh
v8cV2hxLZvTC9cp8dBx9fs6klpxsU7Km5IaLqLEuHSJocVl7VaBBiervsWhH2Cgjcj2eRNmEGiLZ
ROWqMvjs9jC/0vRaGrEHZI2ia5d0cXksSFRCJDY0m2LRo6AscuC6nKB3cUJBtU294S4j1BqEt5jC
c27W9bkbjH6/OGNzZXjt9A1h5qtFmNE3cM3iJZ8quUfWW78S4iE20JCco2N2X0yyt3i/bgyWDKlF
fFpxuBxEXVk7sA7adcnSPKN4GHcxG2CLTu33GFnJQK0YdwhFlf4wmdIbLY6N5xFigDWADmCOWm+6
JBb3S6cYakNTBmMvnnM78Z5me2YtUPCBGgrBPLvOdhTLJjTH4o4OIjktQ2tct0VB7wwjEzKIJDkX
imkAUTq5oIb54vUNULa6pD9bO9mpId9on1fa+LXLZHhcQttkyKXn31FyUpIpXoJqBTQc5trq4BnJ
90ExFbwpmT/bLCMlw2SiaxrEfhsUlu6rYQwECskUjrxbPRdJ8dxoXLps6pXp5zS+hL1mb2ldVFsr
S+QG/xyKCzkx7vVzKGq6T0hg8SDX2XKYO8b1Ud2RT83YOTtXDxNOxUOeHaQxNJQ1Uva8+lEihGFp
3wuad4sarWKQdzI9urcyPbtdlm69CadYbGIFoIhNQwN6Jmabq5gVUE3CPCyUUQsNRjN5mJwuP9sF
1Ip4ccyL2oZ3ThxOt1PbtDuE/fNb71o5VHZh9kQ5afUPbODIKaPJ0veFTKczUKcEq3fZnft3Ssbs
TNG3+B2dUdf2IdaBefrLUMuTTs8QrVEvxTVoUOFjTV4hEZeGKDeNM3p+5HbDJwLHObM05mLsMjNr
UA2hciT2Kh53o4J1ZO/cDrSg3mksCgCA/bvTFQYUalncr0nDi5KNUzNzXbqnCJJOwbZsxD8qaJ9b
1829g1QO2tbWvjmrLahL4jQlnixyfLPVJngCKw1IszbrnUxx4YKwBOreylOt3LmF68YgDW3xdXT0
fGco826mbLzru6MX74WzV/nqPuC96bOnrL9aFsqAs1y4G/oK7U6p/MHVu1XYVa5h18mmOigo47fL
YKy3ON2q7QoTf+M4cxmgdAcRQrLdfS5se+/m0/DJju0Ky3wZLwRwUV5IL4KPXJuLbxfM7jeux1ty
Kox5dJ68jr17avxVGZ31dUwBMoXLNlE26FEZoke6XLuYo28QezhL2t4KL7EyTjsOQtHQbR/prTv3
njkcWgJvbhB/wrCc5ZU98FjDojXmI+4YcGCTU92mhaFtdYSGs+8qx3amvNtFh4vbUH7uRDm7NQfc
3zC1+NDfPd8llqwH5CrGBsr0xpxrcYFUBXQPk3hkYRdflHGcxVNcdwPGZsCgMcp+vOWjaLwgMidx
XBv9GwN357q2mvJoKB960Q2Onyhv+lzWEAL4kvetcq2HSY13oV7geWPRfwDLtnwvRF3DJ5HLYUlB
cMml4bBG62yk+4h4ioDybC+hnQdJyEIujLU/JYjKn8pcWLumLiOKbOz0oPQ1ULAsRJ4y24eZ576Y
lYgPi7Lha3PugcftFw3Cou28sAmuB87H2nfkcxpBZdj5kU8PP9JQq64RpVT3XcOYCZU4J1EAANFa
RCC08zwwqnHcu2OHQLWm/fFCo6Y/wx2H6l8NV7HnlBuzhSZgKK7AqggDk2INCEUd6GAvqMZVuG6t
yIGFb8Geg2mFNChzx2CQsfU9UizICZQBx14VlEbylh9mEydvx9bOsWY1flXb03P9zkFQRARHsRF6
hKQvaLt4NkynDlbbxZWZZPOlVCSFWjEVJjuxXhExlL6riAt6WJb7VVT6l4mEBcis6xPAsXBjKE6D
PTogG4hksh+SRJ+DGokj9qP8fgXxwOmBTktLkbTNhEJAlIbtBTIZ7ybYKM/abBebdCjIeFDQiBSx
cOlrTTR9EpHToJqHLBG5CjLB7egdWDfxmPTi3EnNvF/X4XaAH08GlshPg4JV2Nx79HkNfGD45Xgk
FBZDL8/OSsqahy4wgze7mae2QgprhtHGUhyMZHaGXeT2+bYzh2Ij3PCcApzbV0430NtIXSCSIgmm
urCOPFDxblC8jajH32jMebOd3bCgg9GyfE/h9AW+Qb3XRuGc1rGTb7rM869Ez2rXdtfedWZhP6yu
9SQW4PQZyZag0kx5bHtt3aMAwlpiy/Gpg2pxZTvFl1RBQeJU0g7Okmo/ooQ9DDhWHX/Wou4qgfwG
Cjqy7ruorG5XOlSBy841+ml6p0e18UI41nT22JVpx+vh+KwniXYAmmCfizpJr2D77CrFMREATWBE
fpq1CZmrW+RblB8hkvUxf/TcqN4Pvdvc1C75GHNXmzvRhN9dxNnIDeN4DxETShusQkqYfD3HljWd
asVZGT2VpteNVVCveRNYjr3+QDT/SM1TIktN5QPUB3vX61m/4fUhL0/Ny8iquq1j/TXsAI0VFTEk
DErO+cREY3bm80Ky3BNhgSCVFRXG0tpxT13o7RLFjGkhHu3x2LSvcM2A3nkD2Qwj0CA5pcMud7rX
SWdd8RR3JgJulynOXA6ORhtsOMcLVgOpWDXUxOQARvlp7sn2Rv/rMxxEkp9X0SZ2IVAw2s2flAzs
gUNVdiobxcKxFRYHvS6EnErBcjwZ1dc5fKfCAaLjMqC5TCZgnXLG4A2Hh0DW2IjOaHFYdoA6ER6h
gDwj7J9bEJgYEyxUeLMLVYSETBta0vRKaZYiCWSOswcIuN6Q15UCMGl17EptuYOAMn8Z3jlAnUIC
he90oCyPSG9xICYHdrXOb2UW168OuhGhYEJFRBghL+RHMRTNLkX5QoFYakjzOuFuijTT0O63mbNB
E12kvm5l5aWeDQjO2EK201jQ3tWs6FvYt0YAH3tiS0N9iRJbAHzO0hvOvUimRb6bDELxRFizg06h
fqUCVSGjctpEsyUOoamJH650bb9XMKWhB4Rc0cLYkr7Z+hw92m0HeMkm69D0QZsAiww7BQs30qPg
q34lrU4JdlHMy3duE+BiJl4dyWJRrHXIod7hTorz1MSi9XY6qjskZuJO4nulSF6i9Fqfev1trmV+
s84zCwIWfHjRmbELyzUv9Qd3Doc0DMLRjas3vH4jvPSizL3iUc4Yeqwr9PyIjvrZ9arHCazLhjjM
bwjHmFmUnJT9tMXxT0RSrssRRU5qB7aXZDJY4gh6Ccyk3h+jZf5eO7RtJ8zQPmcE+zM/U71q0RTu
FmMkUmgJ59bXR3cOROcmV8PoNpem5m9XnVO9mDx5Zra0O66oXYgObYIBqOQ+QShEZFQ9l0wmhH5B
C+Qeye9eeYLplV3LwXlcY9j0TWs736y8xj2yyhXqje1NW9jB7X1bNKaPX7eFR10Xd2KK48ABhg22
NZ6Gg5VjXGI1WAJOfVDKLI4wxtSpLn6SHZw2t7Yyt42TKDvrqhVoCxJbmCTZgZSwnaWgR65xPcxB
1dNM/+e50zPiTrqkBmnbIVbzGwRiG8End0/rm6YQErAXouRuotTlYxW5Nz/MkxcFYxol4aYfVnFZ
6sjYpH3XBa1JKKXf2a6jRGg1c0l2YbD50JCPacc4wu/qsriaizR9jNy8f+k5elIzdeM1kavRQ2Gv
3c5VH3ZYxCkayZ7qyyYj9FoLx6n1q3Jm3DPU4rikXfMQhoXog6Tirw6Iw46M+8r7PvJaP2r05hP9
LHQGtdtgt4k+hYwrzpbBFAHos9AOpmqm+KUHQ3IYxYkWVP0wxjOQm5CAOnkZ5ti6K+Pmi1wBkjHf
pVGEIE+Qtz0JJLnJGlnEyeahc5PlS/6cCsDXbjqFe6baOv4+JJUAvcb+CeTj9G0kOX1TG1Z06oqo
BkTE2CVtwU3ivSvRQTs0luCMtZx16BcZAak509eVU1/qVxoNybaal9tGuiS7EJ2X3LeRx0msWRnC
jSirtx39nq0hV+8Iex/j97qmZztGd13A/LjOybgk1dXhZhLa19yt1qcY5xTYLQzfSE8WFg1hZ8tz
xlKBsnOccBsSzXijkTKDXr0O970x5vfEkbmBuXJfMZzsfb0R0VVoZMB7Ofky2faqA5mL+ialLAMW
XqqDrG63Z8KMcj8pBRYTvuettzSTjLnt0qL5XPVk0dzoWdqZ23zB035pdHYBH+Zu7BJM6gDIRdfn
rN806M7Tre7Bk3bIfuIXjtry3JdzPT+ukwYq3td6Ct7+dhAdA+HtMEhD1r5Hk3c68ZG0rruroiYG
Ut/pFWTn/1VYYxdbAMiv12jeh5psyAku5k9/af/8E+nPx3BzgoSZ49ku5AyaKyrj++dJdN1AH8hN
fbqOtM6m+0p4tk4knZyLo+YC349ejcLcj6lBoL2906x2Z8f61pXhpR5QIWAO4a1iVEVqSrr5v39x
Svn110nz+2tjQk6jXToes+afX1uhj00pQmO6xup7LWvOiuEBg9zfvwgDAgX7YZgpP34AdtrDJPHG
6ToxEEDzj4M1jOSu30f+/xny/GLIY/L9oaz61y3J5+9d/z8+JW2UlD8H2Pzxk3+0JiXBjExUsNcp
4gktSn7pH7Me1/gNno2HYw0iCeAe4y/NSfGbYwr4pojbQE6Auvh/sx/5GwAMhxBIoiRUU9P7O81J
yKg/36yW+56dg4oSZQTinneixF8kQdFiTXmZUnN0hRxOlVvawBiNujvB02BwagFp8DETA6jUCb0v
ohxq5JxAydOnA1G6JP2G4SB3be+1D2j0NNaG3PuUUKLsYxQFtKUGj/zkGW8d8qA+28xZbB/xzZGC
N6QUjRtbsyYke66d276V2U4weksW2ESXHZqQpAs3G5BkL/B5o8KN8FyR2OuPNr1Bz0k/e9P0CQlT
6KAq65antR9JtJ/IeCELknmIlQ53jGl1/DslTbC57CaMWVo+Up2HxFQtTYI3ZdXroBUgLupKu0vC
Ou0IaE2nQ0uq/WWdqPRIcBDPKxMiUm7E8hjWi7lbWiL3DK9DPeat6p3nZQZJunCSINFTjJpA8UsI
cUvxEMW2TQ1LjzJluhtI0egncJBPFSAKelU96GxrYaPO+40GMS6IwEcxLk6s/iEjUPw2ZNp/F9L8
nn1sFpa+qxa6ESAMtTXwhhA7lSTYwahH4pKXJg94ze8QZcZqFaMgxmfSD2fzeQASddCT+Cwtjlf6
EN9E7jr2gaEc9YGkK0arllW/zKPVOvdUK4ShlWBLXQQ/flj0B1z+/ZPVccD34VLqW200WmKRF7Pw
2660+T7s4by6xqFPxQv5lTCaeC/bLOw/hXTqrnByPi0Z6Y4euovXVvlp9RgmSbG4ccCGuY303g4Y
R0b3HUIIuriyyi8u+9o1VAhSGjzyTyR8RnJEoqFzbjPSdQItlrRI29C4WxqMlnakSq+1/t4bJpHt
Jah2oPdJdLtOaXfFLM8H4YIv0dXnc67aR4R+hcFQauGdbvafo64qN4zxsmPMGD46Tb3Ix7vZi6rm
S4tp9lVMzfADU6t+5xQ1/p+oMR+oSNOANLnhbHe0WcheKvjIqMTbC/7u12m2hmutpp1lTOK7VRav
cproTxV22RyxbwC9SExxs0A+64KiXUgiiQBbEttdbdIxzMGFhvkAsWAYCjh+g53uQqcqc1KWp+k1
xi0iAn0B4EDUU0O7LFNgW3jlBl3lvqBC7kZxB8SG4A5Ag+daZb9vZqrLu7E2bidbf2GC8CJasNsA
4ratFEV98JykRhMo46bdjx13jIgM5xmX1CNBgd8FUH96hjKv6UJRENn5CNA/zgmKLD3kUmnsGIeI
Neee3xDB7+3i665JTq7jTcdZx2HHzQybbTNE3WRcyFxfo71LoRBthrZ+KRKtHu5bkrN4SdA9tCG8
Hcm/4FCX1ZdlNMego/zGceARZmDGxwy2aXNncMYrDkOoF0gphiU9ZaZIM6BZhCT7s6jsSwcQZivN
Kj4yB9W3TQ111gGaE+hog5+ttlgo6dZTKSSVZN/Fe6gOMNUdQ9vZ4QLYVyzTrlTQ4WjOs88zZzHU
Uc10chO8+mUPjjxc9MEHKZ/52ADtO85WKm+WdA1ngqHqjpkFr7FortLMXINqGOr9aCnPO2kPl2m0
oVkM6bo+0i6yj3bvEsEgeu3TFAXxQP9IZFFQ5F3NCVCRzXGuFDs1uV7mz0aIVbJqOwNSBg05Ehdq
0AuiuuA2o/NvY61u/QZrOdknA2OkY+aMLitV29yZNL8eQXahPXFw78S2zlR5qdeFU1xYyY2XZ9nL
yiTIt2Y5nUCo0elux1fgEKmvfGjg+KXX7gwQTvS9x+t8jZYfQ7yO/F8paQpHFqmaST3s55Cc9pCG
sINKOvNjjPqYgAUtLEymm6oKW+K2hlc2Fmc39Tmz67WZeErDSltp0k+TswEG2r8ZJbvNFtVfd8ah
5e3GSH+IpOMeTK0Qp0RISAWlm+5hgxaIuZha15yDIYS5W45KOJCYfxyMthRHsaB9D4mQPDoT2VNg
4cTJ6Rn3Mk50IWAK4zxI3TvhaUq2s5Hfh866bGQXkU1W41+EfJL8GBIicHyS3qix654AW538UoS4
zRFtAqyaNMqaAK/8batXG3BR+JiBRCyXuI6SayYrRI3kNYSCNfMCm2nAFSDRECpHc5qLotmKFcCM
XbUEqZDqvUVPVWOYp4hcBys+tqv31fX64kh771sDm2Y7ZNPXomCwLvRF5+jOdqO38REJdnQYptxk
TOBeY4q/77vSvDbJ6/XdYbTvJivBIqsRELGk9xz8tbspTm9nPterEN81T2N+Hcl3Kl7msTUmTDAw
/zJpotqEKAvLBoTtOPSb1pqXJyvDiDrhSbbumwEA2xV9wmXASCuiamuwcyJZTEAT+aSALZSE1lQt
YuuU7iq2cejV60ORCE/7PHXGvAQJ+KU1SOzOoNkBUQC9XEYHmzIdcfVyAAz5YEvgcsE6rhxluiy3
rsdMb7mt0GiR+JtiUhe4yr8vlT5jLRzW5sZA2xAHddquz2Y9zM8FTJwr2af6iTlit28WbcJkX1Dv
kYyXjVeCKQtLP0HTSAvi/oD8j0yNghXTpZP7ZSFnN6A/kV5hCB9MCm5Z3LvrkFwVAnwlVHlcB95E
a8SNvjXGoO2xYti33eI2u8llfmKS11LSp2F5JZGYDwjKzMxENIo+WUtIVCDMN78FD8yhA/rJQSlb
IU2tjCgncvUYo6DEmxQq2zy1JNLG2x7JMbgGAwqlS6z0KBilsrf5LtScdNPJgSI+y+MrMuPLKEDJ
OqJVjZfhRKyzdtSaxuHgFwJw8QXiyhudcD9yXlTe/Q4cMV1L11vbIDYHJ8jQzr10dhrrwZyK9M6N
2+Y+9XBZk8IMCaEC+L/vGHzsWhfQDRCYefSbbB7xw4PzQCrULv1zTkZ6ADhTPxepW9BV4sv/vJoJ
ca6dvTf7cCCZbu2Je3HLCQN6RvOkq8zxEIHeG30tgXJszlpxbS0Ok1ZOQE1On89wj1ZiiWcE6eAC
agEoPRpMN9vVi1WSpZT1At1O339m8V63Jh/SqfL0rwzh4SKh6GJ8wHmrQbdIQ49xQRZvsZ5BwWwH
29j0BHzVColf3BDEgZTKyWLoL3Z8YbhRM1Ms+vNEF+/oxC66+pKG0B3oI0a/nV3iri8dZsR8aRCN
ugY/GnCsb3Poxq8eZ+4nY3HkKcTTQdzbMspzJziaUerqkXcB2mVujEV+7guze15CNJJOZFu7XAPI
bMy2OLYGLktCzVLnxawtMts7t24PCfYr9hLDu+Tpsnw3mGqheEz0L6ynyVUy0QOhDet8RugJHSUj
qCncaU0SuwEOAizR+AJ3S9mb9wMKha3tMNmuYB1uaZmgjZ7hT+FnGk+rpFJdENbcw71CRFBO8ya1
ya3BMx9/oXlBl8uoEAHoSdXDDtHrdtsYgN8LeINAAHoSdp3Y2RmjkN+M0pjPdZes126z1g/1pJN+
wnqe/qCL3T16pcg/R7rISd5dUu+KXh9mQ8xMV4LZ1o7Ml+Ykmsi5wy87bSa0B0djFVxgtYk5lFa9
XUqQTS1Kk61thwPt6x7wUpYX5W5yanuf5lp5nAVn8drLp8eqzc2dJtptXzcpRKUWnnpK9z2V0jix
SDACK2IeFjkaHFhY+cysxemgNTUskBQUtgWtCsvE0vhV0fGst1Z6IqEx3OaFaDhAwVmPM6YRaHfj
aZtgs/gx9tX0zQEM4G5qOogXkuGIxJxa6z/1/x9Zs7+o/xFVKp3Ov67/T2ShDG/Z8pMq6fcf+qP0
d5ERSU9nSiixQqrq/s/C3/vNxluN8hPYqqusjf9QJZnebzpFvS6EMDGJ6CqAlo2ij//3/zSd3zAd
ItUEqowBUv3U//mvn7wn3Yf//isxWP+IX4RiiYsDiK9pYgkyPoI0cQjHrbuG0RUHAIL2kFDJu0mH
DWBS4O2TRmKgFV9TbZqPdcOMzCe6x7unlOsPrSzGvUlDeE9IOQ7+v3yM/6S1RwvkY0vC4M2hEBB4
qy1dfKQXzh2W5cxwnaMkibW68Ugev3FXGCxEVod25usDKY86LKttwg7WR6aHMRJWUIGTJ/zmlqV+
1+m227TbepGFfCZoABpN3LCH47HSXwpCPFho87HG7U8skxvkoKrETUGfvdMY/PWaeyD7bA0skZU9
NLl8sjIwNewC7VO8jBFIOA2DHRCgvLl3QfYuAWdQSmBwRR4BA4NOGtQC8Kf1oGww7x2Yt7rmLSiM
4cmrOLhPbVNQSeQM1NEupM3XgjME4WImMU0j+I50gwkOSLzLNEHfjSFhLFdMw/OMvsaCkD4lQ/GO
PSbIIMjtyjb8RAyrtm+Ttb1qolTfD4PZvSUibm+8wp4DJ+1OdJCvaibFj7JMZrq+ZJ7JbugZS8Uk
xmijxuFqRQQKSce5bixzOZdRvNOwlQKEY32/hx72Isy0U7trVQXqwEDBEVK9Ew0zXTQgiXfrkHkz
xoSl20IFm8+RXB/EEOU3LcUpZYFXMheZHD3acVSymDYzovPquPNnG/kCYmGROPfCzer7kanuhiNq
cWuPq0Q2YLZ6djFLnDBPqVplZ3yMN+vabDkTQUJRa/GiVuUSo8txVis1nedyV78v33rrDBuaOI4y
zOiH2QyBIq6e5ptq7Z/VLmCp/QBcr3PHp95QpmYtTEn2jUg3vSuowu5V/L6thGqHwZjWPVZq12ne
N6Bs0OqHRu1KptqfTLVTRZI9y1K7F7Y4BCBqR8uXkXCd922Oz93aUdmw+dVqH8zUjmgaHPDpPbT+
qvZLulLTNT3m8WRP3bDN1b5qNeTUMIUHjDchW1nV/hurnXh435NbtT3n71v19L5tr2oHt/klSjKC
vNf12Ja9Sf9iRGnMxFRt/AR5XhqSZQN3ntuD9X5C6NVhoXs/N4Qy1o/G6KRtUE3mEsMGkeWyHyuD
PDpJx8P1jaaQxgabZM4BGytFkEd0kWCuhNqjPXeKMEL0z9GbW3pftV3Z25nP8TgyDgK8qOfxOSKM
BfgNyivTUp1Ba0y3aTeikVoMO/WJ3rbeCqbKDOHyiTAfAkHOHgdFPr61yS62nYa4nTzUHm6inq7Y
bSw/QgI97kcHQ01g9EQ6y1Ik9l5mlXPM+vbJi6f1qxzXmUCjzjrSU0RY5iC+gC6MbIaVcHohW89t
fay3SM0KUE56kIG28TYIhaeFEWYrX0Hde0NgN4By/IoJ8khBVVu0OVYC0NBRSSbRYx8X54XjhAE0
fRyPVeRU8IpZRJCWgJ65sSu6e/4IGeGmyy1KjHbk0L5CQ0UlDwD9Bscrg3TDjYmbIrhQ27UM2Meg
blfn2mE5OBUxsyx/CPPiE9rshog3s6+2M0GYF5x5zVkjPxKilNmIm8RNq0dJ5ZMH+kDeg6j4/w73
KN0ffYmvqJ/ay2TEMbFKU/ZUF3hoXEzQRIIPRUAFimCxrlh87S7L3tIIiwuZFkmJNMpsndsuWXLt
c23C0dvMTePdGybQui19pYgvpW6ddmeJwvvermZztRT69IJ8Jt8ABBrv9X7EbEvEJDQsjb7vUMUH
YVC1MMuLrVPskc4tJ6K1bbNaUz/UnfhOAcefq7FI7uUyF/qho8y9ZYBSQ/pe+iyHhBl3r5SWaPgs
IibtfavCAEMHvGbceA1phfo8Xno0KYycEX/FhF25WU7t1cf45nuonvbYcTk0UOMP1nfv3tPiaQdA
rnt1NI9LRJ5Yz7SczR0N0fTYZsRBNZPdbFkb5iMM4PDzmI06f3DTsc7zkGeErhIxQyfPH1TkM1oP
o+Rs3MizHtl4huRixAoVqyMymqckPI59M8BJcpz3rw2fYHwqMDjE/mDyJkddbmElvdGmnoLJhdWY
NbP5KdH7+pjWUt56ZgxyySzejKbzuBHtzLyZtfqchiz9q52fo8UN3+YOU7wkWQ99Fv0GvQBIJ1C/
1rDurhcbca+Fl4EfWGfjBrsm3+mUuNM1oiOxQcxqBEW8GP7Q8kfiCu01nbLmrqUFfrLsBn5eV8fl
C9jE8W00844mnS2DltP+Xp1LvuZaVr1xl1LUWItMWDpSObrbJQ7jc4dWLfbZTtuT6TYEg9lmTC9T
71ZpkQCjLVaA2dNT/XnyqoN5HcQnJ+37cts4TfbV6mWUkT/D5BVQS0SIfNpp2O56YslQGYLe+lJ2
br7u64wRwoZRdvuCRDr7RCeIrwvtjZWONxo+svtFOA/ZHFIRpAXCHNNqIW0CmDMvXQJcydc5eN2E
wG+OHLGq16UK+10/aEVQ9YLvC73WUvGwpOWraTcFvzMZvxl6manEX0ttom1xcZtOP3csZzxF3bJu
IlCoo8+5C/5J7jLuJ2nIyL7onnzpNJ1k6YV0jg156/UVcVya9HnqNIuB9EypS3YNIbUasRf36Hr7
64r8hjvmU8nDDLvODJxOp53U5nQ6h667j7yJzZop7AWJKKkAFY/YOTEc3Q68ues6FD6JSaunsJhA
q1DtMF3k25TODZ2opmZqs2relbQ6hH40PRBAF2nlbRd97S2/ndr16KaOrMA1DM65p4diMVPIB1Sz
GtxJXxJwdW70FQrhxDqS0stDlAVcNm2fjRSA2N1oWgVIUjZ9LPQVHQ/BPRBuvSp3rsa0ZSewELY2
B0S11gywPoxRWFDh5UApTPdhnnUrqBqJrpkJhnNy24yFNvaU+qly8vTSEjcxw3uWxXUKQelTC8Dj
Xjcn+dqQAIvqLkI3lCFofSNiTLtysQWX+6ZrUeJoUQEXL9ZXtowGMDW0tFq/xfsfF1c4ij2GFxIF
dCmsZJMLKHS1m+ZCQS41H20f2dTzAP0RzJy7GJXz+yH7P2PdX5V1jFv/bVl3+ZKU33+q6X7/iT9q
OgfnHWAbyzHpYrtQkSir/qjqJB4UF+gM9RkG+Z+sJvI3y3aloUglgMwM/CR/FnWWid1P0jeSQn8f
58q/U9T9t1kuXUNT8HtwmlDUOR+EBwu+ZxM1MLk2IQvc1l6Ym938ojr7WJuR/AIXyQVqyEumFP1Z
24CFXSELvZXANNPPVtdHQsJwkI/0H6X0P6sBf3EV9Ub/MpRuQ2+e7ZiryPK1016r+Xtv/6rM/MUl
PghIZFJZPGtcArOuFHfwb5r1F6gW9Sv+ogOxXHRJSpnhWbCGXEN+uITDqQuRidseJstFVKQh10/q
6o5W/h4nUPH3VCd/XM3TTfASNh6oD9+MxOTSsy+3h6WKaGsDrfcTOtbbPKrz4G9+PUpwZZiSmbxB
VfaxQBedg55y1nljsRs9zinq7Yhh6EX0Y/YLt/7PtBvoNu+XIkOJdonHFT98hojpyISjA34oWyar
Wd4rUV6Kd2deZ7+J5mLPoHz5u/cGFyUtHss2eCnCND5c1E5CDKcVbtEl41NEYoasq2WoE2r88e8/
yv/W61CXwtmE3xEJCObXn+90htf1WtdaeygW/OhMuJBiaQ3p4gRVzqRat81tveiMc/M1vgz5PP/i
+uqu+HiP4o9T2SauWpo+3DVLZNUx48Tu4BaAjhi6KKvm9PTv36R6Ex8vYkLdctFssUQqNctfH+dZ
r/qlh51x6IkA3cspRjIYSTO8zv8ve2eyHLeSbdlfKas50tC6A4OaRAsG+17SBEZJFPre0X59LTBv
vZSCYWTpjd8g00zXRIHoHMfP2XttU5/9eTKxjXTeuC0b9rAfH/rU82OZ6GwWQNQis/nz0J5jj0Zo
WiTKDmgLKstRIV2kSRKGqZM1aCHMWE2RCrYfH9agXffupNnl2ZysyUcB6sjRlW0zrUrCvm6gKxTN
j1IKnd6tDu8I0OrsO0Ga3WHhBeeXdTAjW73boTHhFoDg3U9jP+zjqmmezGi2DKSRbbJplLw1HRTz
G7aDCOUbEYOrbfSNpcZ+Z4D2uacqhH8gCVV/mBa2u0xkct6KnryHEnq1W20S1223WWn0fpc0y2Y9
0kGjUjemJGReZhWskrRmiCnipoRwS4RspGfyXKf/9lXLZQF+15miS73WBEDBbFrPOqT+SHP6cxXm
HQ8qCaobmkDdRefl82Os+CNEB/Sssv4hIBIQfpMjoNWYb7RyxqhrMrxNTfU4FpN9OwSdsdeAqG9L
rIJwN/V0lXWGvcNLQkU4VsalC3J6i5h+xDY59ncW8oa9DaHwQs7gvEq0J3DYmGNdBgEG4hJa9Tos
u+g2SPrhBwPS6bafLUTWIhh5DHp6ZVo8vw6FCL5EFdFiGxwh8yNpOY61GWbjtWlGLcOvYatfWm0T
bDommXrC04d5axTKvu1p9SCb5gIzE78s4UarFUEh1VpMqJnyKlCITABvsztmlxA4xPuu+f1S2ofg
R7os0a6S0H5VLXX6MKnuZzKPj/ZsvnqF53wdTQfzR6fFXwhyRjk+kUSwaiJepGKwXxdEq4fGqJ79
pGbFSEibYQ4fzOqp0/n38pHfIxllesg9p32Kl0cfSbE8z2lLXlb5EDDkamgXUqPfDhnS9LBAWEFa
Z4P8HSwvDZ4ZSrkQ4dpDxb11x0mHDJu5IWg422R8JziAOYt1XSdqP+Ru6idO0t/DaOruVRXwl9Ej
82C4sXObhex4kPimB/B6hFxrZbftiTK6dj0uJ1Y9I9jkhAtsTMqmKzVgPTtLTJFDvkHEuxqZTAWI
Q8Bz0iAKSYuJ9fukIA97hQzZuYZ7lOwjwov3ht0E3wPp0J4YGWpdmYNH6EGK8xH5glF0WN0C+xp+
jrmZwkms8enZh6lq6otaAz3CtL4/E14lbgLNYjxbRdaNRJxxMdgOwucaeBbdBLZkTq/7pMQI86xu
FFv4bszGNVSD4LsaCdn0qqFUK0tjxFsyaf1lJ6n7C966WrdaO5w3SAq+R55ubMOutg1EcK6+1Vrl
EVDgLdcj0FO2+fP4MyM8hDltP2bbiLGlb7QMu3MC1C+yMLQfgNnO5I66MNIszTH2riyaPUKu4Ytr
Bj3NKSe61fNa9/vYzMTG7kb01nibSA6AsfjDSFt1qPFTXHXWOLw0+Ewviy70rmlfWQ9QaXEt0uLT
tmNtOOeDGU43Vg+pmDaOe5PETfEyoa6+Jal1vBmTSF2NKKAujBG+a1t7znlaQQIzagd426TEPeI5
5ofzNPsgX8EhOTrQwlVtLItXZgbqtpl1WaxmPUjlqhDC2cSuVdIFH/RfNiHaaDmyMrqv4TX8dGbR
+kbPIoSbs93zaJCmIzyHgW7V7hmThfmmreJ2Q0FJe0C36/NsEHRxorKOHmYQpOEK4xD/phNEYpN4
4CbIuJkP/LbhgwnS5YBcrSaDFbVG5gRxvU5EgYjcyRPvDHUlpiTapBtphyAIMWHvFHDbbaUv3fgo
jXNOABH/Gmw9REVPV1uG3M3ZvzHHUe1OOzal2lYGXUBbGDvAuodfQ3Mb4wv8KXe8KSgCvg+1Uixj
fXqb4cTEjYN/WbEKfEMiThgw+hpf0SB7hU8x78yQzKU3iO9QxpC0XFK/Xtq0NL7TtIVLlAGT/dV6
RDZN7UiakKFDYF6Yv2YhnHuawHhpRjJ6aAfJBcucjNetS9BC76ZA0XiGZ66ucje2EeJ0eTskYTRw
dUQLLLab0ESurGwhvaeqfcaq3m6AsfJX7cbStm+4tje+tNnChyKmABarHZVPfZzn+zcoHYjoYIu6
UOdbrefroYarr48LfbbsXpiRqTMXNQpBtR1+FDdI9eXznrJ4Nv2VRwoC+OQI9lhjePGlQFkANRgX
w4r4ltEvCZswcZMaFiNxC5Wl7vb5ATMF7CG8U6pbQhtmH/4fv7A+gkzC7yLuDTrYX9QSHRTbCyr8
LV/UqVygSMMCO5urjsPGULsPI/KJldFAWH7DhFWxIGNQQ8G1dS1oJaWEu9VlVvTTWxDF6YJPzvFB
ngdGSU6owPZBN54WF859d89GtDkjIDt9Gjxa/wWwwvsF9rR1FkigS1trH74BzZePHXIJhjMJcO8B
QdvWMsAJlV5LHyIQ443VTPaLkdfZtqh4wOkxpYeZJ3pNqqDaEmhSvCZ8w89MhAUPbSrmJx6k8EZE
Wnitks67Lxhrr4VNmmncVMXebSzxRbEXVasOdx+mt4JS/A1FbAbaeANTCWaWpvevfRFoj7msAsYG
qGo2rib+uU+pGoNfE0q77Whbw063K+MKQLeGwDBlkcEUdMASDBbEGeOvRde6t17Zj4zbO+fZ6ib7
uW80+zlxqumKL5XYRXWkbSaMgxtg10DtgwABb6g1dyU2vi1Sr3yrpdZ49XbVlQMOsGxd99pM9Z1e
FCUfvjY5xx9pIJIDY1J0dK9LHsTd6JR4Wgj12BYePsd8Uta2qnMsho2OdJfu/3ToADtfB64RnpFB
RQ7I27M8uwaxc5rtUle49vnsxuOVbItgS65GuDZsWt0rgHTptV4n+RkaPvHFC5hYKFBVzmpJhEfY
Y3P7ZxJ007YEgU3jltGDZ+H3moBMO7OxcLLJ4Eqn8YpFYToz8Zdfy2ZGKVU6Hab5tpqedBp4DgbR
IdnO3dTupJF6F5kHiaFLZXJtpRFtPwsau93liFoHGHWGHADdN9V4XcuWT7eMGA7LuoSVPc65TDdw
doJ45RqRt+Xb1J95Df3+VWC3JLIoDGjoMoryoSMacdex4FADkVByzgxcXde0MuHwix67G0TxaTCq
Qx2IYUf+LPYzPJPaw785uLTkqZhtC9RBTxtQf8Pc4UtJGJEtYaFuj8eLfiPYPqPInnTY/9u8ApVu
ebHx/S2dy86ZldrDAI/Nc2EojnFprTR7CbEjxmgbMz3AdU8AXZNKeUCrNm1dNTVYyrGv0T3tSW7L
PUF7UPVEy62K1ppvdTHyzmtWhpQw4A8PNoZgtfKY6110SkvWAX/1JrFo6a7KuQ781kjsfaxb8xm9
Wbz9WE+WM7qW0WiuMVxFV2AIYeF1cX5vjmmDrCoptnMVaXv29tA3LGcyv03FhOLSLOp7q19sQGms
nRPhctMx7kbzhb1xSLRXt4ZDZNjFF3ikxgp1T3DBaaQo90tWTidsmx3g2oEg+dDcBwFBJgV1yTke
poa8wlqXWyrEiOQUfM8qmm5M4Nhr7Jn5D1loP4DQX49ma+3McciXuq0+o3VuruQcPwxlNK8bVwt9
VivMuNAIDdJoNiHBUgSzuF+0ghhmKEYlk7a2DkgaD0NGEiRg6K4i9Mmp7G0mK86XMQ2a0c7EtehW
ZNZU+HeKKEQtExZbEWdYp9F8dXCMkuhbiHjRT0E+zaupw9eGQ728r4BEg5kL9ZohoxmdR4mobooi
rb5oYVqs+KrnNM4r0mF6Ke6lgWRxk7lVetb104zn2Evh5kWdr0VM4jd4newb223mmwSr+z26zXRL
JJUELTE2+UbMQmxHiTUhaLAaZ/iLdn2d0o3Ts/jAWH6CCaegvDZzfo7tyiJoIHO8ZjOUoYVAzO3G
ND1vi++U98ZX2NDupeF1SNIaE0ZDXydwrMyyG26CeSrP1BR5+0SL2p1yyegyc6gDhGloaK2bhru4
YTTx3Y7sekmyn6dr21DJbeGocodQtfkqGuorhuiReTUhHP3KNF8e0G0Vz8Ek9WBVF531pC9fSGHk
FRQSN/LHoujOo9i1L6O8Vc8Mnh1/VPVwyJywP8f0nP7AcgHsNTK4uQhbkGzLKv+Zt1JfA7mwX0B+
lEydEA0cDChMF41iBy4IsIa+3xc2e90WxeqkKfvRKmSOccAxCFZg5HNVatNr2kv3i1nKYosX2F2H
YTYvUJgEjXw+oSGIZmCcUF67VaeNQMymhpUsyRI/qfpsVQmpc3v52h4mdhXkmlozcCx3E7bVvGHK
8qBlBKUUioYWq/yKnq2LOxD9ampUz42VWJtUEDSw0glcYtpLZbwvPZE/lGleXqg5M88aTAgF9XxO
YBfDq7RyO6yR7aDlPtslob1OCvcf+g/nzOiE+6Q0rM7sO909u5gBnWIcPILnVxd8FLMbSsXkZTSs
8jGp0/pL1VWj3FcaQ55VjKEhZQDvYDpMU0oaW1PFrY0nrkAICTQ/bQSTog6LxaE3u9dwcAmVobN7
MXpucW5R2f4oKl0A15KEPWvp1Vz2jO5bS8v2KiX3i5iS8gLM7BCBmK3UFY3A8CqhGFoldpa08E+c
mgQ6gfCyScw73v+fqtCZQ/JN81Y4BfFBBgp3etl2NylypI0dZtHT2LQWHy5AZlgAgtu2ssrvtMG+
2Uk7fCOm737uoEzuJEEAG40MgH1Sz6zslWYhwe2ye9B6KHkILGzuHD2DxxEIcuWiTkfM0+Nq54ln
KFra+whg3IWZCry+OEbhhOUee9PEDL8jMGrxuOgls0MNJUo4yge2OnxPQi//thhbN1XoPdsjbAC9
wnbKv2Ju6rFW96hHf8rMba57mlrErAewZFIG21y3Kbn0vHnYw3fhipWuu0eJg9xe87goViCf8dfY
D3EPXSbpYl7YxmOOWVBTTZHwdo7m7JUVmTfsQZ5YkNPrsZrFAekt4cKDEtsqK4KX0kvnddYMLm1C
K7kSY4AMxEG2uTJxtPqIp+p12A/FXYF8hApXo9+cqzPlTvltEGviRmIxRQ4kzCtwJNYvI4RuUCYD
Hg7E2YcAssZ14YzRReakwKcqsvaw3s6B1n1NgJEEUdruc5bbbV9hhJ/VqN9iABN+NkBSK1Va7nFm
ZPeKFXfVQUrZel6v75usewi7OViNUhcHKyynvRqab2DrpY/5jC8WheCBhVTzsdf2F5Ry8jDAj71q
wzql/i2LX51KeoxnqvpukUb7tXWBPLEFIPr0e6kniX5ugBE+d4cg2dAtGXjYWvOhM7VxWuMPdbwr
WPz4qsuixuNtNfBGdnVBG3mNQJm8p6nJHoocPXvuTN4+Qj+8qWhhPQizfR1HqFM6LDlAv1Zz0Ofh
B96u/OBkZo6u3GGTVBNxNeO5Pctjz0C1Yvga0pgD77/zRebiKSfibW0HZehTFeIKiN0fLQzyDSKv
BTjF93UaBr8bxYtkCzIm84XT6LfUUILOGW0irXONH7aXDed26VhbUYMERZ3WXIeB4feeFvyKhOXc
OLpm3raj96sebe0p5NV7hIfcYK1qS/wfXjMGG4TJcqUBcdnr3tihRYKVBbegR0lNB+DjRuj7LqjJ
1AklH9nkGCEXzNvvrV+r9UQpY/qvsgaWC8LrUUAi9UPB7taTNPI/PtwyGHrXaWbYosN+B6D5lhjw
2+AobGrdANjI4VrlPNRmvWcHgAYjkPon4xZj6Ry/P5Rj2pThTFz0487yPP/T1BZzN/xo35r0U9D9
HBVNeq3NDFJ8hb4X2BheomDZUUJp+m907y3coFLYlmlD/v/z6qbSUjMJtQ1psaF96yCTuaxC+qR/
f1G5hUsPW2fw+dbp/u2i2pB8OztnBvM2DumTBUbjoX437KT65P6dGkfYxNm4tkVrDlrE0QmNXYG8
cWCyBJpuQ6LbN9Iavn18Op8d42i6EzugIHlbG98w1eUMsMh283+jcf9Q2/6hrj31cPD8oQvkUXTk
u4fDS9yhMVXjV3zALsNONw8m1NT13A/xl0hj1EJwln4dNvRakTboZ8TKfzbaef/qQR106KPy/nns
X44GELZTdZZWkloQ4n4B+KQEhqS0vsi0hDyqyis2f3tdOZ508WWYjmnI43evprZyp8qq/bwADmCL
6RbNoPxkPXn/glvM0NFM098x8WcejZI83KGwXbLaj1WInrMCNUXSLUwaGpofn86JI3ESEAbQvziW
LY8eE2BA8TxNbumztJGlpbXn1iQfqiZ5+vg4J24TpgLU2NwrVq43euRvb5eoQD96jSz9Oda3Tfai
uRm0h2KJATt8fKT3wmoXFfdvhzpaLtioiiVPmADr3qN7V9jhKh+kUqvR66E59cX8ODkMplG0B82m
tmnx6VByv5KBo23VbKptwghob7bspXPQJDndY2LIHDepECePsC2HaL4MMopBsGkWEYa0jCmu1DYz
VaIOsofpjkGJNhb25WzNXhsdo4jnT0504X0erc2MMmnuI6PH1OUcT/2ybNYsr+i4pm2knr280K9g
z9zBwohf8rmThy4D0kHM19dmTEMsIRMbpxFCJWnVscN4xqirlIjLxxyc2FoJ+HBlDi/dJSOG3WVe
pvW2TRfbEf4ZrH+JhRVmKBE89aY8aFhV16Nd2j4DrmGjlGuuOU6yYR8vL1IbLUMCTms9sl5vvHBY
zzIcNzZn6HG1cKJhJ2/17xKt1icfrRPPmukxjETB4rh895dp6W/PWpD3NWPYieuSaO1Fb3jWGXd9
9EPAKRDGA2vwP37k3k9+4dkRxORgdkDzezz5JSm37we82r7nKsSwcUkyCpqpCwBTah+4QOYi+i8P
iJrD84+PfOL1ZaytLyYKGEzvxBdNOPVa1ImCTPtp+tKLwfhW0/R9cAyRvH58qBMnyZSX1YgND/87
nqEzHKHonLrCz/uG1iiGChCgVUeWYVI0Z4JsGnfdMmXDBWnSufv44CfOk7pqgU68scSPfRxQvzr2
nkXht3Dk9vUA534MmfcmU/PXZYC9LFKGRGEkPWdxrfz+8LARbENY/5lvuu7zNBE4ZZKrw1tkWX/9
mFJuIJhCGIUMQxdHpVW1QAfDvssYLnbDBueHj0jyehgcsWP3+fNvL6CtL6wNc7HVMNM9+qKEcVYV
dlZzWk5u+Vo14TAH2WCs28xK20+u4fsXkINR2lAaOEy1jj9fNQPiSHQ5Z6bZD5GlPROa/jMZrYdw
EJ/UIMu7/Gd9yqHQ5whOjTXfOTqv3IpiqGhMY60q21o0TLySTB6Z9TOCcjKmM/OzavT0ET1KUW8R
wLnHnxe7km65HLE2+kPqVS/lZDxYCxwS5hB5Y5158fe3jsJ7Ydd7fDqPP9FOy75DBTL1ta47wGDz
bTu9joX+yWHeF4y2DtRLAm+RVB/Hyqre1cc45p/2e83UQH2i561Gvogfn8z7VYSjGDrFBtYsWNFH
Dz25zWORJEa6QEeQ0HcuSYfdL1mI26RWTNVIY7Km8pNV8i3r5PgpWRYOUlfh271D/wcwKjz0L6nv
OWigh8xjL15UKVFhHqO6uWCS1U7YlFZaaafEoszAEwu8HHs11uFZxjBpN1AWzZNT3xEPmW7CqqI4
WMoCeGrOOdoY8eiZg1hICs4nv/3JG+N6y+bHIMn6+MYwl4wy2puZT4uq2CYT+WHaSLPj4xvzfoXl
xqCrlJ6BY+9dyZnbGC6LsMz8QkmEw2Xv66nx4Er1WdVy4oWFOk5tyzok2MP+ub4SeGMVVV2wEI2V
xTQ7iDAx6ePu47M5tQIJSgDXJOkB1ddyTX8rAeZEN8ew01IUBOQs95LPFLH0JL222XcwJH9fRbNn
RCbKJwNDJbEWfx7OVbHA7MArOqXBz+XaNbG4zZvg+eOzOvXyLH5BsiIRshHJ+OdhxjYtgOHx8mSx
496kC33DCJyfdFzLXRM67o8hqxJo3qL95FN1as17S+BAQXdi00P/RI8su0/9EM+OKjRyfYlpSp6q
ZL5nuf7kaKceeLY9Jg87O8t3asGMc5SialO/CoG+5sLBs2km2ubji/nGfDpeFLiIBHzZhoXM+ehL
73Xm2Dn03Xy3G/SnONLLnYbieBUkVp/RoJfDY2K45borVX9dT0V65WTS2kcuwq6ZaHWmSwlI9hrg
K6nBDGW7Lvlsd2ucvPKSHTZvpoW/9uiWN7A0nSHP+dqMNr1CVb8YaiGBWm57Fkv3uRvpTsgqopNZ
kD+UDj3pP175LWKsO4tKHaoBSC5dJA9kkgbTLuI8Pr6QJ941BluUoFJa3lIf/vlUZpLfgZzD0h+K
+Wc1G2qnVyiqgowh9vTy8bFOXA54YbzYzqJYper+81imgfWR0A1K+8D4qdNw2OSO/kI8VOFLr0i2
aIbVJxXGiZfOMGjbU9HwxXpXYvdNNsHqKTm9xPkSxaG2Nhnd08xs5pVlTvVj3Qz1hpFs7//9uRpQ
WpaOFAXi8Uppk1USN25b+uzVrkieJ/KxyW6RJYerKA2fJtcJ/75u44BLGwBvssdSdnR1BSOH1iZI
S9PDeo1FjdFkYanbofZyPxdspD8+wxPfHI5HDWXxYaNYPHoD86Cxoxjwtz/25CVmdjNsdKg9GwtZ
3H/nUMShgZmjYHSPP6KVtGOVF2zRDK8sbvAiws6USpzHnWF8snydekYtXqjFh7BIno+e0R5dTDHT
GfDbvHvoovLVcaBDtty/OKxv3a5Qf705YgHDdGE6ONypEI9umzHScDfbufDnJXlOl8NdA5y4og/w
yYFOLMxoi2FsWHSeMfAv9/O3r2o1kyGvB2wBofk/E9y5d+f64ZNHwuLfOFqV/zjG0TMBpDNNbJtj
oOo1VhibiCVwWufO7ESwIkKYcIZQB+w5NNWmhXnyWA4N9i+HgU2Hs4nmX4ckqogZ99gjMhiIhdvB
nTIYIKo5kKUb3ZpeiN1pIhwwqPRin7coNNjdginqw+AscggtnfWRfEejQbCH2cu4mz3S//TCaNPd
Qq/Y6z2xSmygxvAaPxPVYUkEcIFd9joaZbQnlmkiQhGdVm9F+WUPQApmjvcQl2m75gqnO2AkDP4j
1EI+CiVijIa52gZd5KAYTIcL+MsEMcbgsT++vKeeTduAgshzYjGnOHo2Rd3WahI8m2gFX+pRvbhR
dW1b2s7Ky22gYeL9+Hin3nBqboo92vco44+O50RTUcOmK3wcrUvP6Wow07NBFZ8Ur+/9BTa9UhT+
9DJp03lHh7GhLcJq9QofJeltRRYjwiH3R50+Mom6ZCq9BlvzLWyKT7ZM1unj0qXlirK5Pi7IvCqv
cQg79ETKaf4SjcRmuY2t3aJ21zOwZB57nNrJg61K+xrQDUohrStYyKG+nDlIfZ1k0M4snQxTQ9nF
OkAdxgNX7TF+MMbyku+OgU93GNEDpXION5CNBb0XOW9CI7g3U7tdu7NTr1KVQGFTM6HxCb/PRmXV
K8Jv4yZ583iOBMPj6OK/57OzJhI72UpNmk+15Xx2K07dcWHxjHn4EbghyyX7bY2I9dbJi7QvfF29
TPheViRD7lND9Z88WafWot+Oc1wY9VVPcCGYRh+iJoZC+g1riBfbjx/fU6WNsCS7VdNayAfLL/Hb
yeg1MdG13RQ+QyciDwlUZTP+XKYY04Fpf2I6O3kw+pXsWci9e1f2iobFqMh4V7RIwNgoZ2h51Q4Z
GIJKFX9y+U4tBGBSl4BtLHvvit9smiyRIKXwm6S5NVsJ8iuYnsuseVUx5q1IfHIljVPPhWSXxAYW
L5U8ntPMbZVxfanTkjGLsHqYxsGdm+HMpBe/KS0tgsZQqzVhwNZdDLDKn0KUzWEZF5duCLmKXJjp
UeILQKMdhPb8yfU4+euxINJGon8Lre7POz3A6tPSiDJnqKtXywufIrO/f4MJfvxEnTwOaDzU7rjX
3hUHLeTpqEKU47MTrejmqJcC7BpwxOaTD+mpspXmFO41ffk/efQeWoOHjBsBlq8QjkctOrehuG1K
B7+0cU2O4UOeeZ80Kk49wL8d8rhgTWY7Q6ij5z44nT00g1fPzlC4ikNTfsaFtk49v+xIGZJRPrIX
PtoXqcXzP48SSKgyp28qqn4NsSfWfUaqAe3bcK1VWgwrRy9ASS2CY81Y5FkNyh+vb5/J24ueg9pt
/c5Etoy1BbNBpJr7cCZgzC0yKGpB6+5GObhPrsOquRJFi2pCa0eIMEtrszR/6QOgU1m6G9J3viWQ
+vEkVltM8K+x2w/AXq142+WTeV+hvORjbzqfPLWnroK3OHVpcfDcHg9gQSO2bYFI2Z+r+WxWswFd
0H52gLXSM31W8TR8csBTt3ixZ+AYlDRbjy97RazZVFMM+XHtaYhjIJjuZna/GysMSGkDq5c9ffzC
nDhFvuuL29jDiPNud+mJyc3h22Y+vEV7GzWTIBaHCm1KyvYZ+usMqCn6/vEx3/QaR0Uo2huw0yav
KFvbo6cr1ADUCjfLfZHP3poEBXFvRwbJENbknEdllj1VJnm5iY1k602n7EYqe8o74sIVWqK9NgxI
Zj/5pd6P+2xUCXR9llVbvtv7hqMzV0HPG93OAXo2iwgTVGnWrg2allQTQeK4cJBPOdnWAxxEKFKb
Ir+2jc3Hv4h1Yg1bfOHIMQy2OfZxe19HGgHjOs7xLScWo5FF3Bxb2XyLwLJwzrld8kwlSBLxWbSQ
aWgiG1rOHJVImP5msAZ9N02B/iWyKbxJnNa/UBYXhB7wSGGbSHcoe0jt6qLXCUUmS3a/tUUSbREM
2ptGK5QfiVpux6iTGzc8N8sULrFVjNe8tjhRJl6E58jtvEOmy6/6EtDz8QU4df5MwPCgy2VCf9w4
ot1GLpKyOP8sHe8j/Lk+ITjxc2xo0e7vD4X6Eq0BbnQ+G0cFCEOnugZ2k/se0aqbqnYXS89YpQcv
ysLnj4/1dt+On/ql+2uxe+UzeLz9LzSRdUMesznogR+voDNNOD5mcusIh+k3hcyMc6PUgxs1gv03
TS28NZUGOdnKqn1V6M3Z2y/0P/iGT/ANJp5s87d7t3lRL//w/K5e8tf/87+vXof/dfk6xj/+SAv9
58f+YTggJf4XvTBqcFqHlBo6S/k/DAd4e/AYLKHz6v4b2/cfMp/kh5go4w5glyjxo/8XxMEy/sXI
iyKYml4uc0T3ryAOy5P728OmLyUuQyBG9AwCMCgfLbE14lpEXUVy0ZjMrl/QESxiVVsqm9BZjxxx
kC4LN519e9nm2llpRpXTYCaVhV8OMZIzrZ1+NlZIQJimVw5+1amfIRcL+Vo3mdzE6MmauWaeEQoE
/XjLh8m+19podrGK9J0J/v9nhoMQ5OsUQrrYpou+3rvWYw0Pcl92vYH5Raimmu4t2HNqLQbCNr9m
1pDFyCBtzexQYZeglg6xq2GTdCXC9R5lJV7ScHZS9KWiJ9zSvY+IWCkHTB2sKiYMXRt9D3zQKseC
RHFOZkfCW6Q/w+FSc7cvqt5Fc9nqaDrOY7Lgui38th/kJTU7WVfTjWNmhVzP05DwozR252+8fzK+
/J8X8P8nqdekh0wd8l8sj3cv4OVLM2Uvxc/fESr//ND/S8RwyOqVizJDp59Dd+4/r5/0QFzy/iEu
YKTLK/ift88jRoPdGB/VZe/8O0LFkv+imKe/wbTDlpSjf5XWy8F/f/k4PDOqhVJAR5R9+vFnpdCx
xedRCnkkNJx5FfR2cYGgYnrMgYNhN3A+45Acve3LAaUliYwx+c3fj3QUE1dIfmLyx5H9pk4e61qI
4bNImuN2DEdBFr9QNBxqk3fVqWJU3tcOSbsQxWMAcmN9m5YNxYkEd6trQ7YyWnrMdp1ody05jY+/
PQM3/168ftdDOt5xibbs6vhyokV0Tc75uA/VdZMLuFIqHzRTNu7Ippx3mYwwJKNUuhjNqDmMaOXb
PW6E3ACgbwVENFUxW5UWmcN9iSaQyK7AxVE8kPYOoQ1jkDsP6Y6sRv4uHqycpFV4x/1qrLDo4udt
CWFH+D79orWX3lmJm25mTEF+ZONEDiSxjYzQ6i94emHc9zkuzio0JlqONcXFionH7Ov1aDwgiq2u
moGpL8ABfI0WxIZBtNWLC4Vex23RT78ils9dX2T9U9YBRmyTsbgIDMAB+OMAQQ+lWVxEgc78KZ6q
r0ao84PDGHsXbT2y7gkR3Hm9zNWmBzZfnnGpihzums7PBlQ/1t4Me05Tly0ECUxiD1M5uRs5ltG1
gz+CvqjHeo2XC5eLjJvbMutBefWLVSJR0l21AmnebI0xncB82FhB3BzSzqxv21wFBzRx414QBXpW
o/PbEoLRPyV63j/VySzuuTvmFkmauSUTM1t3Yqx/TOXA+yAp/eOhmB5BaJRfwU9yZ4gv1X2xQC7k
0ODBU4V3IUB1+nUdTb8GXGqPesOPTHrTPgtsEhfBGNpnOOeMhy6b2buoobgYy9K7yHO2OBuS6e1k
Zed4aFaCfDQ+WEROtFWQrck/NrekGaR3lYjwnBghcnmzbEgX4I9hikJ3HUInCH1tRMpQ2F0N2o7X
2dXUtBdxl52VLjd3ktUAcCvJok3LFw13EWnGZxXWUFqHBFVKchP2mhGkdyEa2p1wo/rKRoEIjCzs
X2GBExSA3ZXmta6zaBjlt3is+yfmjfOlV/f8U1Y07Stopitj5Iy9QauugnR52bXaudZCvUdTzbkQ
IuKtlEdIRI+ph7ThqOhfjTSe9lNs2tehzZ0IUG+u7KIidUIDgLYB+cB1TcPqRWYen3scEAlJv1pc
YHAKgjuhB/UP1B/zZTFE06NJJbsvMAHCCK3THcha9VNPhPEAvHHYRIujytC4tsR04qvulku9PKIZ
UXGvEwjW3YzbiOzqmTthC5wctsHzDzqt+pqFMjhkbfp10FpiY+MmJ1/ml955er+KtVyQUBbk5lnU
Ot+w/NcLPLZ7Ck2eTYxPabw38SZubJsg8UD2r8qW1VWVODyUo9mvx4gbha1Z7YLarq4rwPfXHtz8
646QzYeCgI+vnSNIHVQ2T6vEpE48b/nNouogtEdz7kd3civs0S6+6WIoXyhtWnS21gRFv/HSzdvJ
uREvQVu22t04VYXajHEyXzImaZ8r+mB3E4hxl8RDro+hDLzeWZJT/eixr0qTCIkxGOM9XuXmB109
nduUp53E3+PWXyhWvAt8+xL3hmnVV0pgrzafmX4Yqfjal8WgfsRNZ3+N8UWlod9bcwHaX81asUXp
OhCZQAiGcxhCq7PvcEbjkV3yFQys+etSdBHR2s6IbreexY7nkFAGxVQMIDspuDuSU6660jNX+PO8
g62lN0on2aHUszvN6a7svMp3OLic27mhmevI0bpqnPD+/7J3ZrtxI9m6fiIWOA/AwblIZqYyU6lZ
lmXdEPJEBodgBGfy6c9HVffetlzbRp/rjQYarnJJzCSDEWv96x8SL7muUBptTUD2Q2ov2bGyiw8t
zIEdboKETLjzZxHi8+4O/dcis8lfk+mXeU2kyBYGstLq1Zkw0nFXesMUg1B2Xy1Un7tUtMSVkm8B
3d9CM0/mhYX9f1wGXgqLiEQMd83GMCI1zDHJ4Cc/D09GofRWlJqAP0Ug7RHiGzIBY3JjVE3ephIF
Q4GqLL+naiHYERA/wNrEnePIlffzmt1hV0Z0meOhccWMbEQ3xguL8Nq6FERU7khHSI8Lc63YtgZS
QdZ8kGpNClGdE+7I2bZj5YS8lnI1GjFhCtsGSSOEEEeHPrUenDWFBHSzPVtv0SQ29/5L+xZYQkoC
4SXVW5BJWnbkjijiYnxrfJFr3knfktxJfnkPiTqyGFNEPirdNSNlJizFqcf+In0LUOEAD/foOUlV
sWFW59LX9/AjLISlRbuHNplhYViQThiF00voDTCsnWK6lNMq8FkjXNAKkebiT/58EYlBjDGUknAb
rcEvweA6tGgOw1jS6/ekDJEQA9BPWszMJoIlQaHsdqN4r67cNVpmXENmSG6xj5CWSLbIMt6qdpcS
dEJyCitw7izvpPxm+rCMDg6Oq4MAU+DDWG6dwahPVuMvr2qNuUGIuzyqXBFZa7XRYVq86FgRMHQr
1oycgbyHU4GjbuzbJZqrNUunHDHybF3HvQtaZjz1W+hO2qBHNlW418bAkBMrn824BvSQfZY/B36K
WH2N73HXIJ8+Gow9Xso1TPXqrrQMznIsmo5COJOzgbq8TY00esLrxrooBSue4NDsGA4TFpNj4l7V
QO9kN4/GfUWA6rWll/mEUTBCU4xNcRvRPjEjbqqv0f8E52hCeEI22diQpgpxE5ZcVlypdrGOinGn
xvHbby7LJXE+9bhbutgqE5a7sUfsUbM5LcI4t3Lzm0LPV2I3Ln2yVHNzIKtcR8RFGs1Fb5XeJ1Jj
hQCJFfnZ7dL2S+Xkvnllte7ACNySmMp+QpFn4t1WkLqK8Sw0MGOSxT7IvOFznRNN05XjWhcofYfw
rdyilpGk3WOte4l/NMR59MF5wPKrSJ1xhuYc6bZ2obiD3GNL7AlkwpiixzneAzeznYjDkkn12Vah
0cb0jMX6bMzNW4mU5w7nEMQmTINa3JztxGNzVt3XUCSjYlgJhrU3i5YDB/r9/B0gK2SAbyT3irEf
70BBmRAkJDtsU6+nIMpEFWsa4psFE4h7o1aKryucbN/j04nQl1FsXFHkZfi8T+rzRByk2hFNpJHe
czqjS8CN+K340sK2HpFst19JYMvDre0RGr2xqhXOnWaCtShD/YcJb9EWAbzW2Evg6LvNM7s8MjmT
5xL/hYNrtuO2qkkS6po8zQkGslG8Z17L4R5VtXEviQJ+EraT3qQVlYb0fHWdLm+fItLPDgbIYpNo
vW7KSzV/73Dw2ogooDyJtLZu2QblV0f5wFBGCtzYUiae/JSNaFM1fJzV+eEis4z+ibBvnp2ljVDG
JgljF2nlz5fmkPP9+2Hcpqsqs6bY+gTRmxZ7Xstf5Hufgm4qMQXhK4Cswnyspvk7Sh9xQcRUvZO5
iDaWGPGVmb2ErNNaOSX2dZH+A90IZPuX5iyA+7YSfvF4WafmP4+ivN6AyzyjDpuQvsb4Aqt8p6to
Jg2PFFUloKRHmRN8H+x5OGAZlO4Ny35FnfIRZxKHKTvHlEG41rZHknA1NLb7aVDYCojFKS5Ns3Je
bEiuExo6JYdLFPzhMfGtYotH60JgNzey4hGSyIHVlElq3Q6jV+qEsorOHNzLXk7OfAlxZ9w2GuJ6
vT5ZG+uu+yFt/AfDC+bvVZiaWApKl7Rwp2Vt4wlIvTHW5bHvWThZUlMr0aRQD6YF/9HiBjz6Bjee
NcSGGmkiC+tOQljnWSIyJm6JQgqPfzxssc5/cJ1C7QiVVtcF3KJz3mvOfotWD0eZ4SldDBKWIkCS
l8bpC//UlUuAyW4yptwkIVK2grabCNArMjPulZOUqNcdHK0xiwPSbN0tX0jaT3WCXVWrHYwSAn8p
0yNmyWKbLOu/SCikkq2JzNSPEwHTdYAQGNqX4F4t2mmHFER3pJZqzCxfw4EzvnFKijd+8B6VICaH
4iKYMP8xZoor2hgTOScFYBu67UcT44UYhb0Xt55RN3FFQNTVhOQfGa+rPs95X+wb0YmLfuBUM4tx
OWCGRiFHbE7/1InyJWio25fJUp9CQrAEMeqEs77du2gVcp+WZQXfvcy4R9XuHC1e2LvCGcRFApFV
xligl8fOC+vXaTbqV3e2ENfZpW1v5MTzdEhru6UDCM+zNrGuGGm2/FK2H2VFDYnjsHM0p65+6daa
WmZRGWdVh7mzu5TEIKF97PfWklZHfGioFmXgkOMjgrvKafon0yKXmPSb+tVrG3GB8nC+VBZdy5bE
Y968rrZanJFp5LUu1XWHcTYu0+5Uv3aJZBIVdlSkiesiJ669hXekNXsc/Yjie4vz0V+Ig+auVEu5
wZkJY23hLgcIBPqklQYNsZkkbqZo3bqyCjsrbyatqaxs/QwHPDxbI+0tVmnROSW/5yTmQJ79lBvH
sHW+kKbtxeSLDk/MgGmrxllchGvnzYhWXVcFfXkgaE+Yxi7fQ97SZSfCRX0q/Op2mAL1ues72hzT
S28s6WLmMWaM5l1+qTTWgmX91JMbAR6EMOeauGbgeZ5BJI/W+qpOdLIcJMW4VTSpL56eMFxsyN/Z
5Awrd/0g6EjXpkFMJo1TNrn6zpQNT6bOOQLe9kAlU4lHZ2rP+JWHLFWKDfppB4E+gBbfrgzmyyX1
56tpANV4W4b2mlLB8sZ7beqN+cpN6TSddtZ3b522dFg+iPDK2MdDZ4OhUHnENkccCHqo4pIB77lP
ML1+a8uM1OA2wEcPYoAebv0KoCwCD7FC0YgTbf6dTJf5auF1k/E0pxwC42peGKagBqaainut4H5t
KDyi1WzOg8KLWZTu8dfJZMcjTkciGSY81TYQFmya54VXEDYJ0EfiZ8AuhenFqjfqHS7ctJEAJuNO
4pYX48WKAR85RQ8cNGYD4MA0mWEXSAz2Rfp5cVwACq8b9RfMYsnXNrv5g8T4Y5PYTXk01qYWKR/b
Gp1UQk4oHTJSbpMYRaDoWC6C31TZNNl6YYtzLC7/1jcH+HVdTQWYmawz92iYxjfTXNYyJTB4fGXF
IaVbmGV/L00BZKRcWnJZE31nWqU8q9outmhzwnPYteRnW2AXVpuCZcBblucRLc3N4FLhxqnZsbkb
dvsVsV79MqVNuG1MHZ3HgH22HjNuYebp5ouJiyKmBgVJMC1l6671KYvI04jO63rWzboNo9hqL8u2
BAmKRECtUTT8eNTp+VLAI3rMVrRxZB7AKUBh/GKFLAl36duvvU7q18xK0pugJ8TGatb1g3ULXizg
P6XP10lW1OGtrAgjkCm8bor7ijiQ/eJyTPrw4B7fzgarA3rryRq9Cdjy6fcBrwbDc2+C1PA4KsYo
POuIO6znwn4cm3mIIzK+Y7+mAnFpQ+LMz61H5ePOJHoeZAQwd5xLU55x2ZRnz6Z4qNZnkFEvfWph
e6p9A+S/rUaL3cxNh6d5pDxRJKWfzbq0H41Kstmyjz3jzaU+oR1KTvSNRKquUMzQARaFGFydUpmN
23wCyCA+b1Yx5WWxT8OJFVJPGDt3FJkVLzauGg7oU13yUszmUL/gbw8wOILVOSKhROsoWBxsb7c2
oN6Ow57F87bNTgF3g459vmxqN/1INzWrzWxXax3XTnT/jTPdNjTLH1RAtWSQ9THHA4klN/BxxEU2
8B4VEYFspj8oamuHtWaYyf00glPY5VSJoyQO4TSqEvBm3SpRqtm7pnCKG3xMsT71hQfagLuhoyPO
h4xWlXeyARVEjTJfoVlBYqWD/lsgk+mi46NvpC54cUVE8afKWn1uq4aSQ7dLeczJZd0IJbIbLA5f
hsHjri2B4RxJFOFVGQruQVeaVKHDqJ+pSnJ3008zfj54pUTULb0nrkcs+azNqCknSOp0CPId5u3Q
88DnEOFQYQNlvv3j24s5VzlHjGH1zRdv5ExVHCpHuXTTLb6c877KcnFRjzUvtHD1KQ08NhmGrOkN
ajK4JYsnlivlL1TCYzBjkVt8792l9ndZS+PwBtAFLd4xeHzej2sVME+aUljZzIpo4PjG4zEoiXLu
Q/fT0qQZliUg4B2N7K73Ai5W1H146pLuTwTP9xH1oNwWEgroCAEaZJzZ11HDDxS5vnbqSqHdOrgC
cDjGJsK7CfzO3qUdtn+zy9aWRRTfXWpOt0GKNDZvPRyhKA7SRNK7SIJRWmeYL+Wo9HPfu+4N9p3T
B7aEZf97gP4XXsf6YVe/DHjZKGh+sbxmwl4Eg+G0B0M45mYgWPBhVvRippVnN0bPewdaQSFqDTRF
uDpSWgFlnApqntdcAa2+Pezff6g3zswPk1DuoAN3dY0oh4/n/sL7S/F3sSORtoeqcjQLLXJW85Je
n5fRGC6aps+2dO/LboYMQKHTA7LliqcbZGsnhyrnPh9ZVMje2Q0Sr/5KukRwF/oprjQdjrmJ0dR6
ozvvjwqaXzsVsj3enn4Ah/8XzVhjR0WdpkZ3SA1bnxLoXityT/Woc91g4blOIhwdbgf2xJd25hSR
o6Qv7DvvX7OX/+UK/IkrgECEV+43o0rxBVHKq/xpVPn3D/07wc/+i2HZjyF+/8UUiMy/XGYvEcJ2
D96R6zNxIwBmDepzw78QbTDs8mlSWcGreONfGX6u9RcTfaSk4UoDhijk/SdMgfcSKLIksKh3wRJg
pbiIN97tMHoilUiXrXUpKWg6HQ9pJaZD4629SmZKuLJ1NmNMlheWMX4QE8JVmthMUZxFynvF/1fa
Fsgesi48o3N/QTOOFpr4ydTWBu7FiSRHlARc5nI/3Ol/GAiun+yHN9smhQOHnpWYF0LgYdf5eW8M
W/KH4WCS4MPmd29l0og9MmvO8xCYHDBzUv6BI+aE8ETeXRL5OvYXHnWcD+lrHcT+sB0bosRFta/T
S9+PznUXYM9YDihvLhBVpJqhkjb0wWpM8CJUPZpUcncIXCLQ+yHZeymGdsckYB65WQZE97j6Jv1y
YXf4qoZSgOnXsp9u0QJaj6VtdcuFm8j6Mm9XM4BUSKAqq0gaf6MJ/ltiD6MbapWRFPFLwx+m+3Jh
N7DJunnFeLZuN7kOuVSUJUNKFnuSV9vRSywbtwyjDWOfJ6Ljqmv7fg89d76afSaCDWM7XNuc0sPB
mRnPjFAKJ4IOS9UmrAt8XlMxp8TyRWO6s9ZPbmZuycAgS+1HizZl2Yig5bth56Y/GRlmzqk/8jEm
vM4nfMJt9ckeRvzH/NrW2c2UVXyiaPac47ym+H5oGDHDztcGZ4RN/m8LAw1F1TW6jcAgZHz21bNN
UZiduqZl/aVtucSGjZXW/dJICj+HlN+PKrQm48WxO+6caPHnAESup/rYKMat8YD7y4LlG8jOplQD
f6t6rO53mB8zMJ0WDZhgYAeWrU045JYay1ewPjBwAukL6b3mY5o89bMfPQ19w4/T2+DcqJGlwpTn
V5ut5iaJ2eUp+G7Xtc8ZU0Z1cBezqnbcR6ePPeFwW4RRUi9NHkfJw7zUPNZhdca5hClLkvKyPpJg
vTkRRn08P3zuLiNtzBYDjM6Ao4I1xlWW4jlqhCagPRY202FF2ELad2EhyW1mXsKS8RCGjijQgm09
2OWO2VhKYqUmft0ep/mRkqK7NrwIN/sqx3mVmqlnuJV33tU8p/6TMQTW9Tio8hY73fTVJrTpUBul
G8bClsGrTIvho3LMfAJ4YMlmI+XIAJ8njLMcgWVcYdc+n+zJ98CF6iB6MhDLdHe2IJxt6w0BywbH
O27vKCq/uTG7yYN66aWGhCrca8fCjtMNs8XZ5qxI+8tYTTw74Sh3/D7nc68+8ccq/66mcboXlUkj
5ENXjOuUNdJSh/dxRgbzI3N+Hk9ZGNrfGGT1QVwal7Ji1FerT9wZXq4AL/jlolD1mOxb01Dtc5t4
0z3UCF4EMqW4wcKGZH5RUM9eekyz1CaZ2uaQDjnYTZ7Y0y3OVPpAav08nR2c5cnXqnuu4mPgsiAq
bo1oB1WD+0IWD/11j1nwpcwKu3mEJWUYT4QXLPrc2Y3R3M4TcwLSCx2236Ua5+iDcM2quE8IpzqA
HTY6TgbHOS4DhM/NMlfcy4Y5sognc6T9jKKUG6FAaw9JGcKbcNlV8GTVUD3it4VcTAYPDk9r3mN/
WF+KrqGB2Uwj0B2beW0/it5gCh5aYeY/T2XY2zd5QvkDKGC9hayN1nXmh2RkQ+vlmkaR5hPGyWmT
vzRWAzC4wUG4++okYVd8bNghLCIQEsIBb+pKSj/cTKmRRLugxGZ5ZxdQzDcguPmp1QHPvCsb6zrv
YB58DAnOLr5BU7NtvXFnEid3lTnY9k3F+bMQAN2D7R0TaYdYj5OEaJrHzHagg+FJAm/MQN7GWH2h
zxRpeC1hoT57Q5+s/swPATpJwjuruv8AMcLYUaJmWxZGGzt9mh2dMkrgPGCquKkEBHTLsWZyNILK
O+DD76+yslwb4mOauX27d5XnS2Ic1ZxINpn6qFRoPrWesmOnMl8MOYhNJ2kSC6KvNyIbp/CAmWn6
uWyT4NuUEuQirUbeYN537kl6nXdF2Ux3OOGlL54zyF3FIbVl8uLchzqRL5abVXtbmmmCwQJZ52YX
NLdRioN0oAqsjUlgKK+ESssPdt4Gm8hsu/1idNjMDRN6PSyXMaEd1c1QLtXZYxC760GU7tjW1Use
9dnD4Ja3Y2BO+UWjsdbUMw6IZl7Li0HU4iFt/fIDYug23TedZAjDAbYtC72cSlIN93B6xGbAWWYF
nAK2vcGpHzl01LP0KpVt86WV+1CY9ccM5hK3FgdEIqG8XsY+Cuhr5TNMS8VQYQActN9FEzTbkmbm
YK9a+RHk9Bo34sDdZqYn8XCdKQe2bWMPl7qt6ouw1DOOWKVTH1eb5H3qWXd5UqsLE5rzFkdH9Qxw
okZOqcE/SrgAw26ugv5ad27yQLSsf2G0S4G9JioIrJmWEI61718bWacv2bDnA+Ki+TgaVoRQoBh3
c9vgTgzMHet+zsHFWv9xEMPy1TTL/JKI5uWykU30p1Cld7IUSiIYjqskBZYWEv/3JdFMLGYXNZ17
AjHjDCOfhiOGZcs+JydiCuBa8FOxUQ382TRyXtLf12Tv9AR8AGit/A8SK50U6N/PBZKuK4cIOnCV
qSMYvpBQHMwRiinGsvQnTBrry4Rt5g9Xfcd/e7vqSuGGa2fhFPWeGOYmSxZkoxedNFjFJygo7Eyq
sylyfv/t3lHT365DQ4blBeWmDf/35283ZDAk2ihNTm6xljiB2XBorHC3NyXsWP/5xdCc0PZTocNZ
fHcrLTYRI6UKPYXlGO3qFZYkk7OMDdFHu99f6tdKGq4iiDnNgIn44b0rk06jQJEtgKmqP1vXcoW7
PBRODEu6+rJdJTj/8fVI54YDjfexDzfvHTsZ2wf2jbLyTsuUJU9/n4GSCCkRe7KlHCL2ldv7+2v+
ukbCNRAcwdYap+S9F/PU0tXmVDKt6nuxWkMCWE3W+CcvnH+8CrqFCPOVlY357qGViT3KRLT+KQUS
PcwCEDII/6gT+qergMqF+GdF8Fzfv2V+59jaM/guDM3DrS9AbgGW/z+ekodHCIxSup2VXvrzai90
pYH50LTZCTA56hKeyTBD7NzNSWddd2oalj+0dL9uH+zpbCF8LdT9XPbnS0oxJPNY+u7JqBP/2QJS
Pi3mQCnSo0bdSZB8e+O3C5vX7xfHry82IpDIgclnYrLxy4LEW0iYi8K+v+h5uRJSkS87fwi3S87s
5PeX+oevyOJA10INjvjp/V4VwFTiUpUN7rsijZVVXy5tB+3NZcEUawc3ravm9xf9p++H/jNE++/9
gz/ZwDTKyUh7PJU+YWKycp1jaYbZBY3OH1+0N1+Jn/tyMLfAw8MgiILw1zctC5vQ5HU+kckNVJxb
lYejQGCW92pYGvJiS1hmyUyZPI3UdSO1Vns9aBgxe5fhMM1F7b0yIGu/oqx0qDoXWWa3YeGrP1nh
/LrvMS52EKSym/ukEa7v2Q/tvBTeKKCBsMIrhwuJhOFCPhkcV7gYsdTyiLL+90/iLdzy/d3BBQyv
jAgmc/jebywtwUsSjpiTERrUulPo0D9g9wtbpbE4sTKVrOs9F9a17kv9CYB9sbaOiKZ73dq6xA+8
X/SeKgkEmrlxtv39B/yne8JO+WY8y7N7r0E0NRzkIeStr5aQotv08hcrNZwTTnZSgNibf4Jxflmb
PjmjvA1AOSxRyHY/PwQt2rXoJydhcBOs/ZnN55tZS5bppOjGf//t/uli4EarZgfL41/WZriQtplq
YlYmDDZucwmbEo4BXY5nKrqk31/sl22abxaGwHQmagO2sxVN+mF5VYVhqTYxZ1JyPBrLVBCbvuFF
pEv8/YXsd1Cxje2K469nt8eXQ430biGTAyQmXwUjB3iTtbcmPVwfG2Hb4dGA1L29VPkAEuKmjCez
MatIhVSB02x0uR6DtZ7uMwKIy40x0izFrcXIfAma5mAaPlAWqJezN3EypD3XBc3xW3hXJ6GuVf/p
Rvzm84XTCucankzvKxFBKokKqrY92QvM9BH71Utm9OIiNcmi/f1N+2WhcynWgIuZLZDeLwZATEzs
bpgYXDYYVjMMzPn+2ONEO0z06ss1UepP+OF6ev3w6mP/y35IhCX/b3kIV949JblURJw0nnvy9eR+
w/JpODVuEj29ASJ+gP33Vi+l96GeJvsPB4D9fom4XBktpe9wZRsqp7c6w/ywGN0y6YSL58nJgkNc
LdD+QoRbFzMjJcdGRZCEn6EpFe52qFurvY7SmjfQaVJxsLsZxgJG9PO92VegiEux4jUav2Hq+r7h
z2/zv6by2xz+oCVuAxKEJb+JPL1DREZKDnBJ+tqdl7fLE6pijjuDw+Bi7hoCe4ZmVu2Guel0640T
0FibFOB+BcBRshF6SFchKtYmVxjTF83WtIrqbgRtuG78zriYSHO7xSXSWC6I9CigXHYwe80Awin5
F7lJkkXg9eQbuo06d4ULLzcoMdvZ1mitaaAXcYKxY8WM8z3S9nor0/Cde43HN9i3OUDydpZc1rwz
GJcuEJqs0vo6NuSYnXMDdk8cTWoFQ6FXZrfDPPHnwNBLffRJ20E73JDlc8DBjqZE6oW/XXTwr+Jz
KBKQl6hc6xqteNcyWXpITSTZ73FhYUVPokkzRcURF+TpXpGXlN1iJlOSqZHqobtrnZYHYiu8lne1
Vanivl5Mzoum7yy9x1Nlui+wST2nvl8X94Gy2q9kkPEtINJ6yzfHl7171WhrhaJGoiE2EFf4Qb66
9+oxTcKAzorcaFfYuXseVqooiAaMXjxUSZLc+wp21RYcBOSqWzKA8LCafWc3OAm/sfezxPoMZ1ce
9ZT3xsNEktwS62Lh1IpM6QLhZKXT2jdyHLzu3hLk0GwLlkt2S7sI/8aaAwichsG4dxialqwoBvJG
vCgJAca3VxehBZ7QScqBFtcORhGc3SGxxmMGZSXhXLUGcV03JZhWiJvucjGh2LY3RPKAMqa9OTWP
lvSaEhaRxwJD+06mhSEazoa3OgDMntUHHQeoIfNrcDMmdhD0yAKY8MgnQWf6HnVLcgvZbrr9G4Lz
yp4P42SIftzc9l5FkmXJriUdUx3+fq18m72FvDLnOAYoil4llmfk93hYnVqTlYkDaC/YvN25qwbS
91hFOly5BVnpcV/tdsXMnbztP88CCc1+EuDwf49mMAd/TTxnLSRSl9qOOHn3tbLyFYltgOc3Ctuz
A8Q4EPi34y/we0DGDOwqOHskCC6bwhRTvme8aLaXFdKU5aJSBpOGcna5sS5yNmefR3Yq7lqp+SCW
CXZCuKbdkhdi6emlnwLHgFodeEVxH9b4G155U4kEKs+luyZvivlbaDDJ2OWhtt272VKgwNlMbYzf
tzUGFecxY4CsJnMOGHwbuUxzCt7gzgk+UpgXBPB6TQdJdFOKQcFTT5KlAps3Si8/lU0LWj8jJLVg
tcglBBHI3eRUmeYE1AZC3oUAZEs/5OPfJ/7/zkn/NCelAmF4+T/PSa+/fW5e2+L1pznp3z/0rzlp
5P3lWPQMPw5D/0tR7a4J96uqEmtOWov/HpOuKmxqK+yv3nqNH8ek5n8yFsUW6OfDevXgMPEcxW+c
mejazPx8XpZOb5CqQgibg0nFkF0tRYOpBWlE6BtneWZk4c6qOtKxZt+y3mAzgBs+Pnph4x/bpUse
yipMlo3k4181Vu7f2E3rnydeHHfTcfrxFpfZsCFW2thzBvXPbltVzNjIONkOdtTvoy4U1zb9QVx4
DYlwnJf2TtESxSQPOdckJXvoD029N4ewui0KU952GGPcR9K38w1DuuKpIQ4GmU4TklUHIvhsov15
wmzU4LThvbwvcdu8J2LiiRzM5QjXdroIrCC99SFqrqy25n7FofdOxMdfEii9xuh0xNFECwIxp4gH
35p2RCXB4BSFLh97kU+vQVCRrNDWpAm5C/uS1qq9pSHOPmp0THNs1vh6Oulg76MsAHT3dHbvTT5h
QKZLTphhyunccNyfQ91+qEoyGjZ4OAYEfw4UKqajlkfZ9UVsWtPngsQ0YkKHoqVUHcRZC5kXa+Bb
+8K4dERrwjP8UBZ5dR2OQ7Y3umw5NcTV2psMi49tOYTBug1Ch88TQ9wSOkp0epnejEWe74N8gmKR
eWTmAlgczLEez1NGhDyMQ3GdWRVzi46JzMPc6X5fcExj81/YNyEqhsNsa3kVaHM8u62cD/CYnVdU
6PUpj6zuAc8d8lzpEArkkKpbw5jt8Ig0pb9iCzX32gqMLeipvDM603noZrf7BHJRfp/t1ny0h15s
ySSVNxUE5msHDVDqmd0z90rNsZ5kdAswVD07jSDUO1RyKzvb3I2yoHY3CTU18HP7qse2vbE6RRlD
3kwcQU/Wm5yFwzzTiKIvK2W7iXVjwYsxFodJHN5SBWYhMruT7UCCtB/pDjCoQpJk1sM+pHXcgGS+
DvYQXr7BiAzC1LXbWGncS0JYDShVGKSliHctg7D2ARfOs8I2EM9DFR7MwS+/5TLNb02iRVhT6XJT
eLlSm9xLjC9hvcqmkrS1ILmOSIA3YJn9pcSLgP2LnEFRwA5loJZv15PgWViV+bFBEnz2o8LcZW7b
X4lAeRM1jB7u4E8un+A44xtklGq6hFWWPsJ4825C7W6aUKUXwxDIW8Go5N4eMntXeE43byC6FhVr
UgYbr9YcmBnTyq3f4uixaUdpjBsR+snRyfPkiOVDc/TmHNFHqC18tZIJ0vDGb5LqiW1E3c6yhB6d
anM3EJi5E4Yyr4g8kePKPcd7FqHWrslmfVOlVXrTZK6NlMZ3XkpRRtS6RjN9bJMsSKH79/OD7xdO
GitZYrudW9nBI6vj1C+DXL2VgjGJB5Siwx7Zp8kADzwsNkgNra6NIkyfAgszhU3g1wnceq3REktB
ot1S1V9LC234pver6cpZAkLyROERPoYnBPlQQ9tGuxxMNIlLgxAKR1g59ri51PZ+mvRCzm2opju7
NK2PTZvIPk6V3Si9L33UXdMVPhbhJHhw5MYym2kGlVZrNunsh+luMvvWfECFbc/+hzSoVHdPvlk/
HOoVnpSnRdmtscRdmFeT2rqDXYwPTT6l4RekD0km4ywozdH7UHHY42oTKnDTPVbvXf51DpSyigsC
VZqGg4vD7X/rgD/VAeQfcJD+z3XAlZDyW1t3PxcCf//UvwlTGDiEK+GRSsCxfrJWiYK/OOuZGYRv
nChGCP9dCUR/4XwA1c9lNAOEG9B8/5sw5eAIEVE5gO5CTFzrh//7f36KYWrf/fOPNgScLe9Lg8gC
DMfFHeBwdbR7S/X6oZV2IL5X+Emal9I06kz3KAh8Y4sCIkFpa01qV7gOVNDZGVSzn/BIRayrOocE
uJKTslqEhG8yt1eQYt2oRveVLx+npXTdJysCZdmOrfUZrUv6oZpg6YvU9z4OCC6ukKd2tws+Tsle
1Dn+xDVZMFfpyF9yFE+RujDyDO//LpeXnF3LoZq8u7LpnM/GiFbxElbKhJrYt7vzkCNm/eAUSR+c
W0KB0emU/tjD6q+c/mv+RuKy2wmOTG1uIJjulxkJ2lK089ZpTIe3yuk/Ydk8wjnpcT24KhwB71w3
WK7uC57tA+rmyo8dW9YFrlmJ+GCxi21SeDDkuoqcMSsuHWgiYE8++G5vH9ugyy7sKSemPpp3BMuv
rg1a4C/PeP8it8XjDKX51s9hMh34T5wrFIRJhUgdYnaHkXKzaVxS7TrLeJ0Kl8PBzKsRDUxAw4iQ
dkdsTTTFAyxlDvVAe7sFuPneMkvvaojgpVhdH1jHPoo06P8SJU9LFQYPKvCSx6abOZ4xqXGMbd4q
r4Ry79KhkdKaPw9whjlR7SAuKFO5B2rYaGILT35Ul5edonQhE4/ATxCOBI7YPI+XXd+lYWykKtsF
wl/utUxdXHcSstAPhUWZ2VG7bexuxIltXOSWIdKQEf2n8304J8nBrSv7WS0OKpqF/e8xKoOSujId
A3FwDTMsnwRVn/yAPB0blV1Prz0ZO5IAo7a9gCMxm+0RaYAkfSkvPWG9pi3EZp4cMb8ezqq7qnVj
G6HHNeHeI7twQlRuJC3q3YWQzsTfoU0t46JYbXcE9enGZUOGxh91OJZB7d2s8UkEWno2om0CLlF2
hqQ+GMFjwWFZefYx7Zsrbw0hXsZlE4j62tWLxkqWrNypSk5BIffy/7F3JsuRI1mW/ZX+AYRgHja9
AGBmNDPSONNJ30BIujtmKKCAYvr6OqBHZmWGSHVWLmrRIhWLEAkJNzoNg6q+9+49lw7Vs6Zl9zPo
llDy1+zTdR7CelzeDH1a90gJkn0yLo9M1ftjh9tuh+uxuO5qTT+2jl3uh6QzTwCPhrCkrbXrNeCi
tT3nJ5uR0n7yBX7UalmPeserabqV+Uyy+/dm8HGDG6kXFtmgRTapkXvReMNwAixTHOnOfEi6CieZ
2+m5Q6EQr2tN8hbuPmQ0UW+3am+vLddHw2pea02UdlqghS1KaJKqs58OYnTsaRisUSEArNXxbNgS
ey7sHAyIakmvCdAEiAro44BU+3HINfLgRW6EyA2SyJaFccdvX5wLZ9Ekx4qhPSL0VD9xASyxTybt
3uNluyLROi49CuUmXQGndN2xmZzHzqoeSj+/Xo2E/pTS4V2sT7lLEK3eBycvnR76AFvBWpsxTudd
ilOXjNYs8kf7ue+6g7/MNwWWeVyAat7Lthp2Y4KoJk3sF9dCvkciaR8bdfWzsrHxmM3kxox91GOu
ARztOHcEA7YGVNMsgrl/Y7c1wKaa0EOd7TikWrPvdWAEu3qWDSKpceLZauEfcj/cA/2PPtKyQF35
svpcPThqNPuCE0napHJJlDOkUBWXLBgKJPuQ3XgrjPs06+5HEmc1ny+1iuYy+3bxXm2rWakSrw39
otfObWvaD7nZuSfRDlnEDaO1ATb1zeuyV13raWuY869sqI2r1OtpVeZdRbbxhrdGwHRSS27tepb1
+4EsZjBVbnAsC+8hceU9cjh9zzLhn0WhTV7Ul+7wjXVFxeboJWPYWkNxKUw1Rt1QDgedG7XXOWCi
bHGyB2uegxs566gctSG2CxKnU9OMkObcLnO9J5A0C+ei9Qjm6R96t2F1yTY9u17ssUdb/HrCfs/s
HEtnxu7QER1WGiRNFcNT1ZTu3qzX5HEqp5tW62Q0E/P8jLz12cGoGlba+N6vwaub4tGHj8FzrFo4
JZzAM3PaY8c5Crc4BGaRcBU7+2IaaXeYfPnZUKvuHLlSnw3mU0vODg9wiaCgzqrx7HSTTh1lPaig
va767IXqCYcganwdHm3ISrtzteC7HUxIsGwnKre1tNX8O7+3Dj3F5sPMreN8OQLUZxn1v5dJarxW
ZG3G0vJ41TSbzrU33njLuCNE+0SXfNg7Y2eeJSiIsBvbHPlcILKoXCr/UM1qPWZiuBpaAo/zpDzg
ZMmjNNBaJEsU6qKsojUJvNCfsAmGwlb2J4HtFHADqUWXZdXt+6zezFae7G5w0WvRMo1iB4Ek+2hn
144mU13PeceeMFXPhj1eNXAQgnFlYy2CYGfK4XFkHtrlXv05zg2hZ8tr4ZXVbuT7ICAUZQQ9ND+P
C7ZSWRt7G6OCGWHzWi8z1jd8sknXxopu7NnJnXS/aNYS9iq13hKh2gemSESWa4i02p1fsjKNtdXc
pdrYQz+Q2CFxr0UtPJ6rRThFbBhGu29Uq65NfIuoPU2amErHTm5pz5k2bdszZmjhBqHmO5dJh3uN
aLO51dN2nGN7qWxwCctaqIem0Pxj0JfraR6tZ3vW2w/I7SS8JzUayb3jTdi/rMoA5W/bAmcp+6y5
G4fgs9bGOyPz8miwp+Ghd5o7yiyNRjLBxEumbkvwkL205F7NrjiBLvnm98Bx57w8mRoiWAaYY2zi
d/7O8mpfTcaSvBerIXfooeWR0EFzV4gxO7hYpUKf4HYqc5sv249vQQohutF97YZA5PKlBRYTgrj1
f7mkm8QKOV/oZFb1LnxvefQmDUGp8t+s0mkjuEPeC5auPNYSV49MLyueMH/q6CoZogYeyE7LmkU8
29tLxA0rQpARGM/QwfFe8+uldDJ3dfGjleXHomveQxA04zerHwkuV9kFk5UTL0B50ay2BublnMQH
muPSDltdVud+XQVmPGVzRmjSG8OsroYyKan5PIxLKhAPiCQ7LOF+pu7hs/hXq+d237Q1uCKXen4a
eyCoRpAHeRTAgriGTvSjK/1PVudq32FdiOnlque8MM5uYwWHNpBL7CD23iXo9W7w9LvxYOJhzByT
MYwmChPFJeh9Qp2668Lo17Aa+uW6tqfgahLGDHmh+6xSctPUXOVwCdrReGSB7BGOK6vyQ3eYsupg
Nyn6ytou2bx6rXnrUBCdccw6+4qz4Is+SWvBJVz5iBvtxXqsM8v4YLDifhBMT09oHVJyaLIOR1nF
gUFxzU0yq9A80wey6/HkqVXDiKjHjWXeJhQqFu9tIyF24bWOa04eUQaKLM2iOjGYT54lWsl9WY/p
Y6BxEDVuOGhFNTZlGaxH15x+IGdxDx1utLhGN7NTOBERqRJiv85OELJJHrhrJ6ewhzCgox1XQhQ4
kdX3cbCHyFxbRVcrsUiLF0kok479rxQwyBqshElLc9A3qisLwWGYyWI8Nfq0S6R1KbLCQi5MPm3V
uv45z2rsBAO6k9ILkJtn+2okAR1urH3QjQ9Fe2c/oIskojN5ZvpUh1VnxolmWzG+XRIhHBn6ZPee
pLs0O6+D09zw3NX0u+j7mEYktKaNcnuM0Rl3LCcYDzFSjJj84casZfZ9Csht5IC/130uMb7751nA
BSEuEIVwXp8nN19icoEQ088cDdG443pKvZY9sRJHIeyHAJHpATbFZ9WoZ9S1gK/c9X6oqVPMwcHd
hx8CQMgQt/ZCYjpUyxuaJCN2Uc18QXxDDnpV18/zQOg7M022uoVI5cKQsBQEGtGMBkFoFoIJW70+
112LMhq9dpSLJP9RSiM2Zm+9XzFx7ObKDRedeAl39pNnz6iuu0zZF2kHQ6S65heHX6ybWb8zilVE
mVaa3NIRy0OfgXVW9bO0C8LIbZXuO7sJdjYsfA7dvhMuWlHdAOPa+P5lvQ90p7u4fvKh95KUAlJG
D9lUzvfdgiUi6F0jWiqPU4/Rwtdsi0szL+pi6iKqRUcyaC+32Ym+XEyoTRqhYWQXCQtQz4hENPCm
a9RfPwT1BvSaN9Nf39PWpRHcq2vK3IWLUaKwXY+JX4471OmHKvtFv5t0LLfXr42+aK+6Ut4RYwog
KGN5zDo/QkOo79uW8hZRvXWABXcwhWMwtSrOeAjZQAv9pJf+M/5J0Mr5+j576jNR6YcQJc+PsO7V
cOOJ5FmM64CBtEm/axoAB4UzGIvqGqWWd70G/qvfilgGgTiUbI4hOCygaBh/CSfXjWvbbu+LidOZ
1hd6NKgVXA29Lv1SJmLieKbdwWoZ/bCs55UtoUj4uuwEHeLYNtsvPjlQkif4+yKznxaQntBKpiXM
LLOX4WRDYMKpXb9VoiDgI6ffSIiVSZdvFlbFAU9IL4Z719xP2CtI/ps7go3c8lDkWiojmmB6FokS
8Zc5Gcj1GYJS5LTd86T8ioFnNh45VZfHwMuagx009r5d1vQ86crdy0Y9LRIaD/j128BXxV2Ta8Yv
J+/Vec1y99Ravrwyq6U8KaBGe2ey5ZPdLODXpflODV/clI1NgZ/qt+uajjiORXptMbmLFFDNG0bH
sIdWUmgsARelGKmWRgh2+wF1QyyBfCRWg/a7sew4xT8Q1h26nbwftsR7YGgo6wHNEUDotoW1M7Mq
uXWxCwF1Xj4gfQVhbXqYdyquGIfam0aRXSCL5UiqC/aFabwgw+dY0WcYUsrge6Dredz5Hv6PmqmJ
1joNxyC5xjTqOXAHE2NFiix35rhH1b8HIk0cx2xGaCmKPRRZ6HmcPry6wbFV1fSq6SHtWM0Xbr3T
7CqgKAVhLRRT/oMqNPtAKUzHxZqLt7EMgg2BoZc3bNXsQhPVwmXpgzPMej9sSdSJzcRzQkJUI43R
dygMszt7S6/D3ajyq760jUjKtiBIpNfPQ9kNp15Yv7oVHBtq6HCrLcw1vxis7rsZcsddIbmNogQs
EZSgFKtqijTU5aEr8iEu8XWdJ7u4y01MDqWob1LXexF+0B84X3ekPPD49/O8bwz9QJzyGFeDQy1D
XsxGMOJHYeDAADH8XEWLo2C4WZjjh3JJmHRbeIM66izTaqIaF304DRlfD58+7vwIjxGrsqMnV3Da
8YWVrcOhZTlNvKmR2qhGuhpYIx1Dwl8bP0av+MDzS0RadwexZD7mdHJjSsgzS/QLwPUGQNi8o9Ti
SWbaHw1jP4W8DfqF3Fbz4M8TbZSVTZfZL+4t42EptKNfQOwd3TLqOhBpFDpr862zNdom0zT5e5NZ
M2vng7mkC99oHHalO1F5+VOUSsrBQdMBbwNmoCMQG0k+nTLct6FjNx/NIIL7ItW4kb5z6KYui3Ee
rM8oK+/IrQTl1xom6A19P/SkaNlSFsDiBeZfF24HyFGveKqZCPpGd+lX81z67rtlmEzH3wejPqjB
/yVH/P+6ny874gYZLdVB3BVNZBRtEa/d+KsdyFmqtPJ71mnZrtskAH2rRaUpBE0Vn17JWgRp3DT0
AjJj5dhSJMQjFHcyY4GOeiXdGbuP7d3CLTBPGmf6FnsN8ZvTSFE+dovkD7GTY3wDH6W33a7p50bG
2eCFU+eeW0B2uP0jt5jRcMxlpfZ0cVDiVsoJy9XwOnbopVPXKMvkwYY5FzA1sOUxrzqEEKxqQ4iG
SDo1R+Muw9vDiXx40my37ve1j+tjL7VykpGF1EacXWqEheUDUPW+sAOjA4LDNXKSlp4DtBP9WmGF
/ejL2SsHcKhBT8ci/B/p1x9+ig0R3n8NAj45XLDOZcPvucDf/5Nm8p9zgg1s/E//sfvCI9+rn3J5
+Nmrio/+7kNvf/K/+z//ZJX/i068RRsXxdt/3Yl/Ht6zf5zG//mBP5vwvyHmOurFLUwWNwnj779N
4w2m8S7WZIdcQuT0W9j831zL5h86WrrNQvD37jtoZZ1/CJUzPAfhm/lvdd+/MoH+QUPHWJ5cQt2y
0eTZuKP/6nARncgzoLXLTdCs2lpG/tQuECDcKXipN1kzE2GULWOatufeARVlLDA05k0f86UplR2S
f2KH0PdsSu86N5A+LotzVyON0q1QVHPOOSe02GTh2dS1ayfTg+Ytc0NvMhiZbj5nyRzU7ZWqWWVd
uu80XvQq0W43pEl9ErJA9gz60RD+L6ulOaWuJpSo83hMPWXkCQ5g9ssT22g3PlLg6Paj1giP2T51
oE2vbZLrmWtpW7d+mcwR5NMRSlCroyAF4EUP3V6X4YEpNm/nVOUXpFYouT1ztShS3OSpqc3sCQKE
dcWXEnG1Ku0DzWf+5Bc2ZsEWXMb9LJzLMMvuCBsjZX9M1HtgUNVTcCZs46XMIxdLdxSAJeYkE8yr
ZzanArqIw6wRLy7gqWmCB30GcFwTvFU0/nzJsIFqx5k5+RLT+kyXR5yqwHZjHU1Xuk/wxJnewcwx
XR1GOMYDZmkMawbDv7qkPTM/uLRb5E0796LhLtAmNuvxf3MPfv63sOtsuv9iNtczMZP5P64K5u8P
/edoTg/whGCBYvbGO/7nkoB2B/0Nr+PXi/+3xUD/w6U7xEoBvcLU2eX+c01wWRNQenv8AZj8WI/+
nYmc89e4IgS1RGpibaA+xy3l/NV1Iw236FSX4pfmPevCqgJiOIQ2Vly2ZNce3/S09rA3O+Ihb5fm
ss3QUMBgE46aQBU7w8v1x2Io12Unzbm8zfwBGYmr4d8MPHmYg9w6DY0yGDzksGMdH1UOqNDA5liI
LX2/ZE52HqtJXOspw8NQmNV1m8nyzkOxcKj1IDskXuId7LKimk9rDQQJ4LzDmmfyyLDQvVH9dvha
+0zDa4oqFpwXsDvI3NP3EsJiGc+YaaNt8H0otK2WgPf6QHiajdiAPKij0j/KchXvNAp9pEpWYoUM
XAZKSvSmE8PBPUuJezslMzN1ww0IddsogUc6YfYVyibtcxKy++W1eXBr8S4fRVLLn+lsJh1suda4
y7NWbQwk+WD39nQqSmRT4VIWC7z0wvxZ6IKelYO7mfmDRWcF0/gl1Zv03Ler9tm4qRxCoxWIK9eu
OS559zoGcwdbZTNSZ/74nLXD8BgEA2Qx+OvyY3Oov3JOKANmQlShrpsWiuZ2gDnCb7CvIEIOTVaL
Y+YEpUctb8j3DvWtikx7+sbuyDlTNdUHCqLhKljzYW+Qd/m56qq6znV5q62pcyrl0J5ksq5nSOAk
EDlev/egfJuxpBPBwr4oU3I/0/KVPhgrPVdJ8dNIqtqbvVWdF8NLIilqly86Bxy7jURdG7mjwSLV
s8PcJdUT3rPsWznkGfmZTWtR1AMm34GNLwxagzgP6KJbJRoqnj2GWGiAlB2sPVw13SrDxYAdka2b
kTNlbBdNfZOxqFug7PHrT79yRgYUk/Nmz2gqJK5tkSFawWkf2jQIrlMp1hhSnwpN6dc37aAV1yZD
6SUq64lONZ12Tq6OaNOXxFtNNwxUan9082TDNWodOgEVvRGBgXzLwUINSxlIZeY3xgWfcXCfJksW
Tb62A0BLq28ZY1c6F+Qp4yfkwfKoSxrKU8EYLx57Bem7yebzujL/QUU6NM+BKJJXuN6pdmJW1xW7
oPEMxEl6r8IMYvXDCBEr2Y1LabwNQZVQ5jWdujdU032XCKejoJ2M95L2L0XsMixb9kDlX8GwnKD/
+wEJv+bSw0m1ZjtMBghioUoM68Ua9ezcQa/4oAVAtKSByDSNPLkSBZ82/veCnIib0pkX/YiyK3ha
mVvQzWf8vLHvqrGK27QX8K6b+h2ZcPDMMPBD06c2dltp3RjKXX46rWTo3XMWaHaJnzSvRUrREVUS
nD43q5Fvg0fTJ2SS3R79RAzQ2NEBhYPjBNcbmjmmGrjHFhTYIUqgYce5nOhgUjB3Phr2iCLahSWy
5a/bbR7bzMR2KzHWp1IY3snRewgRVsagQzLrOgilWNFojnqRFhAiPcIHRNikOQeR6+Uca8GQ2Dvb
k/qbSVof83EW09HU0ZQFTZ0XB29oq2O6wB2nPY5WntgkDiJ+bnNhvbr4Bi+4W6jjmH2xmCXqmKRQ
fGGqTe330VtwBNuYUq46HQ8tjpulv7V7qX0Kx2P81xvFyCFt0VhcVjCGQisCyVTUHgkOz7rv7rRM
P7sqm94WuzFurD5P6t0w9f4C8m+RSRQkVnebLUFSxqDdalqWE3mzpjaZkaG3j2nZtzGg9InRD8eb
GnN67DbeyW4XAhPIhrwPYPPGY8oRrShZNoVhd4dZr5/SxlGHXk6YEfAx0c2U+M9hHCwNY8zR3WEs
XX+s8Afq3WgA2xaWqplgZSN0Ed0vbmeklKM621Xnkk5sy6nNv8FQpeOxeHZT6q/+UjL5onVrGcMA
pGvpi9tkToi72ZSXRgH/Yd3UmC7RAA/uptBkWUSruak2x3R6oXJtHjq8SA/K6BMz1PMieZk2xaf1
Jf5svIYad1OE+l/i0H7Tifp529zpaq7vkMB2e3C98Ozy0sb6wXiVrhtDkS/hqbFpUOd6yS9q06XS
hUGiam1q1SLQ+XXdknzVLzFrv+laQfDQhjY2tSt4EYSj8ARvHKdBDCs3Xay9KWSLTStLdefjANgU
tNaqLbeNlqr6MGidwLixJJcA8PIjM2jvmPLFPxnVrcdpkc4BYhHgzaRbv5dEDaI167T1KjWqhQJy
ocmKkmPXDYDlSzrCY6xyYz2ThOYdM4qHqJ6Ku65SICE607pNBFIOFtkS9tuabHNM9LqzSAW0SBvq
vq/EXQr147BdzycpZuMakqG8YrnwDgUQxtuyHEdaXOaE2CZYsx/JABwln+nXhLKbASUhzYTpzZz6
3izldAiWIDiOhupfZCLgkhrOeMX75C7IRISkZe0xWewnztr4CxY9Rs6T0d+ygu5+svQaUUVhkT5A
fBrM6RzcYlfZt/SekpvVC+Zjz8aIzJ8MMUB9n7rIg0+jt0wRkvPcvZJWkX3Xp6Qkn0BrD7jRNGh+
I0sNj1/GJm1XlhMRFeDt87Eo75iNTt8BE05xSTjumyly/9ZcGt68bFs0cYmb+WGdJmfdSQTS4rFZ
gleYMHA5xoz4Y/gLnTIivfHNjFHjFLzlWlI+Ys3quztX9nl/ZXkQbcIV7SJU7QL167Xp0uFlnGQ0
ege4B77ZpuDhygtzXR5ll8YzUeTL3spcb98GrhdlQESSqEin+9UwUUUMsupr6I1a9uq0lpO/m0RF
QW40S93ZyQmtC4M6IkhW98Yw5nlE+ZCWua5OPLKmZE48NkCS3rtkfePYO3+jmmk+i3E2XwJUQk9G
l7YnADtPXeMtO8By9dHreuSaasRII7Y6Zn1jAfwFtu+9GNw3T03qAw4CJwibSISwd9SbRxr3lev5
1R2ZKbvJrrVrbg5GFQn/uMEu9MtanbEJh7Yr6Wwxn4ObofLqSopluLecqVwihns0q1vJmPLJd5Xc
1aSU32cr5x0m0pNTa/8znZKb/FOKXvwa/toqod/x907J//3/qJ9iIoal0fFf91O21LjTT9n/XP6p
fvr9sT/rJ8/6I9BN12PTInTzt5PhzxLKc/5gT8cPTFW01Ur/4HEgGY41HWWCE5h/CY3z/wj4cbrO
/yHvDfziv1NHobH8Z88DrMQNMQyRjuRoD3/6X6y4ZgfnyqI1eEWmQW4BhbGQd2MELM8wxJzzrEta
FqnTJyeh55k6jnkz3GctIQmHkpZgSZN7ZKqNPhJOWKIs5CcSwFQ7p6ReJXZ+z+Rcp0fdwHIJugKA
tjZdCNjJrJhCJHmazcZ5dZvxveJ0mvKjngiCdx6HUqz3vQyeOKPSvm/a0g4FQFeIyQaqLYl+8kZN
NmRJv/ANxC/C4qUZ9NcAkBCcJy03H5pmKk+9pBcsap/mRssHJ4Jgdogp5ks9CzrBmmE8JCuhszUD
v1+9KZkptsKap3CsV3mE78QxhTT09t0aURWsE32e1Sb64OtCfXn3t7RU7n+OZ63n05MxIv8u5eof
6IwFIipqdVwZGEToJ/lg70yUGiZ6bFpJdVAH38Zi7dKoqXz9lSCn9cZtxyByTGDCNaeMK8478jhq
ir/d8InWRVOx7Pt8CABncexAih5IZq55Dvd16i3iWwtfbQbBVHtTigwsKtt6S0CyjGvp94F+mByj
elnKiqnOmCrjVdYbNK6cdX5aVWfzrd9W2q81m4JotrrkBNs++6FV/XxpKccPX79fv/1WPNkSzQ7/
PprMG5rwi+jsuZw99rpUzYFzzchYHtZwLrjIHNyGHUw7oly9ITevU58jcxaqAb72NQ65LINXZZCi
hrJeWvvMAQ92sFaLNniRMDxuNFGeVlscR2kPIKuKUe2HPEUWif7R3Rvt4jNVL6GPq6HmWUDWcSpU
38f87Qga+t7JOeuiVAW6Vr1IuHGPGcf1167N+msfPcNTgRF+z6xPujFic+vEMTA9kxuUfSNEHusZ
1Lqz1nKzfbdgVMNhI49GhCtRseKxcFaT2FWIJHZYOh2yEbSR7ibRYmdopuUAiD44VJVp/ZpctGJR
IutaQD6CiRKnJgekfVDoQ3YpK8HPCshQ2rsCLYEZ2dbIHQaYJrwC8mvZPyQEGJBAMJWRBaMvXgc9
ualdQI50Qif/YAyBsZdVZpEr5peH2sfbyPa3iRlmkmb9Q2no/eMg7Fe49Ex9Hf0b7byFeISxw0RT
IIeADgU/qk7h4Ee94bp7uOrIED2zjZReNqeUgDFmSsqXjBMrcde7a33fa5a7n5alvnNy2zgpAP0h
o7F0VzMv2MQmw46g1PWU2V1ZhaU50cGsHOt5pqsUOvWCgAPcIS8qVX1og9wh3AZGCFbVpNw3uLd3
phg2LGpS4Mudeg2JhdXfcFTi0O2Tx4AZw7kbnBQZUTYOX/xUXdFGrWhy+lpgX1c4LVU8zbr3OlJi
3ySGQfCQLApabtACF2792hLr1NCJnlAJCEQ6S4FtNtL5zPsK5NGPtUIi1AK+2z12zFMKGi5GtlPZ
iACWZKz1eXYWHUNGl11GC6j9qrcCAJ6zHMzOIxCN8CiBbJYWr7ZroCACL64GZopQo9C9NEzNJxYK
I1TVpMej6y7nicjY+wyM2beA729hylzn4kgghdfH7poC404QmmqLu9k5J79EMrt5TEO9UypC/Czw
QDetjGRFq9j1Uh1DV8XYyZR1cR5pfkGgljntj8JEEWW5LZkrwTgfMj1tommp33EZdzuZLyaNos67
iEVpTyWRanWoTEjhwTTTPPaaauDkRhD9HW5pDlUNSBU4zes9pzFWpd5VydvXytKVQ/IrmOvyVAne
UBiWBu2k7S2CCe48zlQ/L3IiE9rVaDRRkzKjD72FHUYKtznMKcszrhfa50igzQdO1PxFQybnuDE5
LQPpBCo96QAMw2zSgubCtr1c0EWIJRaCXGk6ResNRGznd2j7/xpB/sX4yeTIAqTi/3Fc2ji3/yd6
l6LKm392g/z+6N+OTM4ftsMZB5GF42Gw3IgQfx6ZfJvI3M0gouOvQLdnYfn4s/dsuX+w+RiQi3zd
MvkYn/rTDWJZf/BHgetiE3F04Lv/VtSnp3Mw+yeoAyh608IlSkPcB/Th/YWr4JVzV1NsFGDzKXeI
UyHgI177FLe2OUo8bsNIFiNmBC9D8sVIGnK5SWUGy5uHLjInxqx7Fv263AlHpB32Q2EggWxBkeqh
nln9jzonCAIvqk2MFuAl4VT2cbAVI+vFBLKKtMviKGbgKZ+KCopFWXFkwbXqX8N+FW/NBsBv9RW/
Nfpn6IxTQ6qFwbDpnUGrceHcgQxUNKnrhkqYfnswCYWQZA5o20e+rPwlvsA7sxuCF04O/MUTaxUV
Ru/PDySnM3vbBmkS0cAxKTdqg9XOHgZ7synFSUC39Jnie/2P3tdB227JdOEXr9dovtiUNpTYBe2e
Qokd8DVatPDY+c0UAolhGU9b1vG7t9n9hdDUlTVm1vM6+fNdY0Gp6C0dEAXDZeOSmhtyuPWgs/7m
f1KjgZbwggLbA7bV/geBE1yB30zLvgIbmnQ6WTmW5I/ZMzCmWjjO+5LyOQK9+AUcg1TEcEJMeKdb
MG6LJBMM3iyiMNnRZ761vZFT/NICalHofPegcgBxqkm3Lq6Npq0BTnexSFO79kETIG7J0UYm+Xi0
BGAHuL985jepD/kKGLl6rrHD81xzhX/f0Ir5GXqKHFaIqbY7PC5wgrmlff/qgk+ar6eW4LJ4BtNQ
x3qPmuVeq02+gkAuQTNgzPi331fQF6ATALqhH7sFX31BEiaIqk7kaZB9D91Q041oyzrTv7Hz4vSv
6pXDwjitv7JkI5nqYxO8EDHzMKy9s19IdrEj7D24ZVhp773R5ryD+E+LUKSaT43NA4gobHtqax70
Ek1jsl/alJ+0Jib/hrPO75ZtDxFOV+jH7kYL9oaRp8GUhCiGgTWARv5CBMPaUfYNBMkN8Jf2PHya
CR8gGYmvDkFFDD88xOLpTt94xdnU8RLSEuEGixZHFxpFMJVhWbTNcmpQ1uRRGbBn7UYeUZeTCSGj
gnaCfYWxyDpqxQjcY4GUMe/zVYE5qRmiIKDeAlyaqeaJSeji/JjnbcjCOJp7N27PyQIQ5E1tt8i3
UK3UjmrffKPnhw2dnh+AC0I6tYF8LeMYMPY12jfEQcnL1yOca9Bxl7IXZ7G97DhH27fEhe48WYpL
MpnpcvcFL6LSB1ND+hHqVYiFL8SLc+EGoAhW1FY+D4zyANRWNDJ4ArZXgiNkfmCswcVDNc3N1lk4
yL/u3r5gP53DaDh2lQu3go77i1boI5aVvoDDUHSkeVVApDE7CFA8q+nn6ACdaQwh9vJ1dBAdv0HL
m+Wa94H4FHRaFlDuvkQhjhzVNp5Gk1ClBUCJGTIetIBxkrxGblVwvXZbMszwBf4TuC6QBmtwxCLl
9Zl1V3xBYDTZL6ynoJFjHX7RFWAMHS4RyG+SeLTYIhpCIr0r+b7WjIV8v/aLynbYEnjDONpseFyL
Fas2CVl5WPq5vWGmFMBphvdvLbzLZbDlgjQlfF5CdPg5aFbsIw0+FHAkyjzpemI8DU6ruIK4iB5a
HnSmUFnZvZVkG14FJL4cmDEAbYY+cXFJRU+YEBRyfewhHtnE97BEWitfeC5LnigtoCUYkyViPCU6
mqRTKjysaFZTQ39mFI8qjTzcg7LNTdUwgWSq8o2SlcPk2xlA1Kwt2ZcHHI4Pt1X2cLt1mnKoCRvD
eOoUSBEcQts8XqLzD/Fp87wY/QBRcgNXTlTkbli7nXHJNz5yXRv8PkXdbv27YHtykLWK5WQXkh9v
pkn/Iy0FNMDM4en+Cg7Znj2EvkZxtlslr5SxdZO/nnnbtPmQPvCdkbVuz79iInxR+QjziNKd76lv
28g4Gd1wP3ZEuu/1vGd9k/3gx9Qr2/MYLMBM2s6HGW1t5L/fS1rRG3kdg7ziUXISX6pj4fe0EbvR
niSYBM24s13eLqIGg4LagMtrwT7+euPq0bdfpgY4TDR3jsz2XysrhE3DPUykrL4YOdrGlymFnvvN
+aJ+V/a2Shkj0DU7G5z3YGNykn1T3xuZMsEgNz8YawVH2bbbZtDp2+acbOk/hEfCuFsdFjJc1LzB
PiUweVlZ1vwHe2fSHTdyZtFfFHUwBoBtJnJkciZFURscSZQwDwEgMP36vqCquiXZLrf3Xthlu8xS
MjMR8Q3v3WcSoTIn85Hjxybhy4yRh6H0QBBtQkdfgquy6npSbT2yjXlL0qC4XzIM8kZKt75FGx1/
4CoF09TTK50xpPLU5HrirOWZRM/FEVOD9LIAGNiqlW91VX6oY7M9B9GkjXEz++NEHWK3T5bDxjdY
LyKcQ8UTDIAGg4n27zC5GxHP7mDvYRHhszLN/sY1oJAjb4oxU8bJc+opt9jAiPqkCCYRVq0uHTKC
bdt7W8PLeAY2ujRLMR77foZhqhv8R0FbRis6vt6y831hoYdYuFN7wfDkrnEGzGCYpiwYHS+zLBqx
ErRLTPVs0kpO1Ywn3JH0ZrahrbAx2Paw712winV0e/jpnGzLsrk8mkxqk03qNNihnNze55U1oFYj
io/Nx4jgPsnxQ3jjDImjatBHzhK9yzHga9luY2RyE29/Elz1trPc+lPvnbss4JpLJxgXk0B5TwLR
M0uh+loYsrpNl9w/e1bEt9eEoi4Tv97FftbQSjUTQMHc01eo0fH4E1pgbzrhTp8Lp86eZ698BsGj
ikuhOude5ZjfRN+NPmFNbbD3B3v4TsZH8AVtAslqIyG8C1+yncILFPo0qvh8MhgVgxrCeeqxjeC5
xzHqIGTQQKKu/TbJ5mveL/kGDKjaLxoWyExuFMkC43OwenzzFLGDF42fBmRHbpp5X2I1zQ+JO1eh
iRNgb+ce47zebe87g7cVQ6jcuVM5fc209STYjG5MmBLXfpos9+VCcHrt6XIPSts5RMHgXZiVIHBS
3ZMKNJLhVlIZ7bpS1dcglFbJ0JpqMBK0FlM3nHXZmmeLBeHRDerulAfaudQ2VmXetIpxhKIxlEyD
JqX8ncChglhWCkySZX4HpAVyN1m/S27ecgmwW3HQmkLRkqeCDeh9jADeruzqaImuPUAPoGad8UpO
5C0e3ZwPDOuleO3gNYQZ8/XrJXPvdYohErq18ZAzV7vUc9E/W5MlLnPZFIgefI+fQ2gtv/RDEVCX
WNZy7pGOofju64/k0gIzKTUqEr7fVv5ktZFPwLktbgxW0PCyTC/MfWevPYwMwOTLE34q77PIy4+T
WEckJqYhOvO22wv8vljMPQI156XXB4Ngwa3r52rL4R+Hi1twESFePA2V+9bAgtpZvQncvDHWJDeM
vHPW2p+jFvlnSITY9BHKO5Bh0VIJpkYVzrmR73rlyKdIcaJw8rflLq1NJhqp5R2NbrIPePjmsLNm
vI8jtq1LooVnbhpbY0rkIAGDosLeNR4wThXmLnaLlj08GWdT9pBGJhgMMyud4ugt3RC/cfgjRMss
FcKdbDCdDFhJYkJvkV8AoTn0MhEcTG0qj36uxw8i7ywCeiQsTcZOZhIiKKYDSdTOk219nXY8F6nd
jx8wvhSnRSLmwJ5EdNnSL8xmDP5r5qV7aRXG8xhPPl9xwGqOOKPdoPDjIAVB/hWuQHyJVXnD+Kh7
WT2nV2XrX8u8wpFINfBYaovZ4tjJdoOgMIKOo9SMG0022jiVOTO/s1DmYuFVtbMAlI6t1QgtQ1A5
YbOwo9uoJytk2ww1bYib1v5rRCwnrP4sG5uZ43s2ApblZrvYBy/L6sXdWgUW703cITZgsO4a2n71
k5JbdzV2S2xgPqmlzMjcEn1Dy/+e15RcoeGWUMBILCXHwNXUoCz8KMCrsaMQkYPD3ZQqslHPhrlM
DzOehCdqUfIX1EhZHgjqs586/rsfqs2fUQr22hv/JOZEzEs/76ywZJ+J3nvIzc9MQm8wmrZsVXJs
ZMyFGTMbKjRhGmPrTRzSdlc9NgjundNcc4uGEwu0/EyI3vCgnSHoWB0j+zQMpnQb5/2aNnuq6ndA
NiJJqok0Bk1SRCRVoICg9awCA9CaQKHNTem1E/p75hRvP2rktCQ7Qi9rU1LNDbrQKMXSwECeZC2u
lc/pSgutlo5RFjjbhoLs79+OVRD329vhep7pevAr2K+a3vr3f+JKDEGcClv4BZbQgU1DME+6w1Kf
N9z+boDwo2pKbPhTpz5jfpsfVE/T/R68ktZT+1AiUf03r+iffUCIbW3Eth6oi/dX/NMrEi6Ldc0F
yBqBLQqKOHiCPbOVDx2zCjxfoB3pjS1QvY7p2admoFCuUJIVB7Plbtl2XbM2E1Tof//CfidpMnSB
9IHPEHCvxwBm/fs/vS6dREXa9Gl2jGr8E0Qjs6V5WZxFdx+deQGP65QBdWxduRC/N7ia/x1Q+Z98
VkBKTL7BgDVtXsVveLAxkWa9WH18dCfi3jdRRdRjqAMzsm5M0SUxbUrUHFI7TWIQENFSMcnsopu4
6s0n39DmjVPn9CP/8dvCChEBJA0fYNPfv0CVrSMG1E58rARNg5qoG3dTCpGAWh4SP1sWamZdApEM
xRA3r3//p7Nt/P37izgbEBz/onlDkPnrp1IRfaorEsKP7gzD+8gqf26oVRBaZnwgyeyy5bdH337K
vUiczLVx+5EUNTiqsW4dOTOm3RjQ/ZJjv85eGhVX2ff3+JWxWoNS/v4FW/+w73yPV3Ow5zuMEP8B
sZ+YQqWkRYmDnRARiPNrAfDo67XVqRDtPHHwEydl+YN4rKyF4clUJpwDSLqXxymQHE+xvTKb3YV8
1Kxw+I+cTvz7hM0pBphBS2lbzfqM4G2ayPHQ8FRrlD/lFhAVsUwx/svjj8wW+JMMb2Q+DzxYNARv
77/sfyfR/24SzRnBF/FfT6Jvk7T+ZWX/4wf+kjwbf7g85obBXh5Rimsz1f6/+bOP2YED27ehh2NJ
+N/5MxltTIQtHgXTk/xlpe3+NX/2/2BabPCVgzm+eiX8/2Rnb/4+fiZmw0QZ4HoMuwGYv/slfjoJ
o1HEQ1K57mnATx+FVrbkD8kawOEinNvas8uKiP34vgHTuzfB/J59ljKvQWdMz27FYNiRGdGiNuHS
8cQu6qd38p/c8L+f07w6y+DX5wWyEZC/3x8B60BgrIFzygaHwOnEAQdoJNXKNuE6UWlBcnNjYFpq
anb6f/9ncwr/dh5BkULMAEZIGp4v3/cDP98SUWIxGtepQoYYfSxVxPxh1GlwnQdsjVBput7FMlDE
8TZJ74rcZyBFzIc/TUu1vHka0zI5z7N9jgsYADnBXtAgWp3vWlXLey/x0UVCHHFP0Vj2F7Oxm71j
NJjtMYoTxFUGK1O4K28TazaQBpkDMiif6hBVgOeFWhNovfF1ItTG7uVEoSGt15jhE+apDFdX59dX
Xuegq6IoemAXWNFJORVDtd72yX1TuBLRPCY09wRCvYi2FQAdvCc9LW1B16g4djzZVPiRuQZEslac
bW0Px5n6Z5tD9NtkdA4zqIpxwFVCNPO2SSo87dY0f6yylZEqusC8EKoXoemd+xcf5yMyZYM95MYg
rG1AeelTj9v5vMeYL1HKs1oXjjWu0c+WeljbvHujwxkbZjDuMMoaklvZM1oQNVOwGzWIwv1gT4g4
Ux6lBzDUMUtfpWRB4nPSP5m6TnBOeaM+kZpT4Huzqv5hYtGcbE177NBkStPYM7YirrOKesbwG1cy
/wF2vqyG5JZBRxyn1ogTm7aEURz29AaH59GFKyXw3lO6j6770ctmH0GdrO7yqp3QQyqU35owOhRb
SPA2sTGZe0Lh2n3bs1WeGdodGIPGbyqxhj3Q3D1i0CHkSQ2w/Hvlw2LNA0KUWmfnJfOz0Hd773OC
hvYIK2jZBUXTkxCCOnuPOzjG15dZVO8MsKZ+O4CAPqDVMK8i4U/nwDejD+js6SLGBK4MaN3km4P/
5tYEm+Bu0sorvyHpWQ3QC8xo5aagnQIoLLA3hsUlAN4DeBLy7D0mscjsG3yg2oWrGGGdeoQjkk7N
RnlVPWwjViLxNpsiInd90JRvVUYlDOmyzQ6WUY9vjEPJ7h1y5N7JBhIz04xOBW36eUiLAjpIxR14
23VtdF70sgZN2NnwUU5pzF3qkjsPGKrXQFf01PJUKNF/raL3/PmgV8lWIkNIdz12XrGrI4xew2xW
MygwrzdJWKeweZztep6PaBNWyH1UrTPBqi3jkCzXmBjfYIQCiV4PCQpLA2K/4zEn4pxBEFdBX13a
hFi0UDHE+tzVVK1rqcpXfTLqE3P3/AHv1XoYMp/D7ZhWt9mivRtLg4aHXxnwp7Xr7zYnKJNwDhBd
rlBErc2I0730qSTuuCUUU+ymmDhntaZIA2kmtZrw2NdxADEKNWlg1JCMPMi7jkGU2Ghj0l8MXL8G
2IzWNW6CiHk/FvGm/sxQN3BD5ors1dejnKxk3ieHmcuuz97FOqIfbqbUWj4UHZmC9TYfbVBthynC
t4v233HM+bOrNc3+2ceXz1/ymAQWvkezGTuElJnLOHysYqAbHXIpt/qMB6Xkq9MSHVC3i7xRnckr
pketxX7UVN4b0JOQqcCY3rIDIvoTZ7LVrSLuiTFJTDVH+Fq7wUxX3LZuARuM/WLthnDMBhIHvB6V
8gCJ4kKAHUOlkVfAdxcA6om5tT8AA2txGi+2G+mQ7FDvE/MAnPe8ORhCihjuBBYESfwxsx2/3STK
G19rU9TE0M1BGaLIqTcR5sVTzIBml49d/aUz+2fEXPI0MO1yV1HMeK9lYRehQH47HHxGvwiXCUhn
GFhDs3TcLNqbyFuuE3uImO8IwL8JDIknizErSYGJdr+i0JR0iXhZ9/WY7zKrBkdZmO50cYqMtKtk
SDCwLi3cCcUgYlJ+4+78qTWvbFH0p4ARERzRLkI/wT0DSt8O5tAJwF1sTFV61hZKHjg1FrPYDed+
DROvRhvLhTnIrA05x+MtgCgHPTQHflfa3ct/C8f/l18OfykVxd8UjnnxmV3vr+KFHz/0Z/EYOH8g
NeC8QD0arIrPn1y0xoquJggIVQMIyffC7S/xwuqYXTvuP012fxWONn66NeVM0vauP/cfFY7sU36t
jnD4Iqy2KB95BSzRfw+RaofcryZpqrPTC6CtIH16hlx7myHRvUsdUJ/cgPzNDSGIi7vLWzjxz6w+
4DNS8tL8TxwATNzLMkijg9AghZ/0rIorH2JYdtfLqv2Ehsh7dRdZnRMzBoU4ZlYYrBEOrEHT8mzx
ld3LPBjCfsiqS9YogVohaWrOfN2AnZ9N8AXLQFh9YsEbY/8VvA7pDKiIsFOGIr2a5cdhnFhUzCBB
mfimyYUnsHd29rveO4gbn3tplYHrd0V43dZ5vG9W992F0WTSx3tRlAZUetLHkolpPsOz8aZICBL3
9r4qluYGRRK/bjJxCiFpmkHJH/uOrcm0A69iiBJdIBlnhIdYEVCJMNfsUW58C/n3uIkK3k8FjbvU
DPkiNzDGUA+EqW5NshGMr+NYdOOyyxOiiEBDVp3LvLPKaihNpQZZg+9NM6XeIJ+HSTD1gcNuNfEX
5ZghYGRngTk5xExKUY9ZCQBi0Aj1kr0xTp87Fx51GZNROcR16mxISR/ig5VPUXuDtlScDJhGd+SA
RJsFbBF4AAcIX5dUp0QQjR67jfWYCwroDbyDZTMAJb43C6B0Mmjmz16T5bsRMcF2zucEUSXbG0Dk
+aVFOnyoO6cE18NgOq8G1W9UVcsNnil98ocJmTygobKs6hAZRXzLPhwMWVJMoQTaGzo99Uom4/oI
cy66b8uxfIkq0WNHI8B0s4ihuS0y+Qz4Ir63WSfcgbjw7osmH14TtI0hHkwQRU0y3a9mcXZ+dcrN
OEV3hVXPLzmCZQJPNJy9iE1NCGzCuwmCPPqQYKI7TokUt4LRSb9h9RDsB6+1L5GMigO5j+kSml6b
zx/YR7obtuHyWUmzemQvDdiOsWLM4iSDGrJlAedN25ph1Klq0SdtAoBDQLeq/jRSoB/GIo8/2KiL
r4LFY7JqNu74xLipoydooIqGGpb1d3N0KIRtb2EPxV6wIoejXjCrWO4d/Zx3akf3KVNe2GXasTeO
PXkXE3FFzD25FIRstXq4RcViXeFxqI+OQwHcZwDhkBJ27T0Ve/Whhf2AGdtrvoxW8mIqXHR94ftn
Pulyh8zV2c5dg6cUfc59JLvkDDWmfYrRqX7U7GOBE42T9TWrW+NKLBVXuVK2dx6LKdg7WfNtCFR0
NF3UggnGfD5BL3sMcl9/NGRWvMwUWC/22Kfu1lV+/qJEFYB04QmTom8PDEmtHYCifp828mqsYW0g
3i4OrC5wCwWVex4n2C+Ma9F0APwJBGYp4lkXd6GDoi1M7yoCVs4s6qg1cXjYfIuZ6SY4eItN2osu
BN437+pR41uKkLryvvQbzytWdKABMaUbkboHVUgjbX1wSOy47UX7nC7tY9YI721ya3xbRrDC0FkU
e8zmmyV78trMuSrRQVyMniqLDjsKvTQ+BU7nXc8jtvu61t3jQhxviIah/io1eO1mXOo7OwqWL0AK
WrUxBXzFoBybqziLnWdiZWFyKESOm7FUgE2WIL4m20i/9uBHqpp1LNor2E65aZLtMbVnTdzr545s
qG8F1MFtN6iLpaG5unKcwmTQ9keLyv5oC49NyjSO8+U9RdCBlkK10luCJ85JjBsyPcS+pbpiZ2L4
9X2edSsjsDeZra/r5qFLUcQgAkKHkOCumo4WSPSHelwHYnk82o9DT7xQPpbM4XW6ygHeMy2jKJkf
HBGxSWNL9VmvKciBXAPO535Vs+lVDxSDVUaK5SfgWUeHxekqOiDtp7vxWNXNm1hjNjRtlkts7JIT
6n62a82Mwk3gBLrBYISQenTrbW9MX6HXVQ/mKOcTccPdln8oC5Qs6tDoN8GBddd0Ef2qDvcbAOJ1
636vhfOG59u6mN7Q9dtZ0bQXQbZTTMR5yEV+PU6Jfx3YeX5JDNxjNNVfE4NkG2VQwjnT9Fwb7SNO
I2Prm22yrSI6iBSl+z5ltHQw0iW4V2Zb74S0EnvroKU/xgK4Xz7EsHHSKGyr1nxJlescMpY9e573
r9lS+Q/K6sZtQqH4FHtohs2kbc5jlpcYsSK3uHZrqPtuVw3XNanAR1zicFJlCeTVYYt+zze3DCsj
GO9SdiBvamKdhFXDLG4xqfsfYhk5Z17hHFpjgzrQbegWi9wt78pIANqz5vpkkiqwNZgkhaCO0oto
4eXKqqoPvZ506Oipf7XaFrOyX1cbAu8/9Z35JVPgFReuxwtQ1xgUfjcmd46vyk3V1fjcy8TazvbU
fTeJddhpc9aPmSHd3buuo46ZfDgoKKBQi+gxJZ39huFPfxgDW/Eq0vZ2iDPb3GVLsDKJrZK9f5uI
08jaPQWO6FaQew2n+IS/We9jpNFvQJ7N3bwYfK6+/ynxi29tnnYnnJOrfCHPQyQiHle3F2xm15XH
Ie2Nk8G0N0Rzae1RNJmXhQyar0Hm46AsEnHA/SDQq0fFfdYXNjvsLN03faaAS8eQF1URHG2nXp3m
VF6CuMNDbiXDVUqwE8/RxEoWiLUIDTa726mph53tddXX3h1T+MDIM3QMIXFO5HEcbMCn7vXijM2x
csocmUFg7WvT/aqM5l7jlN9UZGLQLZKO1RoCKLn4aBJdskkSmZLitFBhFIbc5UZ94zXtvbeiKTuF
pa/UG6PMx3Vm8OCLHvNEvcT7qm3ApuJy2si0QsVF6kK3FCvbo7i2SyEegm4aD4XUwdGZMxbRdnmP
Bv6OxW2yx4eBpxFI4FYWM2YgbYaEphSHjhCKsF/IqXDi2ocapM1DNdgw3oRn3xJSDRIoEN5T71jp
EdwRohHX/KYiicuCAKpNyk59g9zR5SLLIdCxCLkfLTP4mpYz+2DB1w+G31FOQ3UvBbg3IpuSzeCu
xsSg0aepbIMjuROCjL7FP5f9fF+k7icQBM//7aX+P70Uy6CVkv+ve6nHWv8LOfifP/qXHNz/w+Uf
5UkpDRPJNePwv6bx9h82sXY/N05/9VPuHxbLZddHpy2dX6IBbIBFjk+2EA/un5ijv5BMf063/y4a
ANfdrz2Vw9DfINmP1SSvw0QA8OsGTGO7qtosrY8TJf4IIz23xy2kruCQkK2xl5VFIjj5Jv49SBHW
fxZRrzejBAI7kMUDV8/W6PWi1H6h0prvsPtUj0Mno0+BYyL4ZXvWoBdZ3COEAa6RgPfoKhVDHeKp
qydS/HIJEF9MGf0K3Z998QuuktysYVoWjmuTBaIKtVNByqShBURvoriWyRQuNGDfu5KKAbH07Oxz
glhvE4Y5d3kSOaBbp0HsDEUOaBvNjBbpXassFHZiJWweOhwr9SyvLdGSHdJbiGc1iarncfHtUzCh
J4GVqYZXo+RF4aWK+m/8KTjpW7CX5jbSpNhT9iocJx4nww+tLwNI2dLe9AQIwDhxjylscG+HAKj8
nvKBH90IDaKsXMSl5pJGb4t0FSlMSJBeYI7QYkW8sheHIu6lGo38gQyY6S6a0uR21FH11DBgv+2x
BM5XZLLELheWhSqEMBUfqV5ZmNHWMBVukyVp/HswaPNOyYY3MjMjEBCGnUYQNrLJAwa6NISk+v5d
VCBh2FDfG2YIJdqpQoSC9d7zS7yK1OtTUza3IPqCO7fDi37JSBo/drx/+4Hx4gX8MCdvkqxSGo7x
KRlIe0vdqn5Ex+bfCwR9Nxlz120w++6xNNHkllGLdJTtyQm5kn0WBTpclhL1bd4q1paLU8476WXm
mcJiBKKaaydM2dd0x0WUcMS1ae8hh6gv41Kq15Yx00tjzA7kp0W5cp0swdASpb/DzoF9zR/n4H5q
EH/NsxM8WgDSgPMvLBiCiW5p6w72JyuaOlaYhXARS7F2+Az5lTqwM4NL09hevNezEZ+dKavSY+Sp
fjnhDLTmQxppcbEQ/oyonL0ScSiqHHRYuLl6IC+5yyB/bPQDA3aXYsueUAr6wrRhDUj5XJmzc538
0MTY7wIZ/4daRr5LZ2I4HuhoiLx/V9W8S2zmd7mNWpU34l2EkzSrICd/F+ew6l6VOr7n+/uYyEpm
71Hdiv7cv0t7ineZj9V0CHwY2oDTq1YlEJQe8UiF322tPLr2ypJbfVUOJUiIolVLBPYVWVH2Q2Nk
/VAcxaXhEfGwKpFcmz1CuqzkmVWnFK2KJWPVLvW2UZzUAuwhpUANRZDU16yJ1K5D9pSt+qeUJCNm
kpllgjPlO/RBSijDRx5vAXYaBVXdtgwXNKvlhkUUGivIMSAwVt0VRW+HBKviNRxn4v/0ZtCWDmdy
ia8EORqnWhugpoPqoV78S08/w0bP7KiT6+lMqKjeeST47BzoKgBJp8MoHPHmLpw0RUSEVETuom9m
hzm1zM3c9N4NDfMjBoI4JGtg3XO4H8x2dY9qDeNn1vXt6BsP5BlYuBwXPrYONV3swKoeCroBH73Q
HsnFtsvc6sqomu5bNns3xmJFr6rNx+M0quKxIsH7NiPOlAkFTFan6KCI68jeq1UPNKYJLBq53KTK
nw8QmPttAv9jDwkCdS4Z0Fszx9Gctm3dIMpbXmsQnytn9xbA9nU/5hHT+WTY5lhQDiqq2n2GOe2a
2nu8lR1zipSRM2NcdQDU6O/SaI72aI0yGgAXvIZpqeNS1ynWtAHiCf6ZKzCI2Ea8+NM6SQ9jciDB
NCO9BLoB+bGv25cxU+PRKOP+OUOkwBdjFIe4nb7rVhaHGX3nrm9RbQ2mFX0CQS5KghAS58RKooSH
61vGSUuG1Ee7dNyrCovLPggY12wa5kOHRufO2Y9QMkxCePe6SUgHWLiasrJLKWkdCsJBLh7kU0We
FFKNNNv5Ku0p+VT0IVAuj6xbknRZwybHfaS+gMuv6cbhsH9sUC4ySx+Iqkgtf1+iQD/Uy4AxaYyM
F4p1gVEKP1RNPswN0676alZjeyzt0r+3+RvXnZzEbbfGVKHKMLZmgGSY0BJ501poCQEE97l5dqcs
vgR56QebuHIVGumUBJ3csmu2zZLpjTPSv7k9suOBoeiNTQu6QQ4ztRvRIB2DYuofvMbLwWbGBZJC
GhTFbPND3xgdQygCL8NU05EbgLBklNX3E17bGzvLq9Dvead1wdfAwfA8WR0hColztBB5bobOEcTH
eNk3m8HYN5StK56GZMEtnfEI9Rfty7nyuLG32awIEyOS5bmG9vWQMCx5m3wd75pA+RcVWZ9EoL+n
aRV/RHkA4XyujG3nuM+V4wp0tB0uTjsfGHSgHlxmFT3HrXOY7OxTJDXoduUelhrM+BIxWLXT+eM8
zEHYF7UVeh4ELbg4m8E2Tvi82XSbVvMtjrwB04yoQwsN43GwdFWDJJ+d3SIj865A+7jLuzG/r0x5
U8Vs2HDL613ZW/RUFhiTfjsm7djsOrNcbuK5j3ZN2b3pLHkCR0wpRX2RLjYuV3tADYr3I3SjtYOG
9Ime0lVrMQNSundYokDrtndJFUH0yPMnYUlmiKMyPiUWyTfASbxvrdk+6MH8HpUKlAbxDnQOrxXa
exo53CdTbnjnYI6WS2NAxvds9VrHCwFHgT4TkBdxdjbNbqgUFKF4sI/ZNJcne2hIcaPpyaT5nI5z
TlqFwgTE7nkP6SY4WFDVga5mh3YomnPdT4/OknR78KwVY093q5NseUNE7mx7W9ePkT8NxAssvNdR
ac9hMVcDYxlcwHPVlftJ1+WmFf7XCDs7Cvbo1VCufYuuBDWm7zIv6PleuV9LqySRB9Ub7K20uWqq
ob7SyvrmlSN2chO7XQ7AVvOStmbVjUe/wfdMOI2zSxVG5sGXyYGKxXswQV8RLjtme4Pq8daqvOgO
OM255UOH84vdg5yOmUggdI98RU0/DudkApJmZuaN3WTPQBHkQ7RyHRsynzWz5qp+0ImGeNCJjQck
yWWgu3G40i9CdRLv7/Khx96yFptAfG/ZCMZbZwyu2HhCsY6PyiqZdAvjNhq726WAfpb0uJA7Inma
8lNbkA+4dNPT2Om7xuwZy1XXVGtIDuUy89yjYJ9nUiKjQcdAu3jMGdFDQnbt1IWUTozYBYmDf5Gl
IiOOTaU1s/bFrl0ud1Zb5f/1AeOAT/v536qvaKz+rvG7hSJYV7/qr95/5M+GzzTlH0jzAtSwgYcO
dZV6/tnxIXf6w5U2jFqS4jgl1gTaP1s+R/6B34MECpRWnvEDp/LnGm2VZrHb9kh8X7PfpRH8J/or
NFu/tnyG69B2suFDdInYBZnYry1f3mloqDpI77Kc7XwA1NiAmtbGubwNosZx7h2p2u5QFwYlQhQF
FK9sWlK5zaOhHqcbhR2apitXhEeC3+rtB0ZQTH5fXH8QubGVGLc2mIHzI0tvY7zrC2W8lUaDm33D
VCj1t62Z+IzutFlTlteJlfvDoQ4cKAuJys5lVpnf7Zh9Huep8r8IC9vjRLTi2csdtak5/NgrecWD
i7rnEC/AAm3wkFCtUsQglS2pyFDCMFpaiga2yGI74tkzxBd/kklYUsgybgm8G5kMKWfRkuFsc9KT
x3Tl07hqFNBEBXLTVjJ5aD0/T8Kunua7QROjEzbWWLY7u+E3Rgq19MghCOQkGzwBzcdykMsj3mLp
l1/Sceifu0Em2Y1rYfbDx+zdpozysDHBk6WOIv9j23vJGnoUTAGUNgM34aPn9j1dWNTMH6OZOZBg
WK8BMEbxo+cwbN90NdHS25mXf0pllFwt44QZAsWSe5Bk1Jziyh52AUFkIB/wK5h7DycCyqrUbl7m
lrVCHKuMUbIH+1d0FVZv4RI1TmO2+AB8R0+TabOC9LIlZYPvTUm3hBk7/fYdGf6KAkvJO34Ti4gY
lDUTLSMNOSwquPYGs/CSUL/vXls4uyRO82OXOno/xrYM3RVdgTzKu1eQ+hCto+YPrblnQC/L9jzX
ZB8ZpTLvhRuMu2oo5TlyPNj8bevKtxG8VghnV9+wHgaGnsx1meSbeEZrtFeVaC5ObOAYMipteM3Z
yp3Rb5i74Sb3d6txg4AblIfNncMdU58WqlxnbYrnuGJBmXKiajLkLpA6KkwjiGl8gL6N6ZAXUIJT
s+91RxDaZjEH77Gk9sKpK6ag+VC0g6fAUXYGVwzbgA0hCRiuib9a2RYWyEUGkVEbXCRd6FupwAoi
vfVyj/HtDEJr4PLoMEVOzP4FEWdD1SdXMqrGz1aZQEKnUtHstapyPk3xnLikNFgV5V8hjeQ4Z6wI
cX85ZOr0JluI7bjEoj8abentqzhNSVmf2a4kauD+rElx5cmOfIxPdjND5m+zWo/bJkIIf1kIdVah
RXjKtk74NMNmKFcJYCXaZZOxrIoZXmB33LZML73raSnZO3eucWgxiYVJbMdkJUOZAyfjNfjJhJfe
iLouhv0QRQX3mWlIpO+FP3606DUOPTxV2mqje4C4ly33aO++EuVT8UwJyXDId7MZ6HNtdwjOVFL2
+1jP9ccJDKyz8fFIPS2M5euDEzVtRRCcg515Dc7rj5xE86Ojgqk+Wa5EHI3OC2xrYSTWeHq3Stt1
036n6Xt2tfQvXLHd8jjk1tAcxzwxAalE8xT6jUD00nXG9RJl1r2DUYAVpRNk5S6LOc1cDVAun1V2
WCbbP5MWBffWH8U0XSYTbLeHH2QJ+ZPIbPWjbleYccQOhs+q3ses3UJrcex7QbbtsLd1UoQyyKwr
+CDBzvYzRPAiXQ3OTjKZT2QOpyGOUPrRPnfi7EurvOwzvB3xbLfF8MpSY2hRXjoOz5ozDTBeFhtP
MGvJUxvHWN5xOXU7yQKpveL/4GBmEqv1E1FwM+NA9OkqmLkwAym3M5ihxthkZGFhMKMh31qdNMC3
yjYmmA8t2JHMNbveRf/D3nk0R26k3fqv3Lh7KGAyYW7Et6lCObJY9Gx2bxBUG3iX8Pj190mq9U2r
NSPN7GczIxMUWGgU8jXnPIc0aZK+a1nicq+rZvA3PiHQT9YSOy9Y8D+gond7OssZqU9QmfbR9Sfv
XncLYdzjoOvtpD15AQJL/OiYMZnBgA2uZ4wtVdSJS1Haw7hhNV1aN5Oq6xuGDAS3+W3tvLb9/BrP
M/bInk6JDIeUbft2HM2+2wxjNg83JckAl3WxuoeSvAEWqpxf8b01j5GiMhbEKC40bF7vYThlrRdH
V1gZJ/8i/Nza/3eQ/u/UU45j6pn3vx6kP33VAbvd168/llTff+p3Sbv1CywVbDNI0DWo/3s5FZi/
OJZ0EO+gand8/vd/yylwKji0iN0VtqkxcxrC8r2ccsQvgZa/B17gy/8Y5Y2r6I/lFJ6eIHCtQMD1
oDQDRPfHcspblGMkk6xOBqHuVnMgGTHOxl1kTBOMr5K5FbFDnj2de+07LDsW4Zb2IsI38I5tKQim
kxFKC9YA1qVr8S/S8OU7V3sa49jt5HZSfJFjd34tCadmaehI5y3QjkhbeyOHQDIm1X5JgN1fhqrB
Qelg6kdQG4eu9lda2mmJi3AA32CajMtZ5SGgmbs9aRdAEgDXF3zX61eBSATCSleeBgBFONvd/dCh
/Db70dyOWRrfWtr/WS1p8cTql7U1YwIMotSg9WtiDe0BNu961b1bSWM0JL9y0mAwnd/NpiWvoZsa
VfZzjp/3PGer+TBMyg6rwrtnsxbcwO9vQ7+M408FiVNgNPIR5tZAHmhK7xplpjoAdKiOUyq24JOX
+7qpkZQgsN67wG03K130beUFV3GVh7Ke8zuD8RCqF9hy1jL5O2TxNaE3+HAVBoLd1Apza65CAEid
u9PQrcYxMlZGz3liXBUdgYO53XJ48i5FsWLWNzAfMAC3vkEROU3Dk5XSmtoI1s5xVMqDACGyt1t4
pJBO1vtmtLsbD3wo3kz7ydW+44Xtxa6bEHuQLNndrzn9Lbnhxd4dajarDe5loX3MA+0g0I9PZpl2
B6thijGMsX0AmRG9jH5a78lqd79QteTLDbPo7CaWFLzFu4V6nnFT+2UxhikrmiPTDrVvXWawi4k6
xcf5sIm1JxsPdvCrr6rpW8yQfL+aFeb6lmzDHd8b2oBl6orzkjXPbDezZ+qT5c1Aus4BsErzBpjd
eO0bjBhqinss6wE26CZmFQEKzw8T7SuPtMPc0V7zAtN58m4/NxzRHmHU5kQ6tMYV3Lrx1madeS1a
Qi+gsUNu2KZM8L3jYAwp0SsEMI4bvNQY31ftgedlv8/ebfHrrDl72itvv9vmW+2gXwafmeUaYKtn
eUWMX2GD7nKQ5dkhVBC0RxZK4dleyzuUw0dsioSNwea+Ua79VhetF51Jm52Ta6QFH1zAyQ8Qdg6o
2i2DHN1BRPah6BmgeZsxmKrg8yqgceyAiq+3K/ubu26w/fJzUDlMbERFDJ7fD88SpRZMsSFhzlTg
eRBRBzdcDbiMiyq4mmrPRv4edfiTG4o+OB1GmU1bzF7xsRFerp7tYhIgryXsOvKNKtervSvUd35n
0NNktnnLi5L7Xo7gCiM3YxW1q+PIBFfWTv3WhEhwaRev9D6Y7B1bYElyse6rORiiL5mO58NPFmx4
wxHRIwyxMxn68ORKBHoBUsBNAA0l384jNsaN2QfZr54RLcbRr0ZU6LIuYAfX/jDk4Tgozno9WRE3
U1xCWloa+ZZjLOJJMZFvn6ykN8dN1WLSxSchvrC86fMDSxiqL29B0x+ORhoQUMraKthVMueSbOx1
Z6E9bg4tH3mAXYEuyoRMfeDdxxUJikSBYwcdFVMZpxnKqTSo6lvPX+yayKOhTZz+GraDNCGowYmJ
vdkDvJNU7u2s8wakhuKYZjHi85fc460LruSp0LEGCrSuIrdK4Xlfy2A6ZDhQb6pAtKc8DfjezzIK
5XtWgj043gHSVXKovNE/1DpUobKL84rGj0xiS9bnWYcvRE3job/uSWRAveLpqkonNQw6tKHHWHPl
gzaQOtCB7ypIBCt2050CAmDsTR3+4BVg+1y7W62tM+FTJPuhuqDvJiJz9NxL77K9RA1OngRYsWsU
qOAfW4V8YRbxoVeMXUmUGgpzU3br8rld2l85o9QFlS8ARNyO2xTdvb+xzdZ8jEld3s/oLp+liLt7
QanE4VAVpyL2utu69419QezR1ViZ0ecVJNrdEllh57kxwswsOoIPMF9zz0pDsqP8jyPyrHrTR3ZD
5EA7X3urt94IiaQLekMeNtOSMR11GI63Nbr6eN4zKxObuTdJn+qdhOlDNjpilzETvaNkznbwWw8d
mNXn1av70wKrDztvtR7kWEr6WItF4trRl0xFndwCXCImVs028ZIOr3i4a5gVFJrVietjkxRyY1ts
dmOQnnfUxtN2XJN8JwixOrh8ANS4+QjaYBIJr8ZVvDrASjgLZdC8jb7d31jean1lH1XvZU8RnluR
dXS71vlgzFwPqiqRc3B39lnK4FZVfXHJzal9Gfge3rAmUXdoo4MzKp8K9GGVnZlsY451kvGS1xLg
hF24x2IdP7W+SM8LipYPEesuQgQtaGdZ51IJQAhFgkbERV065qWb6Z62Kd/8O5l58yGwXfXme9WW
wWYeOqwE7lUHF2MjSt89lYyx6cgTQn2yvP51wli0aWbSwvOFAA6Iih8ihiMMaNlqFOwAtM3A2aEk
UD4mK+N1riJzJ9D33sg0NXENdDouR8VtOBtOEwqWDESFWv2zYQ9Qc2ir2b4K4DoByqJNN85usG3h
/m5ZyaAAq2K737YlAGAXq61rxRoLOfmAkfhSw8cNybmUb/bMbJS0O4gynpnxJlD4LpBojewivUcH
+kXMkReX5GM9de7SpPf/re//nfqe/lnbGP91fX9Hfd8txfhWpW8/lvjff/B3mYz4xQ10HY9KXcOc
dS3/vcz3taEVjSQP5bsxVXsyf5+a2kxNCfExGWX+5lf4R5kf/AKZANuB5VsOBLT/LLHHdvVU9Efy
g+9pBLZnmbbAQUtj8ccyv8CmspYIDY7Sq/IlZHZJCyuLyblwcNWBZnZZDt6CVJX7ibdvsLE7pU5I
/zD7ra2asm1SmAgO2q4vZJgEEvILgNghVMHnhqXa7eTCScVBYIYiRaTKls+XSLSNroO+sYhwdQsb
zbDTYRX0VpbSYLwiCjoQIutBS0dRRi9M0TS1FTOviYxsXZ8j24CCJOAj7lSgUa/MplqiJTQA1nyH
wVqz5sK+I2LR3egpkavRsQxB87Ac5igk1v6Ykgr9Fdx0/Hlaoc7O/MyrXOpswB4BlTZ5B9RaHt4w
FlRBx8tHM2xrTbOFNlBcj5pwm9ZJfzNOUG8tzb+NTDR4m7qHisskN99nHo0TAlCouTNix40Bzw9d
SxkgKm4iIKqatOsrbrNlEBu0AdxqXhHUM+wqD/e+rTm9dsCdF5rdO61Beddrnm+vyb6mZvxmmvZL
+rhgS68ZwBhNmMVpLnA+Jd7exhvcbxWZMwS6xOZu8VwU1ipnVEPQjvkBF2x/HoAOdzLuH62OMM0D
fmGgxDYovQZQDqziSg3Oy1zk9j4bdJYSBHCgxmsU3QBQoAZ3TJwSNfBWKcfuwXNrn3PcjeSVY0zm
NyZf1U6U1oM33pVBUYXdRKYHg807MQwY5Zj9OZrXMHzUsvlnRUbM7YioYBuU7s7o/H5LH0DLk/Tl
wanm4graRHQOmqy6l0i7b3Jhf0jR6IcQVvIQ3O6yr1jXPS6DbImul+VxMsutWVv9Ns+z7CEaWvN2
MDovjIAGnnDEAU7HBEgCNlLewazDiGosJWG8jo5ZEMn94Jb5N4gon60oMPbMo6IayHdhPfCQY/ei
hT1RtJRUdIGzs3xJTgOwihBZ1H3N07a1vOC6Nll/lX7rhkbSva7gRNnJkxycYFDfyMXnt+wYhMYD
qSwWEXVXBbzIV1Yo8akpkvZBFk1zs8BxuUIaBQ7JSMjJYuyzLYSCbDm2PDc8ttNmdhf70OCM3AxV
koaZKRitY8HG8IYh7mGZerkhX0XUnPwIk2Lr2Y8I3NvjMp60b9dahTuE2ZTEif+ALK5wm+1ikG77
aNvIfx4lYzMpNrQYifViCZ6FnSmz9NpVpncPOy1KPsxiLYkLtrLC2VdBjbgBUdXC9cf0wvlnfwgw
XZibgsDncasiB86pQB4nX0mUqLLTVGuSZIGFhk8Dek9UBwUUaXwc01RMkOhT7ZqN3y20uWOO2cc8
79VaIaDLK2/FWdAhX26ILA3HDh91yGMWxx9LK411trTFmDs36pLHc6phQs/LarG0sdKZj4+2yovD
gvQtf9eWFPHxcel98XGoq6n/7OWBlbsfuUcBI7xi6OsrzKwOxpAqYmvE/7mEetBVU+WSmzT0BAHS
HTNDbhkobO0enQRfLGve/fek/ndOaq1LZTj1r0/qx3dJa/iW1/0fTurvP/j9pA5YbwroR9IPHCmF
qwde309qkh9/IWWZ4cDvkXv/OKnlLwH8CCZvOjzvfYr3fR4n7F+Erw9q14Gu9D6q+w8Ure+ojB8P
ajPgPwGNiDOaigEVrUao/MCXCMyu6qOoNa6FsMZ7NrHlbhVKnspizXdeQ/IUnE/7wSlcDLQ1tAIL
OcnJt3z0Wnk9PZFsVDL0ZwoO49E/krFCyDVsq2oL5TDbem6VkNITP8SNcxQ5edqR0PQCAX5xyO8m
CJIbsphQ8aOQZ/LHy585doAtpoIsI3Km6K0o7Me+IlmlaWyddxWXFzGN3RNrSdSDHiR1Ctvii2mw
9/OdZ0bX35wGUx4JFfdLQJRmVrs665cUJeLJh/IhxfF9BTG2vV48LJGbuS3zA3J03mhFNZ8XciNO
ZUzaUwZA4UpwZO37bkAXQU6FC7vfNC+0uPYMCo5Uv3FG9cnej46DtPhqOa6mMneAIhCQyVaeTeUf
2ac8NCYdrdMH1k2ZW9dVNJdhxjxBN6wYmBMGcm3rR/se2OGWB6be+ZWlNm2cEwGItxBzE7m+VV9e
r73I9540PHa/OKYiovw2g/Ca/WwTx3WcK8bA1AVoNvNifWwlmqZpSV4Q5NrPUynd0yy88WNl1SRS
YezHhuDU0aVRi23u6PhSRdVlJJZ5PVaRsz4SfpHnwy6dat/4DHqado0Y1cFYObu6jDVgVXfr1pQ1
VEdD9JgBMZECr3Iqn6gpSIu7yccxx/xsbKdDSZ13tGGgHsjqRmbGVtG7nUuYD4bXm+hjUqNM+o2/
ds646eNUnpnmwIq3EJntjHxFn9uPAdIRHHH5xVhY0xqhwag3xgDRIIBUN3VWpEYCIqD2ybNEXzp2
XgCAba7W6oqBaO+qj7UdyQe1ImbJWZvXqcHMQCHBy6Z7GBPloWpr34sZEq3jOO2hcJjDehBro7Qa
DjGr+zyZQ2c+GuPCqh06YVaUhMLGVID2nsbRRy5JAkMtzflmSsGNtfu2i6phaxWm9QFC6Hw/4Rkq
CRuoAC/aqZVh6zdiFsOWxJpuDB1kM+ZZxkuSyzRn9+WhbOvdcr4hzIFRQxW0KDDjlo0ZxtSHCl9K
s+VN0tLugzd8iWSVlxcjW2xrW7IzY9o2uSOTB8BxW6Y77OagqVUUwFZyrKvC2GE4dOLt5A/Lo0Il
zaDaUCQjkfSH+a11nU9tIuywiMv4tk2W9tYlsQ5RX9Ns3QTv6IFfgNWf2UnG7y1nX1VARljYILud
ql7YXiI79VpLSzUXsMcbuhiiRJjMnhIf9KffeAZLwq7H5Rr3swxhvPbgokCU8ke+kmWdSadfgLQm
9i4xux4VmFfd4bePDx7G/sQa5W2QjfFTVDTzNTmVtty0Rrz+hsH6L2jpb6Q+GjtGL/mvD8SXr4pK
vP+xa/3+M793rdYvLIRoLx0m5xqa9I+uleQklAGIeVzx26n2Q9cqCZ0mCJiJxf+utP5xGCIbIs5I
YJu3KA29/0Tro3vSH3pWAq9pnAOEQwDxaF/Nn3pWSshhhc8oj76PSbRMSDYHauNsfrgn300lP0IR
9YLrh6sI37UIEQSazDINE8nPWbbRANbEYdR8HLIKAsloBiyBWdJ/0nknd6ULsKSA7QPcbu3/juCm
/7z+dHFssb4JGID2y/3pIyZuAYU/94NjLIKaQ0R1E+cX1hMiYfKHjK74LSb7GtVMlToho87062zw
lti5ynXCApn8ZhlQ9fWjX2yd1mivhpwZYedncMCzIkKhsyiEoHFMYlPnRQ+lW0zhX9/Af/ohPMEH
wE0veZB+WiGaSjSY7tfgCGnU3s0CwE5pgPFOvWl5binat5GVQ5Q3SqJ6UGtpCvbgs+HCKg8jL9Cm
EpuoAYQuMEoA6QFaWvcja70TuqJ878OrfirToYd+v/YIq0uUw3/9GdjC/unPwfeAiiFugwPxs6gM
7j6WCG8KjhxfU6jotjfoERb0ydm3v77ST/K198eNkHdHUjX68k/7VomKn3hfrjQCJKbfgITeu357
pXqnvTclDpO/vt5PX6L36wXguEBYCB4yRz+BP9STttVVFTZgrhen6p43CoPzATLQX1/ln9w/Nsgo
80CzYfv6mUQYKF4X7FD8o7JBP/rctcYJ0mPe+U9/faF30uRPX1dpc6CSY8V74U8vhQxuaTDxDB7t
1QIz63WcPYTvHZaFP7ilREyCMZfBCyyE/GEZCfJoCobEAhPRA2uy9bqUsr1Xi0atuyMK1MaiREa9
TXZXrDludQHxJeXZfB5j6BNb/E+E9pISj5dDxFxkboRN548zsrPd7sPkrunxrz+k8x789odPyUzQ
wkTt2YDUANX/1AVojtCQrGo+TphrNyWg1hML9+6EbCXf15B4N65TfyNCyNB7G2o+Am2PRZkN+9Fq
+n3eKHVp8nQin6ByQmJQmf6gQ7xI5L+fvKksP1BAMFOY7EcrKFvGzQCFtwrqwpNt5gHxx2kFJCSZ
n5O4YsUdp8sBjgeJsfEnXmf50e2lvI0HW2LPretrTpfkWDYR2Uoseo6IrRYszGm5I/TEOnRO7T/h
kc5OmQFysbJaKkrGNp8TlA9oCvL4JJp1vG2AGhOAu3rizPSkwFyKD5kttNi6AoUfSQk1UE0LUEUO
VuSlRyJYtPQlaMuMW9YXy5cFCgdOqKTfxfToBxkJnHmZi8V5RTAdGt4qYK045hONVPnBi5P8W2Ml
9bzJzQB5Q6BQum8mYqAhXCXzqwcdLvRKW0HEDopTtmTzmQgq99Ytcj/s/ZR8LadMp9uBfujXKtNh
AG23Q1fHuDTKvxq54d8Y1HL4bFOqUk9dlSVZVoVrtezmg9M8GtWljhriEmaGDpsYqNzG8KoDo86z
vp+owTPKyMBn2lpDCbBK56NMmG+KOUErSfbLGf3Y8mwUeW/zb831Yg0G+4NFV2Um5wsReJNzgK/k
n1j2OG8KqMRdxn2qTr050Fp4HYBQsYcDwxMxopAfWsd5q1tV7/PEJuahmf1yo0V7z9XSDds6x3AM
sRxlO7Gtx2kZ9kni3NtROcAWb8YT3oZlsxjk82xUYn9heVGGCtHt/aKKmzSSBGVNI5vWuEBOGeXA
pEr4ZMo0rxobDZwZE2+cBXP8WGXxDZaqTwlesmPS9+ZDZBEZnyn3w9Ln6AurKsT6lW2NzA1eemIJ
9o5S1tmbhwlITE6m8bjO25Icmc2QEVaAEIToF8jKvKLQDVrlu1O71p6rODjkkDkYf/nRRwMyPb/M
TA44OswtrlKw54CdRx6ucfJCjqEc1rHvVgzPUji0sWsfVNcZ1xKP0bk32FypWS5v2dSZ4Lk6j/5g
YXG9Me2suV0ZEPKa6iwa3sUSp4RJ59FyUvPo1XxdXINFFW1Qa6/0eQTQJRtkG+1m7ZNoyx6z+qxG
Eb9mhKF8cb1ueXVGNV2Vvj+e8jHomfg14oz3HFwYW+Ut3o7xNFh8v4wlh+xQLKjbNmbmdRZhOIG3
tqHVugDszRj/krHOz2I0qz3CqORk5vjnRVELbDJAFgOHFBPLbatzOoPoqUxGf7Lmb7NqyPG3EfB6
BV8yD916WA6Gi5qi7cx8H2Xj8m3EK1VfzAWfT6QZlOsITUzVNitTsAFhGnNyWCtUQdscmp05TvaO
T6yuPJd+fMKYR0CbudBt4wxag0nc2nxRL0tqtkOYR4iEmfnX41eIkhOSXnNFXJqpz4mH3Q5Wmvfy
zqIjcN56Mkzqi6JuEkTXE9XJSMmHts7cuDF9Y8iIFF/rwC5lN5tu/lDEon3NMicPc3OdQvy/850h
G0xsueWcGHDn+wY0xkvdd1gG0WJ+WY3EPBYZgQQZiembtqH8cosaQB/pe8dlcZqLk6zRlUey9YHA
G7yzriPzMEODiKxi5JNDR7oNTFIq5OCQOtCTDi1YX9+uXhN1YEJWfsYOCsB5rovdRTn8JoQ5ETI+
9nwklC5oCmiXkXPnmdwxmpG3Fi8Ggn1xlzW9vR7NzC22gTdEV9QqEhWtG2BRKdTV6PK8Wk6yfKMG
Hl9SEOY7p7bbKxSVbI6pbeyDhdL5ACVIEv1bGw8LF0hCRL2UF3hM+bWR+n4CiQ4VAtBl/4Cmmb9i
YfSgTFyQykusV9OX1x2RoQdvbOtDl9nrtKFedK7lbAIH4aVgsY0gw68V+yZpZ/juTFbHIgP95kQJ
iSpImCINF+r7dCPzSe7QFmCkqZCj50k8HlQzLsmB2+/lnxXQi+SsurJF4btIxiJzBc+kL5WJDxzX
2DlABNXwZl06xN3AsJPLPNlzuZ7ej/f/Nqx/27CCA/ihEgrf+rf/85ur5fJWfv2f//uSqhgD/h+n
t/L9h37vWEELCJd/ZFM/6zUr5ezve1ZwbZ6HwwQmgK6sf0ynC8i00xgD0wSKS/WIceV3OSXBdbhc
fF1P+r8F1/0H41vP+pOckss7tKwukx3J2EeX4z+U2/5IQEbNooWedakIYhlr/CI6nGWtlvacTg5j
mOjTUvkkuAw6zIV3HT4s2JjXkMuHi1OT/8gbwNlLL7KinSI++I4k+eZa6aCYuiL2ZUNbfmqj/ini
FNYqgvbNdJpcpaHiBj9D0apebAi3d005cc6MUAK+yKgi4Cqh8BfLLN/I+dZ0bbuTb05D1bfR3cNL
79bG13z25mcOvHL+igY18LKrFFHxJam9nSKn3o/n7NpkokUU7Yirf3JETE8WG4O4DL1tWbyla+PJ
EJINL/KPcdf4HOoeheumK9NWhJ7tzBdLzdg988T/VOQFEqWODpbbAnTxaM1TDJvOGrZA45gyszxH
qe1PgNCsFul81OW/inKtrjkw2GH5qwglmXCvKuuQ/lmRoMzjlVhEzvQCw3HR+jdkW6Lj7KrhARCx
vpoesE6cuqjOjY+8tjnCWe09M8VKUGvCmtm069h6L02Hm5yh+YyafVWACVhSRQQ8RIHO0aOa7O3b
FrIEQTqYrJ4Ukpa3oRE6qq4AQSpigeMNccDTPDn6LvOyizdkcFlPQc54Z/Me+hCTVcKmuJH853un
oBtROomsw409bL2+I/fMIWwTUSTdI6FqSQDO3FAtwVITCfbXFqmiBLnqvyzYw7GZbhgPbNqBzo/g
sZKfkc6Se+dGJ1ARbQzkQPYlkX0IxdPtu4WgH4Ve3SVopcJ4JhvOr3N4qOwighcKSlafyte+fa2j
e0IxyscohzE9TF7NIBZOHilbOqepgTvRHUSPEXSj5m69DirG3JulJOnPjkkX3mZMbXVCIDcFHZ8g
Oj5fyd7CfMAvMKGtincs0rm75RiR8EevEsFKHoEnSbTKUH1hvYvQ92B1XKJR5311fWTGp74ZQcrH
ddZ/gUOAAAy/NJNN/Ku4Yahmi0ORZXgpoOGM3bjBO86/EL6m2c6u/vA+swVwoDZD+q2aNC97bRn+
CJdRxky1TZhZxwSIhb2B2p70JNK2bfPOT0f3/H5F1xuIwBgNQt7opng221F7v7KJKLhJ5WSBsHlC
wCkme1wPFKrizaQOJ3Eonutr11TNxxZr0Lhp5ayOaACluH/PS8sd7fgh20B1O0zF5M21tk5VjJ2C
j7VQ+Z0JaHA/CM2ae3n/Lf2CLv9YLCKttqwf+GVl4/KUGShRLoEqoF4XeYdorHM19zYvx3Z9xGTP
EKou9B8pSxV9T7LF7C79EmhQGBF5CxHd3SVYdFDHb+F+Rk3zndc6i49GEkf3VPCG8jIw+6I0rWWf
EnHybV0lT2TmGvqZsmxAXbE0/PJQD6M2mljlPGyTJp8B+ef9FPYB5Qle8+kBpdR8N2YLwZE8aQ6r
/QHcQpFUEJEDETTn3qcjaSQ8a2kbLS40mzn9UAJg2C6YVzWtKrrOgiV44Q8TA50WyTxkycIku1Bd
87EXQxftoTjMQNMC55BNfrnHHA1oa4wltXvffc4M2DOok/laFEExP/quUW49G7P2xlbYOjZs3oyz
y5yAT1fmpKGvNb6tbQ8Y2QllUEFv45aN63Gm1T9OVuB9bpuMkZhV1b6zE1DleTl0QEXiOBMn+CDc
32VOohflebxBBpSEXLCcbidLih1YSZtusnemjd2imkOdJpqTM2sOZOEnyVZxYuAOb6qHYsSPAzsA
NC6ex8R+DurV2xuU01+FVzpXkerTYzb61pdCeuuLHw+ztwfNmZ1b5aZfHbBdT4OUy4kkFPCEjBS3
LGeegbGpF3r7LsS33UNLCIgnBBJHWhURl2eLZpZ/Nld704eHUpF3/BWjGlQSB/7mNaoJTwe9eIsg
NjVyPoIT7KCVUjhuA6bONKoqvyklcE9JNo2W4/YUfmm0emcZtyz7VPlVyiDBEe/TsmJSb7Hz97N/
YQj1QPSZPSNUsFjQ4c3srHOBBLu9p/sFnmMGTEvRy64kfIVdmzc3Exsz+NVDdFeNirfJ4mE0N5rh
waqqVyeewLr1QbfGh3FInXOT4wN6jhqnfgHBrh7RNd8lcmwfFh1kM8WdRZdqeY+VR5QcuL7ev23x
3CNBKuhq4sR8je1pvhaR/7RiMvgwsL461IAN0ctOVR3w/WBVchwVuHZoRse5CYg/bey7rsPQ7ZZN
Inc4wUxiHFdYoFHbm/ddUte72caFVGTK2pDArOYNm1Qk7aDjKzNEqTF9ilBBFltLDBLbeTkMaM3b
ogDpbYmC2Nm23vqz2T/ZVe5/TG020RyFDvKZDLNVSTt5Gl1iC7bkc36aOd6vgZEOl942P03Kb28a
ptM9qtK5caG2Rv0ZY3gWjgwlH5fAENfLnFn3ueX23wCuq09LENftG6LYYrzHvBiR2qLW/BQXebVt
WvVqL2t0nyRWFOYukABKwfk89oinCjZVSIShLXaOcatUjyHBxrtHNlf5tein+dxqUEYkF/ueFLDx
Iy6DKIwxct0FTSBvmQ3EHuTXBFwBoKrmghI8vyFM0q5CFEHGPVB3GXpimHbcLlTywp2vmq6sPjGB
xpBfN8/R0JhXualeeo7EHRlaUtsrPlp2fMqmrDsbixSv0xQ7rKHzReFg6SwcNXhsu5gWzmH4cDN4
ChsBI5/cs3v0I4BSiNxrZhycSS/4hD79XSKAZccNOlMOP4N0Wx4VE4xROfn10S6sD1EmvE1cuNAL
bJp0Rkj03nNRhFYz8hzY2DsS9KicFEG0aqCLi2yFI3yP2sEkas9unHs/Fu6dH6j+sVZi4KCHasDn
SZBQrTO5Zz1AQ5XLTTPEz67ZsioHYQIBciYujKEGFP6yfEwzkJJIlbNib+M/DWe7wK7XmBq13sOJ
2ixdktyV2vCAjGd5MpUar5fO0TkK/OAIrOCGN9BIyB8EybAvg3unN8dDUw0Jf2uL5hp6R/uQSIwh
W6AN0w6ZDirnZKqtqwE4+32aujRykXtCcA7hMmeCSzJv5BJsP7wkQ8LAhBwGdk7wd+N5jJ9HCB9Y
umdEEG3nXLlNOR9nMwayFyQ+jhaXPwcg/BPC/dIMVizHg0vsX54Q/uGWPUqrWZJ8lA6cjkUSoIzw
ygIeAzTHJuCDj0BQH2GWePtubqOMAYsFEoJE6BAgIcaECLvwrCxyr9yq26CDRCS5xADgxSIY0CTL
cD0rUe/Je5qB6PA+BXAE/HLr8b75krWD+41R57RLc1euxyToi8+N57XHQAXRrtClFdgPtSnGhdmR
sMp6y4TYhe3VNrsMvf7WH/zhZmosO4xI1tuiB8CrRMrRNcE442Ulxtp55nzLb/qqQL69RcpY3mV9
6hAxK8FNlHPsPhSgjBF1G4HaEGRPWVBN4tfcss14HwCn5AtkUgsifM6Jp54f47GYz1WOKhRaRDCD
q/Cj+44y4IbwkIY37+LEr145wipeHYa3+FU/xshVH9Zogjlbxsm+zYflLDspL22VtOR2ta2BL1sO
V05d9Nez1S4Hv0rnO0v23VMylVft1F43/jqHbWC3tyV46c8kRjAr6Vt1xZo6OqjYf6FQm/aMZMLR
U+KekVWBvXTMc6SdcxkXV3C5J2ufBisMx0moJtuyK6izTWm768PgmM2vc14WUDADuxgJakAU4WCg
wSKElSYflFF+XrTDxgjw2hiM97HdNMA7fvX7hoH0UuHJUb85dJDNOsYpmt0Dtg/vocbK07ybeqp3
g49TmW/9FDQ3M6KCTerzLJzI3AKZv2ZLTipJlngPgS0QfabkegZqQgZaRXe1jvyUKCEU1CHZTB9W
HQgqHOXH3l1sN+0dp9+p/y089IdO/p+sWX/eQ7GDki7KKw2PIENR/LQkzCmWGDyb9VEyAKTpSDPK
xAH1RfzbdOXz/P/ir/U/udDP+9z3C6GY5kRAymX/vI30FcV8W3ChImEcT59aljum89Rq/DHoJF+d
Gh+T3+YSxFL/3Ub3z1dnt+djqUShHBB4r9d/P/T/jbEQx7vAflZZg2dumhhsknlFKVGoYw3C3d24
vUc9aEwlFfxf32OLff0f1pgBm2Rhm35g4yhFcP7TTZ4yaaA+UoC8rYb/+jjFuJhAXZALnnV0UOzB
+fCjWOrrPtYxWaaqBnqAKvYKVtCz9Tfbup+XnYHpaI8qtHtkBAKx3R/vRhxMmPtimhlPKXGaHMYP
Mk3sp3Uhmz5Q1t+ucX/eQ0IKcBDd2ggGTCw38qdtJ8CZBWRlVx8rLHlnCHrEgHAav+VGj6/Krv8/
d2f3nLYRBPB/hfG7GUDi6yGZad0mpgluEqfxtC+esyTD2SAx+gCbv76/k3SEExhTTg+e6g04VqvV
3u7td+aRxe66V5PlIHNGMUH0W0ad0Gh5Pn7oPjCvOJ9liIPbjf+cx8v2FZPhGRId09v0x3LKEOfl
I53EfnXX4S1n9Xkv8VuTljPEi+Om6+tO75wp0RQBxZcyy7AtFg9dEXWXq/SaZnzd5MM6bdMt8SLs
9Rz3nzVGJP1yBk9Y6ZPbLpPBnYkaKIya+D7vO0TJZ8+Jj5wI7wfrZXjt0MtWDbVIWE8Ee0F3R7od
f55gEJ8rhdnCqsbD+3VNenXyYcjkjuTjYBLFNJib8zhutGDccjxt955oDDVgSrxygOSTqP9f7s3S
T6u8j7/niadfsyB+/hYwQDnddB9Vv36JZJh+j05bpL2I+wGVbs/CYepFWZgqDCay2pmn6i7NUcrx
PQRhJugUlPl4VJ1hs8sepLNKH+en8n+eNWYR4dri5/PhkFyeAd5KbOX8Km64RaKXiHD4+QpqHl5j
PIHw50SUZZLG0ku3M5Yw4/DWGklOLxChAmKLCP0m7uIefjbGyqkLsblNBGpzmPRBqJ0M44IK2wy/
/wUe84DHrDmOCG3KkhFlVlTo0MlXZVRxsC+uChUGKpG576A3ywVFWdQbYgX0ucrOsqKC22q2STmA
5UuGh7m2eWEwbHIbgm04c94mL+Cg2+nw9V93BEnrHE7Qkg5uPHVVxEK/20SDtHBZl1RCsUP2N8QL
Dln9KH8rXnBIfyT0QzWAigxxVXYEwtGBQmQg0iNDXQXzHUWFIxZtdM3FVM78XMvIINmnjF5aoOXr
7u+lWBn57846rrtJwswXKqVT3DvY1F28N4Rn/qK3ftQvfvvv5QPu3novUvrLSxnEgqA7Pj/VzK5E
s4j+/TITd8Kc7sR7gTN/YvLuzMBz6/2/Ajh5FBqOogmVHhRIWsNl5EsUmoCprq4D8KMIE5FoSDnK
dNjXn/fGWTdb4RApLsRM3kdxJcZa6FhbcmDtRrHwjdmuVMUgOuwh02PHS6WXGUcD2rOyI22B/xbM
xErEgYakiD1g1LT+fDqx9XGmEd03IE42vzND29hFNXAhiSqx9E0uLI4LtpT5GETE403IaAWOiLaQ
L6G4lBpOzt4Ow9f0F6eTfOSLqcGAVKuoGL0twqPZTIaRNHdkcRyxBh36UlSkiMptqAHpaGW+PHLc
SSS1RfjTrmzqtTs17JdPYJZ5j88axZwvelBZf3E6X3yOSLLbITMV+zXwxljI0JAeqv6hBpzHgjmo
IvT10yty0A6sjlc4FkkivGmWBGlq8DQVh24dJJHeVE6E2WYWM6uGHT6Wqt9apcSzg+VWw4YZy4Tg
Ap1MF4ZsIp2hVRP0KIuroGtBnDKfigzBAzgYatY5feNcBXexqJyeyOVXrX9t5chVsBSm3qIa1qnh
+HQVrBqXYr5IKI00NibwhzUIQAX/jyBOgmdNhHxrOkR19Rc2BF81xsGT9Aw1htGnHAD2JF81/iZY
pyGVeCt70ho0sxSmjQvBcHRpajMG0StHdT032C3vBnynhiMJo6hNirt5bbYt1gxv40RiWjUdaqVq
ELIvd/LemHWn2UtfXml5Ywn+2zTyg8Yo2dFt/Z5KD7Wl+PWrk60s8S9usMuIus+AJfiDDUWtYT+Z
VmXpRrGl+V+pmOo3p2QKXdZU33ZbsAcKWC0JcSjT2BL0jUDvMHXDdOXjUHRrEII3QZI29iKPv64G
Y/hGJl5EAYBxciNnWuUx277NGxqaQxgNKOcTmma9qjP3eZo2vshd/5P2uu/7m+lcUyu8WSDi9/8C
AAD//w==</cx:binary>
              </cx:geoCache>
            </cx:geography>
          </cx:layoutPr>
          <cx:valueColors>
            <cx:minColor>
              <a:srgbClr val="0070C0"/>
            </cx:minColor>
            <cx:maxColor>
              <a:srgbClr val="4856F5"/>
            </cx:maxColor>
          </cx:valueColors>
        </cx:series>
      </cx:plotAreaRegion>
    </cx:plotArea>
    <cx:legend pos="t" align="ctr"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hyperlink" Target="#'Cleaned Data'!A1"/><Relationship Id="rId7" Type="http://schemas.openxmlformats.org/officeDocument/2006/relationships/hyperlink" Target="#'Report page 1'!A1"/><Relationship Id="rId2" Type="http://schemas.openxmlformats.org/officeDocument/2006/relationships/image" Target="../media/image1.png"/><Relationship Id="rId1" Type="http://schemas.openxmlformats.org/officeDocument/2006/relationships/hyperlink" Target="#Inventory_Data!A1"/><Relationship Id="rId6" Type="http://schemas.openxmlformats.org/officeDocument/2006/relationships/image" Target="../media/image3.png"/><Relationship Id="rId5" Type="http://schemas.openxmlformats.org/officeDocument/2006/relationships/hyperlink" Target="#'Pivot Table'!A1"/><Relationship Id="rId10" Type="http://schemas.openxmlformats.org/officeDocument/2006/relationships/image" Target="../media/image5.png"/><Relationship Id="rId4" Type="http://schemas.openxmlformats.org/officeDocument/2006/relationships/image" Target="../media/image2.png"/><Relationship Id="rId9" Type="http://schemas.openxmlformats.org/officeDocument/2006/relationships/hyperlink" Target="#'Report page 2'!A1"/></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hyperlink" Target="#'Cleaned Data'!A1"/><Relationship Id="rId7" Type="http://schemas.openxmlformats.org/officeDocument/2006/relationships/hyperlink" Target="#'Report page 1'!A1"/><Relationship Id="rId2" Type="http://schemas.openxmlformats.org/officeDocument/2006/relationships/image" Target="../media/image1.png"/><Relationship Id="rId1" Type="http://schemas.openxmlformats.org/officeDocument/2006/relationships/hyperlink" Target="#Inventory_Data!A1"/><Relationship Id="rId6" Type="http://schemas.openxmlformats.org/officeDocument/2006/relationships/image" Target="../media/image3.png"/><Relationship Id="rId5" Type="http://schemas.openxmlformats.org/officeDocument/2006/relationships/hyperlink" Target="#'Pivot Table'!A1"/><Relationship Id="rId10" Type="http://schemas.openxmlformats.org/officeDocument/2006/relationships/image" Target="../media/image5.png"/><Relationship Id="rId4" Type="http://schemas.openxmlformats.org/officeDocument/2006/relationships/image" Target="../media/image2.png"/><Relationship Id="rId9" Type="http://schemas.openxmlformats.org/officeDocument/2006/relationships/hyperlink" Target="#'Report page 2'!A1"/></Relationships>
</file>

<file path=xl/drawings/_rels/drawing3.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hyperlink" Target="#'Cleaned Data'!A1"/><Relationship Id="rId7" Type="http://schemas.openxmlformats.org/officeDocument/2006/relationships/hyperlink" Target="#'Report page 1'!A1"/><Relationship Id="rId2" Type="http://schemas.openxmlformats.org/officeDocument/2006/relationships/image" Target="../media/image1.png"/><Relationship Id="rId1" Type="http://schemas.openxmlformats.org/officeDocument/2006/relationships/hyperlink" Target="#Inventory_Data!A1"/><Relationship Id="rId6" Type="http://schemas.openxmlformats.org/officeDocument/2006/relationships/image" Target="../media/image3.png"/><Relationship Id="rId5" Type="http://schemas.openxmlformats.org/officeDocument/2006/relationships/hyperlink" Target="#'Pivot Table'!A1"/><Relationship Id="rId10" Type="http://schemas.openxmlformats.org/officeDocument/2006/relationships/image" Target="../media/image5.png"/><Relationship Id="rId4" Type="http://schemas.openxmlformats.org/officeDocument/2006/relationships/image" Target="../media/image2.png"/><Relationship Id="rId9" Type="http://schemas.openxmlformats.org/officeDocument/2006/relationships/hyperlink" Target="#'Report page 2'!A1"/></Relationships>
</file>

<file path=xl/drawings/_rels/drawing4.xml.rels><?xml version="1.0" encoding="UTF-8" standalone="yes"?>
<Relationships xmlns="http://schemas.openxmlformats.org/package/2006/relationships"><Relationship Id="rId8" Type="http://schemas.openxmlformats.org/officeDocument/2006/relationships/image" Target="../media/image9.png"/><Relationship Id="rId13" Type="http://schemas.openxmlformats.org/officeDocument/2006/relationships/hyperlink" Target="#'Pivot Table'!A1"/><Relationship Id="rId18" Type="http://schemas.openxmlformats.org/officeDocument/2006/relationships/image" Target="../media/image5.png"/><Relationship Id="rId3" Type="http://schemas.openxmlformats.org/officeDocument/2006/relationships/chart" Target="../charts/chart2.xml"/><Relationship Id="rId21" Type="http://schemas.openxmlformats.org/officeDocument/2006/relationships/image" Target="../media/image11.png"/><Relationship Id="rId7" Type="http://schemas.openxmlformats.org/officeDocument/2006/relationships/image" Target="../media/image8.png"/><Relationship Id="rId12" Type="http://schemas.openxmlformats.org/officeDocument/2006/relationships/image" Target="../media/image2.png"/><Relationship Id="rId17" Type="http://schemas.openxmlformats.org/officeDocument/2006/relationships/hyperlink" Target="#'Report page 2'!A1"/><Relationship Id="rId2" Type="http://schemas.openxmlformats.org/officeDocument/2006/relationships/chart" Target="../charts/chart1.xml"/><Relationship Id="rId16" Type="http://schemas.openxmlformats.org/officeDocument/2006/relationships/image" Target="../media/image4.png"/><Relationship Id="rId20" Type="http://schemas.microsoft.com/office/2007/relationships/hdphoto" Target="../media/hdphoto1.wdp"/><Relationship Id="rId1" Type="http://schemas.microsoft.com/office/2014/relationships/chartEx" Target="../charts/chartEx1.xml"/><Relationship Id="rId6" Type="http://schemas.openxmlformats.org/officeDocument/2006/relationships/image" Target="../media/image7.png"/><Relationship Id="rId11" Type="http://schemas.openxmlformats.org/officeDocument/2006/relationships/hyperlink" Target="#'Cleaned Data'!A1"/><Relationship Id="rId5" Type="http://schemas.openxmlformats.org/officeDocument/2006/relationships/image" Target="../media/image6.png"/><Relationship Id="rId15" Type="http://schemas.openxmlformats.org/officeDocument/2006/relationships/hyperlink" Target="#'Report page 1'!A1"/><Relationship Id="rId23" Type="http://schemas.openxmlformats.org/officeDocument/2006/relationships/image" Target="../media/image13.png"/><Relationship Id="rId10" Type="http://schemas.openxmlformats.org/officeDocument/2006/relationships/image" Target="../media/image1.png"/><Relationship Id="rId19" Type="http://schemas.openxmlformats.org/officeDocument/2006/relationships/image" Target="../media/image10.png"/><Relationship Id="rId4" Type="http://schemas.openxmlformats.org/officeDocument/2006/relationships/chart" Target="../charts/chart3.xml"/><Relationship Id="rId9" Type="http://schemas.openxmlformats.org/officeDocument/2006/relationships/hyperlink" Target="#Inventory_Data!A1"/><Relationship Id="rId14" Type="http://schemas.openxmlformats.org/officeDocument/2006/relationships/image" Target="../media/image3.png"/><Relationship Id="rId22" Type="http://schemas.openxmlformats.org/officeDocument/2006/relationships/image" Target="../media/image12.png"/></Relationships>
</file>

<file path=xl/drawings/_rels/drawing6.xml.rels><?xml version="1.0" encoding="UTF-8" standalone="yes"?>
<Relationships xmlns="http://schemas.openxmlformats.org/package/2006/relationships"><Relationship Id="rId8" Type="http://schemas.openxmlformats.org/officeDocument/2006/relationships/image" Target="../media/image2.png"/><Relationship Id="rId13" Type="http://schemas.openxmlformats.org/officeDocument/2006/relationships/hyperlink" Target="#'Report page 2'!A1"/><Relationship Id="rId18" Type="http://schemas.openxmlformats.org/officeDocument/2006/relationships/image" Target="../media/image12.png"/><Relationship Id="rId3" Type="http://schemas.openxmlformats.org/officeDocument/2006/relationships/image" Target="../media/image8.png"/><Relationship Id="rId21" Type="http://schemas.openxmlformats.org/officeDocument/2006/relationships/chart" Target="../charts/chart4.xml"/><Relationship Id="rId7" Type="http://schemas.openxmlformats.org/officeDocument/2006/relationships/hyperlink" Target="#'Cleaned Data'!A1"/><Relationship Id="rId12" Type="http://schemas.openxmlformats.org/officeDocument/2006/relationships/image" Target="../media/image4.png"/><Relationship Id="rId17" Type="http://schemas.openxmlformats.org/officeDocument/2006/relationships/image" Target="../media/image11.png"/><Relationship Id="rId2" Type="http://schemas.openxmlformats.org/officeDocument/2006/relationships/image" Target="../media/image7.png"/><Relationship Id="rId16" Type="http://schemas.microsoft.com/office/2007/relationships/hdphoto" Target="../media/hdphoto1.wdp"/><Relationship Id="rId20" Type="http://schemas.openxmlformats.org/officeDocument/2006/relationships/image" Target="../media/image14.emf"/><Relationship Id="rId1" Type="http://schemas.openxmlformats.org/officeDocument/2006/relationships/image" Target="../media/image6.png"/><Relationship Id="rId6" Type="http://schemas.openxmlformats.org/officeDocument/2006/relationships/image" Target="../media/image1.png"/><Relationship Id="rId11" Type="http://schemas.openxmlformats.org/officeDocument/2006/relationships/hyperlink" Target="#'Report page 1'!A1"/><Relationship Id="rId5" Type="http://schemas.openxmlformats.org/officeDocument/2006/relationships/hyperlink" Target="#Inventory_Data!A1"/><Relationship Id="rId15" Type="http://schemas.openxmlformats.org/officeDocument/2006/relationships/image" Target="../media/image10.png"/><Relationship Id="rId10" Type="http://schemas.openxmlformats.org/officeDocument/2006/relationships/image" Target="../media/image3.png"/><Relationship Id="rId19" Type="http://schemas.openxmlformats.org/officeDocument/2006/relationships/image" Target="../media/image13.png"/><Relationship Id="rId4" Type="http://schemas.openxmlformats.org/officeDocument/2006/relationships/image" Target="../media/image9.png"/><Relationship Id="rId9" Type="http://schemas.openxmlformats.org/officeDocument/2006/relationships/hyperlink" Target="#'Pivot Table'!A1"/><Relationship Id="rId14" Type="http://schemas.openxmlformats.org/officeDocument/2006/relationships/image" Target="../media/image5.png"/><Relationship Id="rId22" Type="http://schemas.openxmlformats.org/officeDocument/2006/relationships/chart" Target="../charts/chart5.xml"/></Relationships>
</file>

<file path=xl/drawings/_rels/drawing7.xml.rels><?xml version="1.0" encoding="UTF-8" standalone="yes"?>
<Relationships xmlns="http://schemas.openxmlformats.org/package/2006/relationships"><Relationship Id="rId2" Type="http://schemas.microsoft.com/office/2007/relationships/hdphoto" Target="../media/hdphoto1.wdp"/><Relationship Id="rId1" Type="http://schemas.openxmlformats.org/officeDocument/2006/relationships/image" Target="../media/image10.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5.emf"/></Relationships>
</file>

<file path=xl/drawings/drawing1.xml><?xml version="1.0" encoding="utf-8"?>
<xdr:wsDr xmlns:xdr="http://schemas.openxmlformats.org/drawingml/2006/spreadsheetDrawing" xmlns:a="http://schemas.openxmlformats.org/drawingml/2006/main">
  <xdr:twoCellAnchor>
    <xdr:from>
      <xdr:col>10</xdr:col>
      <xdr:colOff>219075</xdr:colOff>
      <xdr:row>2</xdr:row>
      <xdr:rowOff>47625</xdr:rowOff>
    </xdr:from>
    <xdr:to>
      <xdr:col>12</xdr:col>
      <xdr:colOff>314325</xdr:colOff>
      <xdr:row>12</xdr:row>
      <xdr:rowOff>114300</xdr:rowOff>
    </xdr:to>
    <xdr:grpSp>
      <xdr:nvGrpSpPr>
        <xdr:cNvPr id="2" name="Group 1">
          <a:extLst>
            <a:ext uri="{FF2B5EF4-FFF2-40B4-BE49-F238E27FC236}">
              <a16:creationId xmlns:a16="http://schemas.microsoft.com/office/drawing/2014/main" id="{1954E341-189B-4FD1-823B-B5DD9CCB8554}"/>
            </a:ext>
          </a:extLst>
        </xdr:cNvPr>
        <xdr:cNvGrpSpPr/>
      </xdr:nvGrpSpPr>
      <xdr:grpSpPr>
        <a:xfrm>
          <a:off x="9725025" y="428625"/>
          <a:ext cx="1314450" cy="1971675"/>
          <a:chOff x="1866900" y="1428750"/>
          <a:chExt cx="1314450" cy="1971675"/>
        </a:xfrm>
      </xdr:grpSpPr>
      <xdr:grpSp>
        <xdr:nvGrpSpPr>
          <xdr:cNvPr id="3" name="Group 2">
            <a:hlinkClick xmlns:r="http://schemas.openxmlformats.org/officeDocument/2006/relationships" r:id="rId1"/>
            <a:extLst>
              <a:ext uri="{FF2B5EF4-FFF2-40B4-BE49-F238E27FC236}">
                <a16:creationId xmlns:a16="http://schemas.microsoft.com/office/drawing/2014/main" id="{07D61F12-6CF7-E2AA-2A47-3161BBD4F0EB}"/>
              </a:ext>
            </a:extLst>
          </xdr:cNvPr>
          <xdr:cNvGrpSpPr/>
        </xdr:nvGrpSpPr>
        <xdr:grpSpPr>
          <a:xfrm>
            <a:off x="1905000" y="1428750"/>
            <a:ext cx="1276350" cy="266700"/>
            <a:chOff x="1905000" y="1428750"/>
            <a:chExt cx="1276350" cy="266700"/>
          </a:xfrm>
        </xdr:grpSpPr>
        <xdr:pic>
          <xdr:nvPicPr>
            <xdr:cNvPr id="16" name="Picture 15">
              <a:extLst>
                <a:ext uri="{FF2B5EF4-FFF2-40B4-BE49-F238E27FC236}">
                  <a16:creationId xmlns:a16="http://schemas.microsoft.com/office/drawing/2014/main" id="{4A615ABB-D6AE-1953-6922-F1A375D97DF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0" y="1457325"/>
              <a:ext cx="228632" cy="228632"/>
            </a:xfrm>
            <a:prstGeom prst="rect">
              <a:avLst/>
            </a:prstGeom>
          </xdr:spPr>
        </xdr:pic>
        <xdr:sp macro="" textlink="">
          <xdr:nvSpPr>
            <xdr:cNvPr id="17" name="TextBox 16">
              <a:extLst>
                <a:ext uri="{FF2B5EF4-FFF2-40B4-BE49-F238E27FC236}">
                  <a16:creationId xmlns:a16="http://schemas.microsoft.com/office/drawing/2014/main" id="{C7D2B66F-C0CF-6783-2A4A-549D06D79245}"/>
                </a:ext>
              </a:extLst>
            </xdr:cNvPr>
            <xdr:cNvSpPr txBox="1"/>
          </xdr:nvSpPr>
          <xdr:spPr>
            <a:xfrm>
              <a:off x="2171700" y="1428750"/>
              <a:ext cx="10096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tx1"/>
                  </a:solidFill>
                </a:rPr>
                <a:t>Raw</a:t>
              </a:r>
              <a:r>
                <a:rPr lang="en-US" sz="1200" baseline="0">
                  <a:solidFill>
                    <a:schemeClr val="tx1"/>
                  </a:solidFill>
                </a:rPr>
                <a:t> dataset</a:t>
              </a:r>
              <a:endParaRPr lang="en-US" sz="1200">
                <a:solidFill>
                  <a:schemeClr val="tx1"/>
                </a:solidFill>
              </a:endParaRPr>
            </a:p>
          </xdr:txBody>
        </xdr:sp>
      </xdr:grpSp>
      <xdr:grpSp>
        <xdr:nvGrpSpPr>
          <xdr:cNvPr id="4" name="Group 3">
            <a:hlinkClick xmlns:r="http://schemas.openxmlformats.org/officeDocument/2006/relationships" r:id="rId3"/>
            <a:extLst>
              <a:ext uri="{FF2B5EF4-FFF2-40B4-BE49-F238E27FC236}">
                <a16:creationId xmlns:a16="http://schemas.microsoft.com/office/drawing/2014/main" id="{E8978098-8481-9206-DA46-BE034629A215}"/>
              </a:ext>
            </a:extLst>
          </xdr:cNvPr>
          <xdr:cNvGrpSpPr/>
        </xdr:nvGrpSpPr>
        <xdr:grpSpPr>
          <a:xfrm>
            <a:off x="1885950" y="1857375"/>
            <a:ext cx="1257300" cy="285782"/>
            <a:chOff x="1885950" y="1857375"/>
            <a:chExt cx="1257300" cy="285782"/>
          </a:xfrm>
        </xdr:grpSpPr>
        <xdr:pic>
          <xdr:nvPicPr>
            <xdr:cNvPr id="14" name="Picture 13">
              <a:extLst>
                <a:ext uri="{FF2B5EF4-FFF2-40B4-BE49-F238E27FC236}">
                  <a16:creationId xmlns:a16="http://schemas.microsoft.com/office/drawing/2014/main" id="{F6BC199A-F5B7-296B-08CA-60F1CC49BEDA}"/>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885950" y="1914525"/>
              <a:ext cx="228632" cy="228632"/>
            </a:xfrm>
            <a:prstGeom prst="rect">
              <a:avLst/>
            </a:prstGeom>
          </xdr:spPr>
        </xdr:pic>
        <xdr:sp macro="" textlink="">
          <xdr:nvSpPr>
            <xdr:cNvPr id="15" name="TextBox 14">
              <a:extLst>
                <a:ext uri="{FF2B5EF4-FFF2-40B4-BE49-F238E27FC236}">
                  <a16:creationId xmlns:a16="http://schemas.microsoft.com/office/drawing/2014/main" id="{FD52409E-446F-24EA-02C0-DE0C209C7CEC}"/>
                </a:ext>
              </a:extLst>
            </xdr:cNvPr>
            <xdr:cNvSpPr txBox="1"/>
          </xdr:nvSpPr>
          <xdr:spPr>
            <a:xfrm>
              <a:off x="2133600" y="1857375"/>
              <a:ext cx="10096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tx1"/>
                  </a:solidFill>
                </a:rPr>
                <a:t>Cleaned data</a:t>
              </a:r>
            </a:p>
          </xdr:txBody>
        </xdr:sp>
      </xdr:grpSp>
      <xdr:grpSp>
        <xdr:nvGrpSpPr>
          <xdr:cNvPr id="5" name="Group 4">
            <a:hlinkClick xmlns:r="http://schemas.openxmlformats.org/officeDocument/2006/relationships" r:id="rId5"/>
            <a:extLst>
              <a:ext uri="{FF2B5EF4-FFF2-40B4-BE49-F238E27FC236}">
                <a16:creationId xmlns:a16="http://schemas.microsoft.com/office/drawing/2014/main" id="{1AD9A43D-A84E-BDA1-8E17-3948A18C9614}"/>
              </a:ext>
            </a:extLst>
          </xdr:cNvPr>
          <xdr:cNvGrpSpPr/>
        </xdr:nvGrpSpPr>
        <xdr:grpSpPr>
          <a:xfrm>
            <a:off x="1885950" y="2333625"/>
            <a:ext cx="1219200" cy="266732"/>
            <a:chOff x="1885950" y="2333625"/>
            <a:chExt cx="1219200" cy="266732"/>
          </a:xfrm>
        </xdr:grpSpPr>
        <xdr:pic>
          <xdr:nvPicPr>
            <xdr:cNvPr id="12" name="Picture 11">
              <a:extLst>
                <a:ext uri="{FF2B5EF4-FFF2-40B4-BE49-F238E27FC236}">
                  <a16:creationId xmlns:a16="http://schemas.microsoft.com/office/drawing/2014/main" id="{1006B732-93E7-A1C5-09C2-BD5445204314}"/>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885950" y="2371725"/>
              <a:ext cx="228632" cy="228632"/>
            </a:xfrm>
            <a:prstGeom prst="rect">
              <a:avLst/>
            </a:prstGeom>
          </xdr:spPr>
        </xdr:pic>
        <xdr:sp macro="" textlink="">
          <xdr:nvSpPr>
            <xdr:cNvPr id="13" name="TextBox 12">
              <a:extLst>
                <a:ext uri="{FF2B5EF4-FFF2-40B4-BE49-F238E27FC236}">
                  <a16:creationId xmlns:a16="http://schemas.microsoft.com/office/drawing/2014/main" id="{647D9C79-FD36-A182-22E5-7DB0B139CD01}"/>
                </a:ext>
              </a:extLst>
            </xdr:cNvPr>
            <xdr:cNvSpPr txBox="1"/>
          </xdr:nvSpPr>
          <xdr:spPr>
            <a:xfrm>
              <a:off x="2095500" y="2333625"/>
              <a:ext cx="10096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tx1"/>
                  </a:solidFill>
                </a:rPr>
                <a:t>Pivot table</a:t>
              </a:r>
            </a:p>
          </xdr:txBody>
        </xdr:sp>
      </xdr:grpSp>
      <xdr:grpSp>
        <xdr:nvGrpSpPr>
          <xdr:cNvPr id="6" name="Group 5">
            <a:hlinkClick xmlns:r="http://schemas.openxmlformats.org/officeDocument/2006/relationships" r:id="rId7"/>
            <a:extLst>
              <a:ext uri="{FF2B5EF4-FFF2-40B4-BE49-F238E27FC236}">
                <a16:creationId xmlns:a16="http://schemas.microsoft.com/office/drawing/2014/main" id="{6D34D52A-ED45-B964-27AC-EC304A9FDA31}"/>
              </a:ext>
            </a:extLst>
          </xdr:cNvPr>
          <xdr:cNvGrpSpPr/>
        </xdr:nvGrpSpPr>
        <xdr:grpSpPr>
          <a:xfrm>
            <a:off x="1866900" y="2733675"/>
            <a:ext cx="1285874" cy="266700"/>
            <a:chOff x="1866900" y="2733675"/>
            <a:chExt cx="1285874" cy="266700"/>
          </a:xfrm>
        </xdr:grpSpPr>
        <xdr:pic>
          <xdr:nvPicPr>
            <xdr:cNvPr id="10" name="Picture 9">
              <a:extLst>
                <a:ext uri="{FF2B5EF4-FFF2-40B4-BE49-F238E27FC236}">
                  <a16:creationId xmlns:a16="http://schemas.microsoft.com/office/drawing/2014/main" id="{292413D3-DD13-A7F6-00E5-14EEBBE47A25}"/>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866900" y="2762250"/>
              <a:ext cx="228632" cy="228632"/>
            </a:xfrm>
            <a:prstGeom prst="rect">
              <a:avLst/>
            </a:prstGeom>
          </xdr:spPr>
        </xdr:pic>
        <xdr:sp macro="" textlink="">
          <xdr:nvSpPr>
            <xdr:cNvPr id="11" name="TextBox 10">
              <a:extLst>
                <a:ext uri="{FF2B5EF4-FFF2-40B4-BE49-F238E27FC236}">
                  <a16:creationId xmlns:a16="http://schemas.microsoft.com/office/drawing/2014/main" id="{75C614FE-6AB3-36F2-3EA0-3D081E85653E}"/>
                </a:ext>
              </a:extLst>
            </xdr:cNvPr>
            <xdr:cNvSpPr txBox="1"/>
          </xdr:nvSpPr>
          <xdr:spPr>
            <a:xfrm>
              <a:off x="2057399" y="2733675"/>
              <a:ext cx="10953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tx1"/>
                  </a:solidFill>
                </a:rPr>
                <a:t>Report</a:t>
              </a:r>
              <a:r>
                <a:rPr lang="en-US" sz="1200" baseline="0">
                  <a:solidFill>
                    <a:schemeClr val="tx1"/>
                  </a:solidFill>
                </a:rPr>
                <a:t> page 1</a:t>
              </a:r>
              <a:endParaRPr lang="en-US" sz="1200">
                <a:solidFill>
                  <a:schemeClr val="tx1"/>
                </a:solidFill>
              </a:endParaRPr>
            </a:p>
          </xdr:txBody>
        </xdr:sp>
      </xdr:grpSp>
      <xdr:grpSp>
        <xdr:nvGrpSpPr>
          <xdr:cNvPr id="7" name="Group 6">
            <a:hlinkClick xmlns:r="http://schemas.openxmlformats.org/officeDocument/2006/relationships" r:id="rId9"/>
            <a:extLst>
              <a:ext uri="{FF2B5EF4-FFF2-40B4-BE49-F238E27FC236}">
                <a16:creationId xmlns:a16="http://schemas.microsoft.com/office/drawing/2014/main" id="{DA7AAF8A-AEB8-6884-30EA-F1A2A0934B2B}"/>
              </a:ext>
            </a:extLst>
          </xdr:cNvPr>
          <xdr:cNvGrpSpPr/>
        </xdr:nvGrpSpPr>
        <xdr:grpSpPr>
          <a:xfrm>
            <a:off x="1876425" y="3133725"/>
            <a:ext cx="1276350" cy="266700"/>
            <a:chOff x="1876425" y="3133725"/>
            <a:chExt cx="1276350" cy="266700"/>
          </a:xfrm>
        </xdr:grpSpPr>
        <xdr:pic>
          <xdr:nvPicPr>
            <xdr:cNvPr id="8" name="Picture 7">
              <a:extLst>
                <a:ext uri="{FF2B5EF4-FFF2-40B4-BE49-F238E27FC236}">
                  <a16:creationId xmlns:a16="http://schemas.microsoft.com/office/drawing/2014/main" id="{760816F0-12D4-7E51-DF44-FFE2FE59A167}"/>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876425" y="3152775"/>
              <a:ext cx="228632" cy="228632"/>
            </a:xfrm>
            <a:prstGeom prst="rect">
              <a:avLst/>
            </a:prstGeom>
          </xdr:spPr>
        </xdr:pic>
        <xdr:sp macro="" textlink="">
          <xdr:nvSpPr>
            <xdr:cNvPr id="9" name="TextBox 8">
              <a:extLst>
                <a:ext uri="{FF2B5EF4-FFF2-40B4-BE49-F238E27FC236}">
                  <a16:creationId xmlns:a16="http://schemas.microsoft.com/office/drawing/2014/main" id="{47F6CD18-CB12-F7AB-0E2C-4DFDC15C3952}"/>
                </a:ext>
              </a:extLst>
            </xdr:cNvPr>
            <xdr:cNvSpPr txBox="1"/>
          </xdr:nvSpPr>
          <xdr:spPr>
            <a:xfrm>
              <a:off x="2047875" y="3133725"/>
              <a:ext cx="11049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tx1"/>
                  </a:solidFill>
                </a:rPr>
                <a:t>Report</a:t>
              </a:r>
              <a:r>
                <a:rPr lang="en-US" sz="1200" baseline="0">
                  <a:solidFill>
                    <a:schemeClr val="tx1"/>
                  </a:solidFill>
                </a:rPr>
                <a:t> page 2</a:t>
              </a:r>
              <a:endParaRPr lang="en-US" sz="1200">
                <a:solidFill>
                  <a:schemeClr val="tx1"/>
                </a:solidFill>
              </a:endParaRPr>
            </a:p>
          </xdr:txBody>
        </xdr:sp>
      </xdr:grpSp>
    </xdr:grp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209550</xdr:colOff>
      <xdr:row>4</xdr:row>
      <xdr:rowOff>171450</xdr:rowOff>
    </xdr:from>
    <xdr:to>
      <xdr:col>16</xdr:col>
      <xdr:colOff>1514475</xdr:colOff>
      <xdr:row>15</xdr:row>
      <xdr:rowOff>47625</xdr:rowOff>
    </xdr:to>
    <xdr:grpSp>
      <xdr:nvGrpSpPr>
        <xdr:cNvPr id="2" name="Group 1">
          <a:extLst>
            <a:ext uri="{FF2B5EF4-FFF2-40B4-BE49-F238E27FC236}">
              <a16:creationId xmlns:a16="http://schemas.microsoft.com/office/drawing/2014/main" id="{71793C2D-0DE1-46B4-8718-48D969A2A6A7}"/>
            </a:ext>
          </a:extLst>
        </xdr:cNvPr>
        <xdr:cNvGrpSpPr/>
      </xdr:nvGrpSpPr>
      <xdr:grpSpPr>
        <a:xfrm>
          <a:off x="16830675" y="933450"/>
          <a:ext cx="1304925" cy="1971675"/>
          <a:chOff x="1866900" y="1428750"/>
          <a:chExt cx="1314450" cy="1971675"/>
        </a:xfrm>
      </xdr:grpSpPr>
      <xdr:grpSp>
        <xdr:nvGrpSpPr>
          <xdr:cNvPr id="3" name="Group 2">
            <a:hlinkClick xmlns:r="http://schemas.openxmlformats.org/officeDocument/2006/relationships" r:id="rId1"/>
            <a:extLst>
              <a:ext uri="{FF2B5EF4-FFF2-40B4-BE49-F238E27FC236}">
                <a16:creationId xmlns:a16="http://schemas.microsoft.com/office/drawing/2014/main" id="{1B810D62-F0B2-2E5B-0299-6A98375E9F42}"/>
              </a:ext>
            </a:extLst>
          </xdr:cNvPr>
          <xdr:cNvGrpSpPr/>
        </xdr:nvGrpSpPr>
        <xdr:grpSpPr>
          <a:xfrm>
            <a:off x="1905000" y="1428750"/>
            <a:ext cx="1276350" cy="266700"/>
            <a:chOff x="1905000" y="1428750"/>
            <a:chExt cx="1276350" cy="266700"/>
          </a:xfrm>
        </xdr:grpSpPr>
        <xdr:pic>
          <xdr:nvPicPr>
            <xdr:cNvPr id="16" name="Picture 15">
              <a:extLst>
                <a:ext uri="{FF2B5EF4-FFF2-40B4-BE49-F238E27FC236}">
                  <a16:creationId xmlns:a16="http://schemas.microsoft.com/office/drawing/2014/main" id="{A822F29F-9564-3A7C-071F-7193C7B21393}"/>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0" y="1457325"/>
              <a:ext cx="228632" cy="228632"/>
            </a:xfrm>
            <a:prstGeom prst="rect">
              <a:avLst/>
            </a:prstGeom>
          </xdr:spPr>
        </xdr:pic>
        <xdr:sp macro="" textlink="">
          <xdr:nvSpPr>
            <xdr:cNvPr id="17" name="TextBox 16">
              <a:extLst>
                <a:ext uri="{FF2B5EF4-FFF2-40B4-BE49-F238E27FC236}">
                  <a16:creationId xmlns:a16="http://schemas.microsoft.com/office/drawing/2014/main" id="{2E04BF6E-64B0-DE48-5650-E11E0D701438}"/>
                </a:ext>
              </a:extLst>
            </xdr:cNvPr>
            <xdr:cNvSpPr txBox="1"/>
          </xdr:nvSpPr>
          <xdr:spPr>
            <a:xfrm>
              <a:off x="2171700" y="1428750"/>
              <a:ext cx="10096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tx1"/>
                  </a:solidFill>
                </a:rPr>
                <a:t>Raw</a:t>
              </a:r>
              <a:r>
                <a:rPr lang="en-US" sz="1200" baseline="0">
                  <a:solidFill>
                    <a:schemeClr val="tx1"/>
                  </a:solidFill>
                </a:rPr>
                <a:t> dataset</a:t>
              </a:r>
              <a:endParaRPr lang="en-US" sz="1200">
                <a:solidFill>
                  <a:schemeClr val="tx1"/>
                </a:solidFill>
              </a:endParaRPr>
            </a:p>
          </xdr:txBody>
        </xdr:sp>
      </xdr:grpSp>
      <xdr:grpSp>
        <xdr:nvGrpSpPr>
          <xdr:cNvPr id="4" name="Group 3">
            <a:hlinkClick xmlns:r="http://schemas.openxmlformats.org/officeDocument/2006/relationships" r:id="rId3"/>
            <a:extLst>
              <a:ext uri="{FF2B5EF4-FFF2-40B4-BE49-F238E27FC236}">
                <a16:creationId xmlns:a16="http://schemas.microsoft.com/office/drawing/2014/main" id="{0B60361E-60A5-47A9-D108-B7C7D42F74CE}"/>
              </a:ext>
            </a:extLst>
          </xdr:cNvPr>
          <xdr:cNvGrpSpPr/>
        </xdr:nvGrpSpPr>
        <xdr:grpSpPr>
          <a:xfrm>
            <a:off x="1885950" y="1857375"/>
            <a:ext cx="1257300" cy="285782"/>
            <a:chOff x="1885950" y="1857375"/>
            <a:chExt cx="1257300" cy="285782"/>
          </a:xfrm>
        </xdr:grpSpPr>
        <xdr:pic>
          <xdr:nvPicPr>
            <xdr:cNvPr id="14" name="Picture 13">
              <a:extLst>
                <a:ext uri="{FF2B5EF4-FFF2-40B4-BE49-F238E27FC236}">
                  <a16:creationId xmlns:a16="http://schemas.microsoft.com/office/drawing/2014/main" id="{543AABEB-D947-BCBE-D5A6-B22388BEBB26}"/>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885950" y="1914525"/>
              <a:ext cx="228632" cy="228632"/>
            </a:xfrm>
            <a:prstGeom prst="rect">
              <a:avLst/>
            </a:prstGeom>
          </xdr:spPr>
        </xdr:pic>
        <xdr:sp macro="" textlink="">
          <xdr:nvSpPr>
            <xdr:cNvPr id="15" name="TextBox 14">
              <a:extLst>
                <a:ext uri="{FF2B5EF4-FFF2-40B4-BE49-F238E27FC236}">
                  <a16:creationId xmlns:a16="http://schemas.microsoft.com/office/drawing/2014/main" id="{C83E5ABA-B4D6-B62E-FF49-BBA6831FCA13}"/>
                </a:ext>
              </a:extLst>
            </xdr:cNvPr>
            <xdr:cNvSpPr txBox="1"/>
          </xdr:nvSpPr>
          <xdr:spPr>
            <a:xfrm>
              <a:off x="2133600" y="1857375"/>
              <a:ext cx="10096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tx1"/>
                  </a:solidFill>
                </a:rPr>
                <a:t>Cleaned data</a:t>
              </a:r>
            </a:p>
          </xdr:txBody>
        </xdr:sp>
      </xdr:grpSp>
      <xdr:grpSp>
        <xdr:nvGrpSpPr>
          <xdr:cNvPr id="5" name="Group 4">
            <a:hlinkClick xmlns:r="http://schemas.openxmlformats.org/officeDocument/2006/relationships" r:id="rId5"/>
            <a:extLst>
              <a:ext uri="{FF2B5EF4-FFF2-40B4-BE49-F238E27FC236}">
                <a16:creationId xmlns:a16="http://schemas.microsoft.com/office/drawing/2014/main" id="{154C4C9A-262E-CAEC-5F8B-E86CB7E558B1}"/>
              </a:ext>
            </a:extLst>
          </xdr:cNvPr>
          <xdr:cNvGrpSpPr/>
        </xdr:nvGrpSpPr>
        <xdr:grpSpPr>
          <a:xfrm>
            <a:off x="1885950" y="2333625"/>
            <a:ext cx="1219200" cy="266732"/>
            <a:chOff x="1885950" y="2333625"/>
            <a:chExt cx="1219200" cy="266732"/>
          </a:xfrm>
        </xdr:grpSpPr>
        <xdr:pic>
          <xdr:nvPicPr>
            <xdr:cNvPr id="12" name="Picture 11">
              <a:extLst>
                <a:ext uri="{FF2B5EF4-FFF2-40B4-BE49-F238E27FC236}">
                  <a16:creationId xmlns:a16="http://schemas.microsoft.com/office/drawing/2014/main" id="{4D66624D-90BA-BE55-48C8-1FBE064A842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885950" y="2371725"/>
              <a:ext cx="228632" cy="228632"/>
            </a:xfrm>
            <a:prstGeom prst="rect">
              <a:avLst/>
            </a:prstGeom>
          </xdr:spPr>
        </xdr:pic>
        <xdr:sp macro="" textlink="">
          <xdr:nvSpPr>
            <xdr:cNvPr id="13" name="TextBox 12">
              <a:extLst>
                <a:ext uri="{FF2B5EF4-FFF2-40B4-BE49-F238E27FC236}">
                  <a16:creationId xmlns:a16="http://schemas.microsoft.com/office/drawing/2014/main" id="{9E20676B-DD4A-B1A8-C1BF-F7C637650C2C}"/>
                </a:ext>
              </a:extLst>
            </xdr:cNvPr>
            <xdr:cNvSpPr txBox="1"/>
          </xdr:nvSpPr>
          <xdr:spPr>
            <a:xfrm>
              <a:off x="2095500" y="2333625"/>
              <a:ext cx="10096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tx1"/>
                  </a:solidFill>
                </a:rPr>
                <a:t>Pivot table</a:t>
              </a:r>
            </a:p>
          </xdr:txBody>
        </xdr:sp>
      </xdr:grpSp>
      <xdr:grpSp>
        <xdr:nvGrpSpPr>
          <xdr:cNvPr id="6" name="Group 5">
            <a:hlinkClick xmlns:r="http://schemas.openxmlformats.org/officeDocument/2006/relationships" r:id="rId7"/>
            <a:extLst>
              <a:ext uri="{FF2B5EF4-FFF2-40B4-BE49-F238E27FC236}">
                <a16:creationId xmlns:a16="http://schemas.microsoft.com/office/drawing/2014/main" id="{520F6A1B-6543-2DFF-7163-366EDFC66643}"/>
              </a:ext>
            </a:extLst>
          </xdr:cNvPr>
          <xdr:cNvGrpSpPr/>
        </xdr:nvGrpSpPr>
        <xdr:grpSpPr>
          <a:xfrm>
            <a:off x="1866900" y="2733675"/>
            <a:ext cx="1285874" cy="266700"/>
            <a:chOff x="1866900" y="2733675"/>
            <a:chExt cx="1285874" cy="266700"/>
          </a:xfrm>
        </xdr:grpSpPr>
        <xdr:pic>
          <xdr:nvPicPr>
            <xdr:cNvPr id="10" name="Picture 9">
              <a:extLst>
                <a:ext uri="{FF2B5EF4-FFF2-40B4-BE49-F238E27FC236}">
                  <a16:creationId xmlns:a16="http://schemas.microsoft.com/office/drawing/2014/main" id="{91DAC137-448F-D53D-F498-0C653780A2E5}"/>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866900" y="2762250"/>
              <a:ext cx="228632" cy="228632"/>
            </a:xfrm>
            <a:prstGeom prst="rect">
              <a:avLst/>
            </a:prstGeom>
          </xdr:spPr>
        </xdr:pic>
        <xdr:sp macro="" textlink="">
          <xdr:nvSpPr>
            <xdr:cNvPr id="11" name="TextBox 10">
              <a:extLst>
                <a:ext uri="{FF2B5EF4-FFF2-40B4-BE49-F238E27FC236}">
                  <a16:creationId xmlns:a16="http://schemas.microsoft.com/office/drawing/2014/main" id="{46E3087C-20BB-CF83-EEE2-BD3415781B1B}"/>
                </a:ext>
              </a:extLst>
            </xdr:cNvPr>
            <xdr:cNvSpPr txBox="1"/>
          </xdr:nvSpPr>
          <xdr:spPr>
            <a:xfrm>
              <a:off x="2057399" y="2733675"/>
              <a:ext cx="10953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tx1"/>
                  </a:solidFill>
                </a:rPr>
                <a:t>Report</a:t>
              </a:r>
              <a:r>
                <a:rPr lang="en-US" sz="1200" baseline="0">
                  <a:solidFill>
                    <a:schemeClr val="tx1"/>
                  </a:solidFill>
                </a:rPr>
                <a:t> page 1</a:t>
              </a:r>
              <a:endParaRPr lang="en-US" sz="1200">
                <a:solidFill>
                  <a:schemeClr val="tx1"/>
                </a:solidFill>
              </a:endParaRPr>
            </a:p>
          </xdr:txBody>
        </xdr:sp>
      </xdr:grpSp>
      <xdr:grpSp>
        <xdr:nvGrpSpPr>
          <xdr:cNvPr id="7" name="Group 6">
            <a:hlinkClick xmlns:r="http://schemas.openxmlformats.org/officeDocument/2006/relationships" r:id="rId9"/>
            <a:extLst>
              <a:ext uri="{FF2B5EF4-FFF2-40B4-BE49-F238E27FC236}">
                <a16:creationId xmlns:a16="http://schemas.microsoft.com/office/drawing/2014/main" id="{2349B4BD-B3F4-3DE8-A93F-541548602297}"/>
              </a:ext>
            </a:extLst>
          </xdr:cNvPr>
          <xdr:cNvGrpSpPr/>
        </xdr:nvGrpSpPr>
        <xdr:grpSpPr>
          <a:xfrm>
            <a:off x="1876425" y="3133725"/>
            <a:ext cx="1276350" cy="266700"/>
            <a:chOff x="1876425" y="3133725"/>
            <a:chExt cx="1276350" cy="266700"/>
          </a:xfrm>
        </xdr:grpSpPr>
        <xdr:pic>
          <xdr:nvPicPr>
            <xdr:cNvPr id="8" name="Picture 7">
              <a:extLst>
                <a:ext uri="{FF2B5EF4-FFF2-40B4-BE49-F238E27FC236}">
                  <a16:creationId xmlns:a16="http://schemas.microsoft.com/office/drawing/2014/main" id="{0292D61C-2172-5F8C-A909-8193DAB04BA6}"/>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876425" y="3152775"/>
              <a:ext cx="228632" cy="228632"/>
            </a:xfrm>
            <a:prstGeom prst="rect">
              <a:avLst/>
            </a:prstGeom>
          </xdr:spPr>
        </xdr:pic>
        <xdr:sp macro="" textlink="">
          <xdr:nvSpPr>
            <xdr:cNvPr id="9" name="TextBox 8">
              <a:extLst>
                <a:ext uri="{FF2B5EF4-FFF2-40B4-BE49-F238E27FC236}">
                  <a16:creationId xmlns:a16="http://schemas.microsoft.com/office/drawing/2014/main" id="{43E426C5-2246-7917-6C41-898E487EE77B}"/>
                </a:ext>
              </a:extLst>
            </xdr:cNvPr>
            <xdr:cNvSpPr txBox="1"/>
          </xdr:nvSpPr>
          <xdr:spPr>
            <a:xfrm>
              <a:off x="2047875" y="3133725"/>
              <a:ext cx="11049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tx1"/>
                  </a:solidFill>
                </a:rPr>
                <a:t>Report</a:t>
              </a:r>
              <a:r>
                <a:rPr lang="en-US" sz="1200" baseline="0">
                  <a:solidFill>
                    <a:schemeClr val="tx1"/>
                  </a:solidFill>
                </a:rPr>
                <a:t> page 2</a:t>
              </a:r>
              <a:endParaRPr lang="en-US" sz="1200">
                <a:solidFill>
                  <a:schemeClr val="tx1"/>
                </a:solidFill>
              </a:endParaRPr>
            </a:p>
          </xdr:txBody>
        </xdr:sp>
      </xdr:grpSp>
    </xdr:grpSp>
    <xdr:clientData/>
  </xdr:twoCellAnchor>
</xdr:wsDr>
</file>

<file path=xl/drawings/drawing3.xml><?xml version="1.0" encoding="utf-8"?>
<xdr:wsDr xmlns:xdr="http://schemas.openxmlformats.org/drawingml/2006/spreadsheetDrawing" xmlns:a="http://schemas.openxmlformats.org/drawingml/2006/main">
  <xdr:twoCellAnchor>
    <xdr:from>
      <xdr:col>8</xdr:col>
      <xdr:colOff>314325</xdr:colOff>
      <xdr:row>19</xdr:row>
      <xdr:rowOff>28575</xdr:rowOff>
    </xdr:from>
    <xdr:to>
      <xdr:col>9</xdr:col>
      <xdr:colOff>1228725</xdr:colOff>
      <xdr:row>29</xdr:row>
      <xdr:rowOff>95250</xdr:rowOff>
    </xdr:to>
    <xdr:grpSp>
      <xdr:nvGrpSpPr>
        <xdr:cNvPr id="8" name="Group 7">
          <a:extLst>
            <a:ext uri="{FF2B5EF4-FFF2-40B4-BE49-F238E27FC236}">
              <a16:creationId xmlns:a16="http://schemas.microsoft.com/office/drawing/2014/main" id="{04B370EC-2F4F-43EA-8866-4C5BC944BBEE}"/>
            </a:ext>
          </a:extLst>
        </xdr:cNvPr>
        <xdr:cNvGrpSpPr/>
      </xdr:nvGrpSpPr>
      <xdr:grpSpPr>
        <a:xfrm>
          <a:off x="8239125" y="3657600"/>
          <a:ext cx="1314450" cy="1971675"/>
          <a:chOff x="1866900" y="1428750"/>
          <a:chExt cx="1314450" cy="1971675"/>
        </a:xfrm>
      </xdr:grpSpPr>
      <xdr:grpSp>
        <xdr:nvGrpSpPr>
          <xdr:cNvPr id="9" name="Group 8">
            <a:hlinkClick xmlns:r="http://schemas.openxmlformats.org/officeDocument/2006/relationships" r:id="rId1"/>
            <a:extLst>
              <a:ext uri="{FF2B5EF4-FFF2-40B4-BE49-F238E27FC236}">
                <a16:creationId xmlns:a16="http://schemas.microsoft.com/office/drawing/2014/main" id="{74B3BF26-C5F0-614D-877E-8A6DB6193241}"/>
              </a:ext>
            </a:extLst>
          </xdr:cNvPr>
          <xdr:cNvGrpSpPr/>
        </xdr:nvGrpSpPr>
        <xdr:grpSpPr>
          <a:xfrm>
            <a:off x="1905000" y="1428750"/>
            <a:ext cx="1276350" cy="266700"/>
            <a:chOff x="1905000" y="1428750"/>
            <a:chExt cx="1276350" cy="266700"/>
          </a:xfrm>
        </xdr:grpSpPr>
        <xdr:pic>
          <xdr:nvPicPr>
            <xdr:cNvPr id="22" name="Picture 21">
              <a:extLst>
                <a:ext uri="{FF2B5EF4-FFF2-40B4-BE49-F238E27FC236}">
                  <a16:creationId xmlns:a16="http://schemas.microsoft.com/office/drawing/2014/main" id="{5F16AFB2-4DA5-BC89-BFE5-8E0FC8CA0F8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0" y="1457325"/>
              <a:ext cx="228632" cy="228632"/>
            </a:xfrm>
            <a:prstGeom prst="rect">
              <a:avLst/>
            </a:prstGeom>
          </xdr:spPr>
        </xdr:pic>
        <xdr:sp macro="" textlink="">
          <xdr:nvSpPr>
            <xdr:cNvPr id="23" name="TextBox 22">
              <a:extLst>
                <a:ext uri="{FF2B5EF4-FFF2-40B4-BE49-F238E27FC236}">
                  <a16:creationId xmlns:a16="http://schemas.microsoft.com/office/drawing/2014/main" id="{22B5ED46-603F-4602-F68D-A8D12A7DC089}"/>
                </a:ext>
              </a:extLst>
            </xdr:cNvPr>
            <xdr:cNvSpPr txBox="1"/>
          </xdr:nvSpPr>
          <xdr:spPr>
            <a:xfrm>
              <a:off x="2171700" y="1428750"/>
              <a:ext cx="10096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tx1"/>
                  </a:solidFill>
                </a:rPr>
                <a:t>Raw</a:t>
              </a:r>
              <a:r>
                <a:rPr lang="en-US" sz="1200" baseline="0">
                  <a:solidFill>
                    <a:schemeClr val="tx1"/>
                  </a:solidFill>
                </a:rPr>
                <a:t> dataset</a:t>
              </a:r>
              <a:endParaRPr lang="en-US" sz="1200">
                <a:solidFill>
                  <a:schemeClr val="tx1"/>
                </a:solidFill>
              </a:endParaRPr>
            </a:p>
          </xdr:txBody>
        </xdr:sp>
      </xdr:grpSp>
      <xdr:grpSp>
        <xdr:nvGrpSpPr>
          <xdr:cNvPr id="10" name="Group 9">
            <a:hlinkClick xmlns:r="http://schemas.openxmlformats.org/officeDocument/2006/relationships" r:id="rId3"/>
            <a:extLst>
              <a:ext uri="{FF2B5EF4-FFF2-40B4-BE49-F238E27FC236}">
                <a16:creationId xmlns:a16="http://schemas.microsoft.com/office/drawing/2014/main" id="{F2A73273-E221-EAE1-036E-4A65C17D0859}"/>
              </a:ext>
            </a:extLst>
          </xdr:cNvPr>
          <xdr:cNvGrpSpPr/>
        </xdr:nvGrpSpPr>
        <xdr:grpSpPr>
          <a:xfrm>
            <a:off x="1885950" y="1857375"/>
            <a:ext cx="1257300" cy="285782"/>
            <a:chOff x="1885950" y="1857375"/>
            <a:chExt cx="1257300" cy="285782"/>
          </a:xfrm>
        </xdr:grpSpPr>
        <xdr:pic>
          <xdr:nvPicPr>
            <xdr:cNvPr id="20" name="Picture 19">
              <a:extLst>
                <a:ext uri="{FF2B5EF4-FFF2-40B4-BE49-F238E27FC236}">
                  <a16:creationId xmlns:a16="http://schemas.microsoft.com/office/drawing/2014/main" id="{6835B67E-5205-0443-5242-F461314677B9}"/>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885950" y="1914525"/>
              <a:ext cx="228632" cy="228632"/>
            </a:xfrm>
            <a:prstGeom prst="rect">
              <a:avLst/>
            </a:prstGeom>
          </xdr:spPr>
        </xdr:pic>
        <xdr:sp macro="" textlink="">
          <xdr:nvSpPr>
            <xdr:cNvPr id="21" name="TextBox 20">
              <a:extLst>
                <a:ext uri="{FF2B5EF4-FFF2-40B4-BE49-F238E27FC236}">
                  <a16:creationId xmlns:a16="http://schemas.microsoft.com/office/drawing/2014/main" id="{C79D9296-DAF0-60ED-FB0B-EC40B55EE4A2}"/>
                </a:ext>
              </a:extLst>
            </xdr:cNvPr>
            <xdr:cNvSpPr txBox="1"/>
          </xdr:nvSpPr>
          <xdr:spPr>
            <a:xfrm>
              <a:off x="2133600" y="1857375"/>
              <a:ext cx="10096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tx1"/>
                  </a:solidFill>
                </a:rPr>
                <a:t>Cleaned data</a:t>
              </a:r>
            </a:p>
          </xdr:txBody>
        </xdr:sp>
      </xdr:grpSp>
      <xdr:grpSp>
        <xdr:nvGrpSpPr>
          <xdr:cNvPr id="11" name="Group 10">
            <a:hlinkClick xmlns:r="http://schemas.openxmlformats.org/officeDocument/2006/relationships" r:id="rId5"/>
            <a:extLst>
              <a:ext uri="{FF2B5EF4-FFF2-40B4-BE49-F238E27FC236}">
                <a16:creationId xmlns:a16="http://schemas.microsoft.com/office/drawing/2014/main" id="{D31AD545-3E6C-916F-5C87-52FECE8AC4BE}"/>
              </a:ext>
            </a:extLst>
          </xdr:cNvPr>
          <xdr:cNvGrpSpPr/>
        </xdr:nvGrpSpPr>
        <xdr:grpSpPr>
          <a:xfrm>
            <a:off x="1885950" y="2333625"/>
            <a:ext cx="1219200" cy="266732"/>
            <a:chOff x="1885950" y="2333625"/>
            <a:chExt cx="1219200" cy="266732"/>
          </a:xfrm>
        </xdr:grpSpPr>
        <xdr:pic>
          <xdr:nvPicPr>
            <xdr:cNvPr id="18" name="Picture 17">
              <a:extLst>
                <a:ext uri="{FF2B5EF4-FFF2-40B4-BE49-F238E27FC236}">
                  <a16:creationId xmlns:a16="http://schemas.microsoft.com/office/drawing/2014/main" id="{CD65C3D1-5A22-5DD5-1A7A-55DB05206E0A}"/>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885950" y="2371725"/>
              <a:ext cx="228632" cy="228632"/>
            </a:xfrm>
            <a:prstGeom prst="rect">
              <a:avLst/>
            </a:prstGeom>
          </xdr:spPr>
        </xdr:pic>
        <xdr:sp macro="" textlink="">
          <xdr:nvSpPr>
            <xdr:cNvPr id="19" name="TextBox 18">
              <a:extLst>
                <a:ext uri="{FF2B5EF4-FFF2-40B4-BE49-F238E27FC236}">
                  <a16:creationId xmlns:a16="http://schemas.microsoft.com/office/drawing/2014/main" id="{480DD502-34A0-BB51-C69B-5BDEEBC43B7F}"/>
                </a:ext>
              </a:extLst>
            </xdr:cNvPr>
            <xdr:cNvSpPr txBox="1"/>
          </xdr:nvSpPr>
          <xdr:spPr>
            <a:xfrm>
              <a:off x="2095500" y="2333625"/>
              <a:ext cx="10096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tx1"/>
                  </a:solidFill>
                </a:rPr>
                <a:t>Pivot table</a:t>
              </a:r>
            </a:p>
          </xdr:txBody>
        </xdr:sp>
      </xdr:grpSp>
      <xdr:grpSp>
        <xdr:nvGrpSpPr>
          <xdr:cNvPr id="12" name="Group 11">
            <a:hlinkClick xmlns:r="http://schemas.openxmlformats.org/officeDocument/2006/relationships" r:id="rId7"/>
            <a:extLst>
              <a:ext uri="{FF2B5EF4-FFF2-40B4-BE49-F238E27FC236}">
                <a16:creationId xmlns:a16="http://schemas.microsoft.com/office/drawing/2014/main" id="{1D4E2357-7363-3DC4-0A5B-9D11448307DE}"/>
              </a:ext>
            </a:extLst>
          </xdr:cNvPr>
          <xdr:cNvGrpSpPr/>
        </xdr:nvGrpSpPr>
        <xdr:grpSpPr>
          <a:xfrm>
            <a:off x="1866900" y="2733675"/>
            <a:ext cx="1285874" cy="266700"/>
            <a:chOff x="1866900" y="2733675"/>
            <a:chExt cx="1285874" cy="266700"/>
          </a:xfrm>
        </xdr:grpSpPr>
        <xdr:pic>
          <xdr:nvPicPr>
            <xdr:cNvPr id="16" name="Picture 15">
              <a:extLst>
                <a:ext uri="{FF2B5EF4-FFF2-40B4-BE49-F238E27FC236}">
                  <a16:creationId xmlns:a16="http://schemas.microsoft.com/office/drawing/2014/main" id="{DE330CB4-7571-6E5E-AB75-E8C3312AF18E}"/>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866900" y="2762250"/>
              <a:ext cx="228632" cy="228632"/>
            </a:xfrm>
            <a:prstGeom prst="rect">
              <a:avLst/>
            </a:prstGeom>
          </xdr:spPr>
        </xdr:pic>
        <xdr:sp macro="" textlink="">
          <xdr:nvSpPr>
            <xdr:cNvPr id="17" name="TextBox 16">
              <a:extLst>
                <a:ext uri="{FF2B5EF4-FFF2-40B4-BE49-F238E27FC236}">
                  <a16:creationId xmlns:a16="http://schemas.microsoft.com/office/drawing/2014/main" id="{8332E91A-B5A7-49C9-4918-783F18C4BFF4}"/>
                </a:ext>
              </a:extLst>
            </xdr:cNvPr>
            <xdr:cNvSpPr txBox="1"/>
          </xdr:nvSpPr>
          <xdr:spPr>
            <a:xfrm>
              <a:off x="2057399" y="2733675"/>
              <a:ext cx="10953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tx1"/>
                  </a:solidFill>
                </a:rPr>
                <a:t>Report</a:t>
              </a:r>
              <a:r>
                <a:rPr lang="en-US" sz="1200" baseline="0">
                  <a:solidFill>
                    <a:schemeClr val="tx1"/>
                  </a:solidFill>
                </a:rPr>
                <a:t> page 1</a:t>
              </a:r>
              <a:endParaRPr lang="en-US" sz="1200">
                <a:solidFill>
                  <a:schemeClr val="tx1"/>
                </a:solidFill>
              </a:endParaRPr>
            </a:p>
          </xdr:txBody>
        </xdr:sp>
      </xdr:grpSp>
      <xdr:grpSp>
        <xdr:nvGrpSpPr>
          <xdr:cNvPr id="13" name="Group 12">
            <a:hlinkClick xmlns:r="http://schemas.openxmlformats.org/officeDocument/2006/relationships" r:id="rId9"/>
            <a:extLst>
              <a:ext uri="{FF2B5EF4-FFF2-40B4-BE49-F238E27FC236}">
                <a16:creationId xmlns:a16="http://schemas.microsoft.com/office/drawing/2014/main" id="{FC2A1364-B7E8-0372-1DB2-75E3B4DB24C7}"/>
              </a:ext>
            </a:extLst>
          </xdr:cNvPr>
          <xdr:cNvGrpSpPr/>
        </xdr:nvGrpSpPr>
        <xdr:grpSpPr>
          <a:xfrm>
            <a:off x="1876425" y="3133725"/>
            <a:ext cx="1276350" cy="266700"/>
            <a:chOff x="1876425" y="3133725"/>
            <a:chExt cx="1276350" cy="266700"/>
          </a:xfrm>
        </xdr:grpSpPr>
        <xdr:pic>
          <xdr:nvPicPr>
            <xdr:cNvPr id="14" name="Picture 13">
              <a:extLst>
                <a:ext uri="{FF2B5EF4-FFF2-40B4-BE49-F238E27FC236}">
                  <a16:creationId xmlns:a16="http://schemas.microsoft.com/office/drawing/2014/main" id="{6CB59988-6AC8-272A-D78A-E408223B2D34}"/>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876425" y="3152775"/>
              <a:ext cx="228632" cy="228632"/>
            </a:xfrm>
            <a:prstGeom prst="rect">
              <a:avLst/>
            </a:prstGeom>
          </xdr:spPr>
        </xdr:pic>
        <xdr:sp macro="" textlink="">
          <xdr:nvSpPr>
            <xdr:cNvPr id="15" name="TextBox 14">
              <a:extLst>
                <a:ext uri="{FF2B5EF4-FFF2-40B4-BE49-F238E27FC236}">
                  <a16:creationId xmlns:a16="http://schemas.microsoft.com/office/drawing/2014/main" id="{5AAA6EB7-7E93-70FF-DF73-BFCF69BFB9CC}"/>
                </a:ext>
              </a:extLst>
            </xdr:cNvPr>
            <xdr:cNvSpPr txBox="1"/>
          </xdr:nvSpPr>
          <xdr:spPr>
            <a:xfrm>
              <a:off x="2047875" y="3133725"/>
              <a:ext cx="11049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tx1"/>
                  </a:solidFill>
                </a:rPr>
                <a:t>Report</a:t>
              </a:r>
              <a:r>
                <a:rPr lang="en-US" sz="1200" baseline="0">
                  <a:solidFill>
                    <a:schemeClr val="tx1"/>
                  </a:solidFill>
                </a:rPr>
                <a:t> page 2</a:t>
              </a:r>
              <a:endParaRPr lang="en-US" sz="1200">
                <a:solidFill>
                  <a:schemeClr val="tx1"/>
                </a:solidFill>
              </a:endParaRPr>
            </a:p>
          </xdr:txBody>
        </xdr:sp>
      </xdr:grpSp>
    </xdr:grpSp>
    <xdr:clientData/>
  </xdr:twoCellAnchor>
</xdr:wsDr>
</file>

<file path=xl/drawings/drawing4.xml><?xml version="1.0" encoding="utf-8"?>
<xdr:wsDr xmlns:xdr="http://schemas.openxmlformats.org/drawingml/2006/spreadsheetDrawing" xmlns:a="http://schemas.openxmlformats.org/drawingml/2006/main">
  <xdr:twoCellAnchor>
    <xdr:from>
      <xdr:col>8</xdr:col>
      <xdr:colOff>606427</xdr:colOff>
      <xdr:row>2</xdr:row>
      <xdr:rowOff>142875</xdr:rowOff>
    </xdr:from>
    <xdr:to>
      <xdr:col>29</xdr:col>
      <xdr:colOff>52388</xdr:colOff>
      <xdr:row>39</xdr:row>
      <xdr:rowOff>19049</xdr:rowOff>
    </xdr:to>
    <xdr:grpSp>
      <xdr:nvGrpSpPr>
        <xdr:cNvPr id="15" name="Group 14">
          <a:extLst>
            <a:ext uri="{FF2B5EF4-FFF2-40B4-BE49-F238E27FC236}">
              <a16:creationId xmlns:a16="http://schemas.microsoft.com/office/drawing/2014/main" id="{C6C51514-28DE-F4C5-02A3-CF9E621D611C}"/>
            </a:ext>
          </a:extLst>
        </xdr:cNvPr>
        <xdr:cNvGrpSpPr/>
      </xdr:nvGrpSpPr>
      <xdr:grpSpPr>
        <a:xfrm>
          <a:off x="5455518" y="523875"/>
          <a:ext cx="12174825" cy="6924674"/>
          <a:chOff x="1304926" y="619125"/>
          <a:chExt cx="12249149" cy="6924674"/>
        </a:xfrm>
      </xdr:grpSpPr>
      <xdr:grpSp>
        <xdr:nvGrpSpPr>
          <xdr:cNvPr id="46" name="Group 45">
            <a:extLst>
              <a:ext uri="{FF2B5EF4-FFF2-40B4-BE49-F238E27FC236}">
                <a16:creationId xmlns:a16="http://schemas.microsoft.com/office/drawing/2014/main" id="{B2BA4A95-1901-9E5E-7B7F-D3A9A24CAEB4}"/>
              </a:ext>
            </a:extLst>
          </xdr:cNvPr>
          <xdr:cNvGrpSpPr/>
        </xdr:nvGrpSpPr>
        <xdr:grpSpPr>
          <a:xfrm>
            <a:off x="1304926" y="619125"/>
            <a:ext cx="12249149" cy="6924674"/>
            <a:chOff x="1304926" y="619125"/>
            <a:chExt cx="12249149" cy="6924674"/>
          </a:xfrm>
        </xdr:grpSpPr>
        <xdr:grpSp>
          <xdr:nvGrpSpPr>
            <xdr:cNvPr id="26" name="Group 25">
              <a:extLst>
                <a:ext uri="{FF2B5EF4-FFF2-40B4-BE49-F238E27FC236}">
                  <a16:creationId xmlns:a16="http://schemas.microsoft.com/office/drawing/2014/main" id="{E9BFE9D8-9F83-A2E5-1816-DA4564020D57}"/>
                </a:ext>
              </a:extLst>
            </xdr:cNvPr>
            <xdr:cNvGrpSpPr/>
          </xdr:nvGrpSpPr>
          <xdr:grpSpPr>
            <a:xfrm>
              <a:off x="1304926" y="619125"/>
              <a:ext cx="12249149" cy="6924674"/>
              <a:chOff x="1981201" y="762000"/>
              <a:chExt cx="12249149" cy="6924674"/>
            </a:xfrm>
          </xdr:grpSpPr>
          <xdr:sp macro="" textlink="">
            <xdr:nvSpPr>
              <xdr:cNvPr id="2" name="Rectangle: Rounded Corners 1">
                <a:extLst>
                  <a:ext uri="{FF2B5EF4-FFF2-40B4-BE49-F238E27FC236}">
                    <a16:creationId xmlns:a16="http://schemas.microsoft.com/office/drawing/2014/main" id="{3FAE2D6A-5E31-CE25-B244-8341832A10B6}"/>
                  </a:ext>
                </a:extLst>
              </xdr:cNvPr>
              <xdr:cNvSpPr/>
            </xdr:nvSpPr>
            <xdr:spPr>
              <a:xfrm>
                <a:off x="1981201" y="762000"/>
                <a:ext cx="12249149" cy="6924674"/>
              </a:xfrm>
              <a:prstGeom prst="roundRect">
                <a:avLst>
                  <a:gd name="adj" fmla="val 2231"/>
                </a:avLst>
              </a:prstGeom>
              <a:solidFill>
                <a:srgbClr val="CDD1DA"/>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 name="Rectangle: Rounded Corners 2">
                <a:extLst>
                  <a:ext uri="{FF2B5EF4-FFF2-40B4-BE49-F238E27FC236}">
                    <a16:creationId xmlns:a16="http://schemas.microsoft.com/office/drawing/2014/main" id="{FA75BA0E-74F4-A2F8-C635-08950D81C684}"/>
                  </a:ext>
                </a:extLst>
              </xdr:cNvPr>
              <xdr:cNvSpPr/>
            </xdr:nvSpPr>
            <xdr:spPr>
              <a:xfrm>
                <a:off x="2238375" y="1009649"/>
                <a:ext cx="11696700" cy="6429375"/>
              </a:xfrm>
              <a:prstGeom prst="roundRect">
                <a:avLst>
                  <a:gd name="adj" fmla="val 2231"/>
                </a:avLst>
              </a:prstGeom>
              <a:solidFill>
                <a:srgbClr val="EDEDF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Rectangle: Rounded Corners 3">
                <a:extLst>
                  <a:ext uri="{FF2B5EF4-FFF2-40B4-BE49-F238E27FC236}">
                    <a16:creationId xmlns:a16="http://schemas.microsoft.com/office/drawing/2014/main" id="{FE6D5A0E-A741-FA3D-FF44-5C9F998CBFA5}"/>
                  </a:ext>
                </a:extLst>
              </xdr:cNvPr>
              <xdr:cNvSpPr/>
            </xdr:nvSpPr>
            <xdr:spPr>
              <a:xfrm>
                <a:off x="2495551" y="1323974"/>
                <a:ext cx="1562099" cy="5991225"/>
              </a:xfrm>
              <a:prstGeom prst="roundRect">
                <a:avLst>
                  <a:gd name="adj" fmla="val 2231"/>
                </a:avLst>
              </a:prstGeom>
              <a:solidFill>
                <a:srgbClr val="F7F8F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Rectangle: Rounded Corners 4">
                <a:extLst>
                  <a:ext uri="{FF2B5EF4-FFF2-40B4-BE49-F238E27FC236}">
                    <a16:creationId xmlns:a16="http://schemas.microsoft.com/office/drawing/2014/main" id="{0A08FD8A-30C2-EE14-7FB0-CB0DED07A0C9}"/>
                  </a:ext>
                </a:extLst>
              </xdr:cNvPr>
              <xdr:cNvSpPr/>
            </xdr:nvSpPr>
            <xdr:spPr>
              <a:xfrm>
                <a:off x="4286250" y="1590676"/>
                <a:ext cx="1838325" cy="1123950"/>
              </a:xfrm>
              <a:prstGeom prst="roundRect">
                <a:avLst>
                  <a:gd name="adj" fmla="val 9011"/>
                </a:avLst>
              </a:prstGeom>
              <a:solidFill>
                <a:srgbClr val="4856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Rectangle: Rounded Corners 5">
                <a:extLst>
                  <a:ext uri="{FF2B5EF4-FFF2-40B4-BE49-F238E27FC236}">
                    <a16:creationId xmlns:a16="http://schemas.microsoft.com/office/drawing/2014/main" id="{9AF89672-EC42-0890-EC0D-45631389FDAA}"/>
                  </a:ext>
                </a:extLst>
              </xdr:cNvPr>
              <xdr:cNvSpPr/>
            </xdr:nvSpPr>
            <xdr:spPr>
              <a:xfrm>
                <a:off x="4305302" y="2886076"/>
                <a:ext cx="1876423" cy="1123950"/>
              </a:xfrm>
              <a:prstGeom prst="roundRect">
                <a:avLst>
                  <a:gd name="adj" fmla="val 901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Rounded Corners 6">
                <a:extLst>
                  <a:ext uri="{FF2B5EF4-FFF2-40B4-BE49-F238E27FC236}">
                    <a16:creationId xmlns:a16="http://schemas.microsoft.com/office/drawing/2014/main" id="{0759827B-7949-0DD9-C086-44BBE4254919}"/>
                  </a:ext>
                </a:extLst>
              </xdr:cNvPr>
              <xdr:cNvSpPr/>
            </xdr:nvSpPr>
            <xdr:spPr>
              <a:xfrm>
                <a:off x="6343652" y="1581151"/>
                <a:ext cx="1876423" cy="1123950"/>
              </a:xfrm>
              <a:prstGeom prst="roundRect">
                <a:avLst>
                  <a:gd name="adj" fmla="val 901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ectangle: Rounded Corners 7">
                <a:extLst>
                  <a:ext uri="{FF2B5EF4-FFF2-40B4-BE49-F238E27FC236}">
                    <a16:creationId xmlns:a16="http://schemas.microsoft.com/office/drawing/2014/main" id="{17ECB418-43AC-7ED2-E578-B327E4E0F7B7}"/>
                  </a:ext>
                </a:extLst>
              </xdr:cNvPr>
              <xdr:cNvSpPr/>
            </xdr:nvSpPr>
            <xdr:spPr>
              <a:xfrm>
                <a:off x="6353177" y="2857501"/>
                <a:ext cx="1876423" cy="1123950"/>
              </a:xfrm>
              <a:prstGeom prst="roundRect">
                <a:avLst>
                  <a:gd name="adj" fmla="val 901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Rounded Corners 8">
                <a:extLst>
                  <a:ext uri="{FF2B5EF4-FFF2-40B4-BE49-F238E27FC236}">
                    <a16:creationId xmlns:a16="http://schemas.microsoft.com/office/drawing/2014/main" id="{2B7EE856-AF24-8E73-2D08-AA656322A205}"/>
                  </a:ext>
                </a:extLst>
              </xdr:cNvPr>
              <xdr:cNvSpPr/>
            </xdr:nvSpPr>
            <xdr:spPr>
              <a:xfrm>
                <a:off x="4276725" y="4200525"/>
                <a:ext cx="4067175" cy="3124200"/>
              </a:xfrm>
              <a:prstGeom prst="roundRect">
                <a:avLst>
                  <a:gd name="adj" fmla="val 2231"/>
                </a:avLst>
              </a:prstGeom>
              <a:solidFill>
                <a:srgbClr val="F7F8F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Rounded Corners 9">
                <a:extLst>
                  <a:ext uri="{FF2B5EF4-FFF2-40B4-BE49-F238E27FC236}">
                    <a16:creationId xmlns:a16="http://schemas.microsoft.com/office/drawing/2014/main" id="{DE3156A2-7772-52BC-7EAF-0DCF06BE6991}"/>
                  </a:ext>
                </a:extLst>
              </xdr:cNvPr>
              <xdr:cNvSpPr/>
            </xdr:nvSpPr>
            <xdr:spPr>
              <a:xfrm>
                <a:off x="8448674" y="1543050"/>
                <a:ext cx="5353051" cy="2486025"/>
              </a:xfrm>
              <a:prstGeom prst="roundRect">
                <a:avLst>
                  <a:gd name="adj" fmla="val 2231"/>
                </a:avLst>
              </a:prstGeom>
              <a:solidFill>
                <a:srgbClr val="F7F8F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Rounded Corners 10">
                <a:extLst>
                  <a:ext uri="{FF2B5EF4-FFF2-40B4-BE49-F238E27FC236}">
                    <a16:creationId xmlns:a16="http://schemas.microsoft.com/office/drawing/2014/main" id="{7518EE30-B50E-FAA5-C476-779FD5FA5DBA}"/>
                  </a:ext>
                </a:extLst>
              </xdr:cNvPr>
              <xdr:cNvSpPr/>
            </xdr:nvSpPr>
            <xdr:spPr>
              <a:xfrm>
                <a:off x="8496300" y="4200525"/>
                <a:ext cx="5286375" cy="3124200"/>
              </a:xfrm>
              <a:prstGeom prst="roundRect">
                <a:avLst>
                  <a:gd name="adj" fmla="val 2231"/>
                </a:avLst>
              </a:prstGeom>
              <a:solidFill>
                <a:srgbClr val="F7F8F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mc:Choice xmlns:cx4="http://schemas.microsoft.com/office/drawing/2016/5/10/chartex" Requires="cx4">
              <xdr:graphicFrame macro="">
                <xdr:nvGraphicFramePr>
                  <xdr:cNvPr id="12" name="Chart 11">
                    <a:extLst>
                      <a:ext uri="{FF2B5EF4-FFF2-40B4-BE49-F238E27FC236}">
                        <a16:creationId xmlns:a16="http://schemas.microsoft.com/office/drawing/2014/main" id="{098CAE6D-9DFB-4CE4-9917-77246004E245}"/>
                      </a:ext>
                    </a:extLst>
                  </xdr:cNvPr>
                  <xdr:cNvGraphicFramePr/>
                </xdr:nvGraphicFramePr>
                <xdr:xfrm>
                  <a:off x="8543926" y="4286250"/>
                  <a:ext cx="5114924" cy="2943225"/>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543926" y="4286250"/>
                    <a:ext cx="5114924" cy="294322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aphicFrame macro="">
            <xdr:nvGraphicFramePr>
              <xdr:cNvPr id="13" name="Chart 12">
                <a:extLst>
                  <a:ext uri="{FF2B5EF4-FFF2-40B4-BE49-F238E27FC236}">
                    <a16:creationId xmlns:a16="http://schemas.microsoft.com/office/drawing/2014/main" id="{79EE0315-52E5-4615-9DE7-5A9DC2ECCBEA}"/>
                  </a:ext>
                </a:extLst>
              </xdr:cNvPr>
              <xdr:cNvGraphicFramePr>
                <a:graphicFrameLocks/>
              </xdr:cNvGraphicFramePr>
            </xdr:nvGraphicFramePr>
            <xdr:xfrm>
              <a:off x="4314826" y="4200524"/>
              <a:ext cx="3724274" cy="3076575"/>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4" name="Chart 13">
                <a:extLst>
                  <a:ext uri="{FF2B5EF4-FFF2-40B4-BE49-F238E27FC236}">
                    <a16:creationId xmlns:a16="http://schemas.microsoft.com/office/drawing/2014/main" id="{5DD76DF1-6699-41BC-BE77-A4731ED4A14D}"/>
                  </a:ext>
                </a:extLst>
              </xdr:cNvPr>
              <xdr:cNvGraphicFramePr>
                <a:graphicFrameLocks/>
              </xdr:cNvGraphicFramePr>
            </xdr:nvGraphicFramePr>
            <xdr:xfrm>
              <a:off x="8562976" y="1628775"/>
              <a:ext cx="2343150" cy="2305049"/>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7" name="Chart 16">
                <a:extLst>
                  <a:ext uri="{FF2B5EF4-FFF2-40B4-BE49-F238E27FC236}">
                    <a16:creationId xmlns:a16="http://schemas.microsoft.com/office/drawing/2014/main" id="{64B4D4F9-D60E-409F-B688-717CA345DFA7}"/>
                  </a:ext>
                </a:extLst>
              </xdr:cNvPr>
              <xdr:cNvGraphicFramePr>
                <a:graphicFrameLocks/>
              </xdr:cNvGraphicFramePr>
            </xdr:nvGraphicFramePr>
            <xdr:xfrm>
              <a:off x="11010900" y="1638300"/>
              <a:ext cx="2714625" cy="2286000"/>
            </xdr:xfrm>
            <a:graphic>
              <a:graphicData uri="http://schemas.openxmlformats.org/drawingml/2006/chart">
                <c:chart xmlns:c="http://schemas.openxmlformats.org/drawingml/2006/chart" xmlns:r="http://schemas.openxmlformats.org/officeDocument/2006/relationships" r:id="rId4"/>
              </a:graphicData>
            </a:graphic>
          </xdr:graphicFrame>
          <xdr:sp macro="" textlink="'Pivot Table'!D10">
            <xdr:nvSpPr>
              <xdr:cNvPr id="18" name="TextBox 17">
                <a:extLst>
                  <a:ext uri="{FF2B5EF4-FFF2-40B4-BE49-F238E27FC236}">
                    <a16:creationId xmlns:a16="http://schemas.microsoft.com/office/drawing/2014/main" id="{7884AF1F-D518-963B-E111-CE6A33492933}"/>
                  </a:ext>
                </a:extLst>
              </xdr:cNvPr>
              <xdr:cNvSpPr txBox="1"/>
            </xdr:nvSpPr>
            <xdr:spPr>
              <a:xfrm>
                <a:off x="9220200" y="2609850"/>
                <a:ext cx="11239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indent="0"/>
                <a:fld id="{1E3AA6EB-EFFC-4B9E-8805-096390BD380D}" type="TxLink">
                  <a:rPr lang="en-US" sz="1600" b="0" i="0" u="none" strike="noStrike">
                    <a:solidFill>
                      <a:schemeClr val="bg1">
                        <a:lumMod val="75000"/>
                      </a:schemeClr>
                    </a:solidFill>
                    <a:latin typeface="Arial" panose="020B0604020202020204" pitchFamily="34" charset="0"/>
                    <a:ea typeface="+mn-ea"/>
                    <a:cs typeface="Arial" panose="020B0604020202020204" pitchFamily="34" charset="0"/>
                  </a:rPr>
                  <a:pPr marL="0" indent="0"/>
                  <a:t>Sufficient</a:t>
                </a:fld>
                <a:endParaRPr lang="en-US" sz="1600" b="0" i="0" u="none" strike="noStrike">
                  <a:solidFill>
                    <a:schemeClr val="bg1">
                      <a:lumMod val="75000"/>
                    </a:schemeClr>
                  </a:solidFill>
                  <a:latin typeface="Arial" panose="020B0604020202020204" pitchFamily="34" charset="0"/>
                  <a:ea typeface="+mn-ea"/>
                  <a:cs typeface="Arial" panose="020B0604020202020204" pitchFamily="34" charset="0"/>
                </a:endParaRPr>
              </a:p>
            </xdr:txBody>
          </xdr:sp>
          <xdr:sp macro="" textlink="'Pivot Table'!E10">
            <xdr:nvSpPr>
              <xdr:cNvPr id="21" name="TextBox 20">
                <a:extLst>
                  <a:ext uri="{FF2B5EF4-FFF2-40B4-BE49-F238E27FC236}">
                    <a16:creationId xmlns:a16="http://schemas.microsoft.com/office/drawing/2014/main" id="{BE1E549B-0766-4346-E58B-9933B39B23F7}"/>
                  </a:ext>
                </a:extLst>
              </xdr:cNvPr>
              <xdr:cNvSpPr txBox="1"/>
            </xdr:nvSpPr>
            <xdr:spPr>
              <a:xfrm>
                <a:off x="9334500" y="2867025"/>
                <a:ext cx="9715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indent="0"/>
                <a:fld id="{BF01F41F-89A9-4B41-849C-28DB1AA2D075}" type="TxLink">
                  <a:rPr lang="en-US" sz="1600" b="0" i="0" u="none" strike="noStrike">
                    <a:solidFill>
                      <a:srgbClr val="000000"/>
                    </a:solidFill>
                    <a:latin typeface="Arial" panose="020B0604020202020204" pitchFamily="34" charset="0"/>
                    <a:ea typeface="+mn-ea"/>
                    <a:cs typeface="Arial" panose="020B0604020202020204" pitchFamily="34" charset="0"/>
                  </a:rPr>
                  <a:pPr marL="0" indent="0"/>
                  <a:t>79.20%</a:t>
                </a:fld>
                <a:endParaRPr lang="en-US" sz="2400" b="0" i="0" u="none" strike="noStrike">
                  <a:solidFill>
                    <a:srgbClr val="000000"/>
                  </a:solidFill>
                  <a:latin typeface="Arial" panose="020B0604020202020204" pitchFamily="34" charset="0"/>
                  <a:ea typeface="+mn-ea"/>
                  <a:cs typeface="Arial" panose="020B0604020202020204" pitchFamily="34" charset="0"/>
                </a:endParaRPr>
              </a:p>
            </xdr:txBody>
          </xdr:sp>
          <xdr:sp macro="" textlink="'Pivot Table'!E9">
            <xdr:nvSpPr>
              <xdr:cNvPr id="22" name="TextBox 21">
                <a:extLst>
                  <a:ext uri="{FF2B5EF4-FFF2-40B4-BE49-F238E27FC236}">
                    <a16:creationId xmlns:a16="http://schemas.microsoft.com/office/drawing/2014/main" id="{F7184124-F257-A246-D366-4DD3B44E94DD}"/>
                  </a:ext>
                </a:extLst>
              </xdr:cNvPr>
              <xdr:cNvSpPr txBox="1"/>
            </xdr:nvSpPr>
            <xdr:spPr>
              <a:xfrm>
                <a:off x="11811000" y="2886075"/>
                <a:ext cx="97155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pPr marL="0" indent="0"/>
                <a:fld id="{5DB4C498-1558-42B2-9901-8420FACDB91D}" type="TxLink">
                  <a:rPr lang="en-US" sz="1600" b="0" i="0" u="none" strike="noStrike">
                    <a:solidFill>
                      <a:srgbClr val="000000"/>
                    </a:solidFill>
                    <a:latin typeface="Arial" panose="020B0604020202020204" pitchFamily="34" charset="0"/>
                    <a:ea typeface="+mn-ea"/>
                    <a:cs typeface="Arial" panose="020B0604020202020204" pitchFamily="34" charset="0"/>
                  </a:rPr>
                  <a:pPr marL="0" indent="0"/>
                  <a:t>20.80%</a:t>
                </a:fld>
                <a:endParaRPr lang="en-US" sz="1600" b="0" i="0" u="none" strike="noStrike">
                  <a:solidFill>
                    <a:srgbClr val="000000"/>
                  </a:solidFill>
                  <a:latin typeface="Arial" panose="020B0604020202020204" pitchFamily="34" charset="0"/>
                  <a:ea typeface="+mn-ea"/>
                  <a:cs typeface="Arial" panose="020B0604020202020204" pitchFamily="34" charset="0"/>
                </a:endParaRPr>
              </a:p>
            </xdr:txBody>
          </xdr:sp>
          <xdr:sp macro="" textlink="">
            <xdr:nvSpPr>
              <xdr:cNvPr id="23" name="Rectangle: Rounded Corners 22">
                <a:extLst>
                  <a:ext uri="{FF2B5EF4-FFF2-40B4-BE49-F238E27FC236}">
                    <a16:creationId xmlns:a16="http://schemas.microsoft.com/office/drawing/2014/main" id="{70BE869E-8496-7314-676D-447D92165D4A}"/>
                  </a:ext>
                </a:extLst>
              </xdr:cNvPr>
              <xdr:cNvSpPr/>
            </xdr:nvSpPr>
            <xdr:spPr>
              <a:xfrm>
                <a:off x="2609850" y="6086476"/>
                <a:ext cx="1314450" cy="1076324"/>
              </a:xfrm>
              <a:prstGeom prst="roundRect">
                <a:avLst>
                  <a:gd name="adj" fmla="val 9011"/>
                </a:avLst>
              </a:prstGeom>
              <a:solidFill>
                <a:srgbClr val="1B1B1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24" name="Year">
                    <a:extLst>
                      <a:ext uri="{FF2B5EF4-FFF2-40B4-BE49-F238E27FC236}">
                        <a16:creationId xmlns:a16="http://schemas.microsoft.com/office/drawing/2014/main" id="{FB8805E7-3D4B-4999-BC9C-6B1EE1D58A95}"/>
                      </a:ext>
                    </a:extLst>
                  </xdr:cNvPr>
                  <xdr:cNvGraphicFramePr/>
                </xdr:nvGraphicFramePr>
                <xdr:xfrm>
                  <a:off x="2552700" y="4648200"/>
                  <a:ext cx="1333500" cy="82296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041493" y="4410075"/>
                    <a:ext cx="1329977" cy="822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5" name="Quarter">
                    <a:extLst>
                      <a:ext uri="{FF2B5EF4-FFF2-40B4-BE49-F238E27FC236}">
                        <a16:creationId xmlns:a16="http://schemas.microsoft.com/office/drawing/2014/main" id="{D16F8A78-A300-4231-B82E-23645632F57F}"/>
                      </a:ext>
                    </a:extLst>
                  </xdr:cNvPr>
                  <xdr:cNvGraphicFramePr/>
                </xdr:nvGraphicFramePr>
                <xdr:xfrm>
                  <a:off x="2524125" y="3724274"/>
                  <a:ext cx="1438276" cy="838201"/>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6012994" y="3486149"/>
                    <a:ext cx="1434476" cy="8382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sp macro="" textlink="'Pivot Table'!B3">
          <xdr:nvSpPr>
            <xdr:cNvPr id="16" name="TextBox 15">
              <a:extLst>
                <a:ext uri="{FF2B5EF4-FFF2-40B4-BE49-F238E27FC236}">
                  <a16:creationId xmlns:a16="http://schemas.microsoft.com/office/drawing/2014/main" id="{21D422A6-487C-BA6D-FA49-40706DB049A7}"/>
                </a:ext>
              </a:extLst>
            </xdr:cNvPr>
            <xdr:cNvSpPr txBox="1"/>
          </xdr:nvSpPr>
          <xdr:spPr>
            <a:xfrm>
              <a:off x="3638550" y="1990725"/>
              <a:ext cx="13620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AA30706-C5B1-4765-8D33-E3B08FE96434}" type="TxLink">
                <a:rPr lang="en-US" sz="1100" b="0" i="0" u="none" strike="noStrike">
                  <a:solidFill>
                    <a:schemeClr val="bg1"/>
                  </a:solidFill>
                  <a:latin typeface="Calibri"/>
                  <a:ea typeface="+mn-ea"/>
                  <a:cs typeface="Calibri"/>
                </a:rPr>
                <a:pPr marL="0" indent="0"/>
                <a:t>Items</a:t>
              </a:fld>
              <a:endParaRPr lang="en-US" sz="1100" b="0" i="0" u="none" strike="noStrike">
                <a:solidFill>
                  <a:schemeClr val="bg1"/>
                </a:solidFill>
                <a:latin typeface="Calibri"/>
                <a:ea typeface="+mn-ea"/>
                <a:cs typeface="Calibri"/>
              </a:endParaRPr>
            </a:p>
          </xdr:txBody>
        </xdr:sp>
        <xdr:sp macro="" textlink="'Pivot Table'!B4">
          <xdr:nvSpPr>
            <xdr:cNvPr id="19" name="TextBox 18">
              <a:extLst>
                <a:ext uri="{FF2B5EF4-FFF2-40B4-BE49-F238E27FC236}">
                  <a16:creationId xmlns:a16="http://schemas.microsoft.com/office/drawing/2014/main" id="{072732B3-841C-5A4E-E230-DCEF00EFA318}"/>
                </a:ext>
              </a:extLst>
            </xdr:cNvPr>
            <xdr:cNvSpPr txBox="1"/>
          </xdr:nvSpPr>
          <xdr:spPr>
            <a:xfrm>
              <a:off x="3552825" y="2190750"/>
              <a:ext cx="13620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06A5B50-91FF-4920-8DC3-8E9DEC417F5A}" type="TxLink">
                <a:rPr lang="en-US" sz="1600" b="0" i="0" u="none" strike="noStrike">
                  <a:solidFill>
                    <a:schemeClr val="bg1"/>
                  </a:solidFill>
                  <a:latin typeface="Calibri"/>
                  <a:ea typeface="+mn-ea"/>
                  <a:cs typeface="Calibri"/>
                </a:rPr>
                <a:pPr marL="0" indent="0"/>
                <a:t> 1,000 </a:t>
              </a:fld>
              <a:endParaRPr lang="en-US" sz="1600" b="0" i="0" u="none" strike="noStrike">
                <a:solidFill>
                  <a:schemeClr val="bg1"/>
                </a:solidFill>
                <a:latin typeface="Calibri"/>
                <a:ea typeface="+mn-ea"/>
                <a:cs typeface="Calibri"/>
              </a:endParaRPr>
            </a:p>
          </xdr:txBody>
        </xdr:sp>
        <xdr:sp macro="" textlink="">
          <xdr:nvSpPr>
            <xdr:cNvPr id="27" name="Oval 26">
              <a:extLst>
                <a:ext uri="{FF2B5EF4-FFF2-40B4-BE49-F238E27FC236}">
                  <a16:creationId xmlns:a16="http://schemas.microsoft.com/office/drawing/2014/main" id="{3994E797-1D42-1AC9-4026-12AED10EB5A2}"/>
                </a:ext>
              </a:extLst>
            </xdr:cNvPr>
            <xdr:cNvSpPr/>
          </xdr:nvSpPr>
          <xdr:spPr>
            <a:xfrm>
              <a:off x="3648075" y="1476375"/>
              <a:ext cx="342900" cy="323850"/>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8" name="Oval 27">
              <a:extLst>
                <a:ext uri="{FF2B5EF4-FFF2-40B4-BE49-F238E27FC236}">
                  <a16:creationId xmlns:a16="http://schemas.microsoft.com/office/drawing/2014/main" id="{67DD0728-A277-4AB4-76AF-4BECA82BD3CD}"/>
                </a:ext>
              </a:extLst>
            </xdr:cNvPr>
            <xdr:cNvSpPr/>
          </xdr:nvSpPr>
          <xdr:spPr>
            <a:xfrm>
              <a:off x="5715000" y="1504950"/>
              <a:ext cx="342900" cy="323850"/>
            </a:xfrm>
            <a:prstGeom prst="ellipse">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9" name="Oval 28">
              <a:extLst>
                <a:ext uri="{FF2B5EF4-FFF2-40B4-BE49-F238E27FC236}">
                  <a16:creationId xmlns:a16="http://schemas.microsoft.com/office/drawing/2014/main" id="{76D73B0C-ECFB-180E-7C48-D3E87029E3F0}"/>
                </a:ext>
              </a:extLst>
            </xdr:cNvPr>
            <xdr:cNvSpPr/>
          </xdr:nvSpPr>
          <xdr:spPr>
            <a:xfrm>
              <a:off x="5715000" y="2743200"/>
              <a:ext cx="342900" cy="323850"/>
            </a:xfrm>
            <a:prstGeom prst="ellipse">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0" name="Oval 29">
              <a:extLst>
                <a:ext uri="{FF2B5EF4-FFF2-40B4-BE49-F238E27FC236}">
                  <a16:creationId xmlns:a16="http://schemas.microsoft.com/office/drawing/2014/main" id="{A648E35A-A59F-F9CA-BE7F-8947F41F4E06}"/>
                </a:ext>
              </a:extLst>
            </xdr:cNvPr>
            <xdr:cNvSpPr/>
          </xdr:nvSpPr>
          <xdr:spPr>
            <a:xfrm>
              <a:off x="3648075" y="2752725"/>
              <a:ext cx="342900" cy="323850"/>
            </a:xfrm>
            <a:prstGeom prst="ellipse">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G3">
          <xdr:nvSpPr>
            <xdr:cNvPr id="31" name="TextBox 30">
              <a:extLst>
                <a:ext uri="{FF2B5EF4-FFF2-40B4-BE49-F238E27FC236}">
                  <a16:creationId xmlns:a16="http://schemas.microsoft.com/office/drawing/2014/main" id="{92DDFC1C-AD0E-3E27-83FA-8BED768C5F32}"/>
                </a:ext>
              </a:extLst>
            </xdr:cNvPr>
            <xdr:cNvSpPr txBox="1"/>
          </xdr:nvSpPr>
          <xdr:spPr>
            <a:xfrm>
              <a:off x="3562349" y="3295650"/>
              <a:ext cx="20478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2B27992-92D6-4592-9832-5337C7CFB1E5}" type="TxLink">
                <a:rPr lang="en-US" sz="1100" b="0" i="0" u="none" strike="noStrike">
                  <a:solidFill>
                    <a:schemeClr val="tx1"/>
                  </a:solidFill>
                  <a:latin typeface="Calibri"/>
                  <a:ea typeface="+mn-ea"/>
                  <a:cs typeface="Calibri"/>
                </a:rPr>
                <a:pPr marL="0" indent="0"/>
                <a:t> </a:t>
              </a:fld>
              <a:endParaRPr lang="en-US" sz="1100" b="0" i="0" u="none" strike="noStrike">
                <a:solidFill>
                  <a:schemeClr val="tx1"/>
                </a:solidFill>
                <a:latin typeface="Calibri"/>
                <a:ea typeface="+mn-ea"/>
                <a:cs typeface="Calibri"/>
              </a:endParaRPr>
            </a:p>
          </xdr:txBody>
        </xdr:sp>
        <xdr:sp macro="" textlink="'Pivot Table'!G4">
          <xdr:nvSpPr>
            <xdr:cNvPr id="32" name="TextBox 31">
              <a:extLst>
                <a:ext uri="{FF2B5EF4-FFF2-40B4-BE49-F238E27FC236}">
                  <a16:creationId xmlns:a16="http://schemas.microsoft.com/office/drawing/2014/main" id="{6D04C080-1D8F-F135-0B04-3D05A6A20454}"/>
                </a:ext>
              </a:extLst>
            </xdr:cNvPr>
            <xdr:cNvSpPr txBox="1"/>
          </xdr:nvSpPr>
          <xdr:spPr>
            <a:xfrm>
              <a:off x="3533775" y="3486150"/>
              <a:ext cx="13620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1A50B7F-4B65-4C77-AC25-E05B5F600BCA}" type="TxLink">
                <a:rPr lang="en-US" sz="1600" b="0" i="0" u="none" strike="noStrike">
                  <a:solidFill>
                    <a:schemeClr val="tx1"/>
                  </a:solidFill>
                  <a:latin typeface="Calibri"/>
                  <a:ea typeface="+mn-ea"/>
                  <a:cs typeface="Calibri"/>
                </a:rPr>
                <a:pPr marL="0" indent="0"/>
                <a:t> </a:t>
              </a:fld>
              <a:endParaRPr lang="en-US" sz="1600" b="0" i="0" u="none" strike="noStrike">
                <a:solidFill>
                  <a:schemeClr val="tx1"/>
                </a:solidFill>
                <a:latin typeface="Calibri"/>
                <a:ea typeface="+mn-ea"/>
                <a:cs typeface="Calibri"/>
              </a:endParaRPr>
            </a:p>
          </xdr:txBody>
        </xdr:sp>
        <xdr:sp macro="" textlink="'Pivot Table'!C3">
          <xdr:nvSpPr>
            <xdr:cNvPr id="33" name="TextBox 32">
              <a:extLst>
                <a:ext uri="{FF2B5EF4-FFF2-40B4-BE49-F238E27FC236}">
                  <a16:creationId xmlns:a16="http://schemas.microsoft.com/office/drawing/2014/main" id="{8C98C9B0-6199-764E-37BF-335E3A22B9FB}"/>
                </a:ext>
              </a:extLst>
            </xdr:cNvPr>
            <xdr:cNvSpPr txBox="1"/>
          </xdr:nvSpPr>
          <xdr:spPr>
            <a:xfrm>
              <a:off x="5676900" y="3248025"/>
              <a:ext cx="16002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CD3DBCF-F850-4880-8672-A8280F8AE723}" type="TxLink">
                <a:rPr lang="en-US" sz="1100" b="0" i="0" u="none" strike="noStrike">
                  <a:solidFill>
                    <a:schemeClr val="tx1"/>
                  </a:solidFill>
                  <a:latin typeface="Calibri"/>
                  <a:ea typeface="+mn-ea"/>
                  <a:cs typeface="Calibri"/>
                </a:rPr>
                <a:pPr marL="0" indent="0"/>
                <a:t>Average Unit Cost ($)</a:t>
              </a:fld>
              <a:endParaRPr lang="en-US" sz="1100" b="0" i="0" u="none" strike="noStrike">
                <a:solidFill>
                  <a:schemeClr val="tx1"/>
                </a:solidFill>
                <a:latin typeface="Calibri"/>
                <a:ea typeface="+mn-ea"/>
                <a:cs typeface="Calibri"/>
              </a:endParaRPr>
            </a:p>
          </xdr:txBody>
        </xdr:sp>
        <xdr:sp macro="" textlink="'Pivot Table'!C4">
          <xdr:nvSpPr>
            <xdr:cNvPr id="34" name="TextBox 33">
              <a:extLst>
                <a:ext uri="{FF2B5EF4-FFF2-40B4-BE49-F238E27FC236}">
                  <a16:creationId xmlns:a16="http://schemas.microsoft.com/office/drawing/2014/main" id="{C7C3E105-3059-BD5E-5FBB-45F4DA4BB91A}"/>
                </a:ext>
              </a:extLst>
            </xdr:cNvPr>
            <xdr:cNvSpPr txBox="1"/>
          </xdr:nvSpPr>
          <xdr:spPr>
            <a:xfrm>
              <a:off x="5638800" y="3476625"/>
              <a:ext cx="13620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25224E5-EC14-4CD5-B575-736849F60D6A}" type="TxLink">
                <a:rPr lang="en-US" sz="1600" b="0" i="0" u="none" strike="noStrike">
                  <a:solidFill>
                    <a:schemeClr val="tx1"/>
                  </a:solidFill>
                  <a:latin typeface="Calibri"/>
                  <a:ea typeface="+mn-ea"/>
                  <a:cs typeface="Calibri"/>
                </a:rPr>
                <a:pPr marL="0" indent="0"/>
                <a:t>$394.74</a:t>
              </a:fld>
              <a:endParaRPr lang="en-US" sz="1600" b="0" i="0" u="none" strike="noStrike">
                <a:solidFill>
                  <a:schemeClr val="tx1"/>
                </a:solidFill>
                <a:latin typeface="Calibri"/>
                <a:ea typeface="+mn-ea"/>
                <a:cs typeface="Calibri"/>
              </a:endParaRPr>
            </a:p>
          </xdr:txBody>
        </xdr:sp>
        <xdr:sp macro="" textlink="'Pivot Table'!A3">
          <xdr:nvSpPr>
            <xdr:cNvPr id="35" name="TextBox 34">
              <a:extLst>
                <a:ext uri="{FF2B5EF4-FFF2-40B4-BE49-F238E27FC236}">
                  <a16:creationId xmlns:a16="http://schemas.microsoft.com/office/drawing/2014/main" id="{67BC432A-FD73-91AA-87C1-8B5FF0E8CBB3}"/>
                </a:ext>
              </a:extLst>
            </xdr:cNvPr>
            <xdr:cNvSpPr txBox="1"/>
          </xdr:nvSpPr>
          <xdr:spPr>
            <a:xfrm>
              <a:off x="5629275" y="1962150"/>
              <a:ext cx="13620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DB9F7C3-9039-443F-AF17-B17A37342ED2}" type="TxLink">
                <a:rPr lang="en-US" sz="1100" b="0" i="0" u="none" strike="noStrike">
                  <a:solidFill>
                    <a:schemeClr val="tx1"/>
                  </a:solidFill>
                  <a:latin typeface="Calibri"/>
                  <a:ea typeface="+mn-ea"/>
                  <a:cs typeface="Calibri"/>
                </a:rPr>
                <a:pPr marL="0" indent="0"/>
                <a:t>Total Stock Quantity</a:t>
              </a:fld>
              <a:endParaRPr lang="en-US" sz="1100" b="0" i="0" u="none" strike="noStrike">
                <a:solidFill>
                  <a:schemeClr val="tx1"/>
                </a:solidFill>
                <a:latin typeface="Calibri"/>
                <a:ea typeface="+mn-ea"/>
                <a:cs typeface="Calibri"/>
              </a:endParaRPr>
            </a:p>
          </xdr:txBody>
        </xdr:sp>
        <xdr:sp macro="" textlink="'Pivot Table'!A4">
          <xdr:nvSpPr>
            <xdr:cNvPr id="36" name="TextBox 35">
              <a:extLst>
                <a:ext uri="{FF2B5EF4-FFF2-40B4-BE49-F238E27FC236}">
                  <a16:creationId xmlns:a16="http://schemas.microsoft.com/office/drawing/2014/main" id="{BC6937F1-4252-E03E-866D-6ED00B5AF75C}"/>
                </a:ext>
              </a:extLst>
            </xdr:cNvPr>
            <xdr:cNvSpPr txBox="1"/>
          </xdr:nvSpPr>
          <xdr:spPr>
            <a:xfrm>
              <a:off x="5629275" y="2181225"/>
              <a:ext cx="13620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CB9B946-2B8C-4334-9475-A7F8AE49789E}" type="TxLink">
                <a:rPr lang="en-US" sz="1600" b="0" i="0" u="none" strike="noStrike">
                  <a:solidFill>
                    <a:schemeClr val="tx1"/>
                  </a:solidFill>
                  <a:latin typeface="Calibri"/>
                  <a:ea typeface="+mn-ea"/>
                  <a:cs typeface="Calibri"/>
                </a:rPr>
                <a:pPr marL="0" indent="0"/>
                <a:t>252.9K</a:t>
              </a:fld>
              <a:endParaRPr lang="en-US" sz="1600" b="0" i="0" u="none" strike="noStrike">
                <a:solidFill>
                  <a:schemeClr val="tx1"/>
                </a:solidFill>
                <a:latin typeface="Calibri"/>
                <a:ea typeface="+mn-ea"/>
                <a:cs typeface="Calibri"/>
              </a:endParaRPr>
            </a:p>
          </xdr:txBody>
        </xdr:sp>
        <xdr:pic>
          <xdr:nvPicPr>
            <xdr:cNvPr id="39" name="Picture 38">
              <a:extLst>
                <a:ext uri="{FF2B5EF4-FFF2-40B4-BE49-F238E27FC236}">
                  <a16:creationId xmlns:a16="http://schemas.microsoft.com/office/drawing/2014/main" id="{95F35649-5050-14D7-60E6-A0E14D731BF9}"/>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3629025" y="1447800"/>
              <a:ext cx="381032" cy="381032"/>
            </a:xfrm>
            <a:prstGeom prst="rect">
              <a:avLst/>
            </a:prstGeom>
          </xdr:spPr>
        </xdr:pic>
        <xdr:pic>
          <xdr:nvPicPr>
            <xdr:cNvPr id="40" name="Picture 39">
              <a:extLst>
                <a:ext uri="{FF2B5EF4-FFF2-40B4-BE49-F238E27FC236}">
                  <a16:creationId xmlns:a16="http://schemas.microsoft.com/office/drawing/2014/main" id="{98D4EA04-86DE-BF9A-CCB4-5FDD5A76A64E}"/>
                </a:ext>
              </a:extLst>
            </xdr:cNvPr>
            <xdr:cNvPicPr>
              <a:picLocks noChangeAspect="1"/>
            </xdr:cNvPicPr>
          </xdr:nvPicPr>
          <xdr:blipFill>
            <a:blip xmlns:r="http://schemas.openxmlformats.org/officeDocument/2006/relationships" r:embed="rId6"/>
            <a:stretch>
              <a:fillRect/>
            </a:stretch>
          </xdr:blipFill>
          <xdr:spPr>
            <a:xfrm>
              <a:off x="3648075" y="2752725"/>
              <a:ext cx="333375" cy="333375"/>
            </a:xfrm>
            <a:prstGeom prst="rect">
              <a:avLst/>
            </a:prstGeom>
          </xdr:spPr>
        </xdr:pic>
        <xdr:pic>
          <xdr:nvPicPr>
            <xdr:cNvPr id="41" name="Picture 40">
              <a:extLst>
                <a:ext uri="{FF2B5EF4-FFF2-40B4-BE49-F238E27FC236}">
                  <a16:creationId xmlns:a16="http://schemas.microsoft.com/office/drawing/2014/main" id="{683B7C6D-E955-F5ED-0387-1204E9628899}"/>
                </a:ext>
              </a:extLst>
            </xdr:cNvPr>
            <xdr:cNvPicPr>
              <a:picLocks noChangeAspect="1"/>
            </xdr:cNvPicPr>
          </xdr:nvPicPr>
          <xdr:blipFill>
            <a:blip xmlns:r="http://schemas.openxmlformats.org/officeDocument/2006/relationships" r:embed="rId7"/>
            <a:stretch>
              <a:fillRect/>
            </a:stretch>
          </xdr:blipFill>
          <xdr:spPr>
            <a:xfrm>
              <a:off x="5762624" y="2771775"/>
              <a:ext cx="257175" cy="257175"/>
            </a:xfrm>
            <a:prstGeom prst="rect">
              <a:avLst/>
            </a:prstGeom>
          </xdr:spPr>
        </xdr:pic>
        <xdr:pic>
          <xdr:nvPicPr>
            <xdr:cNvPr id="43" name="Picture 42">
              <a:extLst>
                <a:ext uri="{FF2B5EF4-FFF2-40B4-BE49-F238E27FC236}">
                  <a16:creationId xmlns:a16="http://schemas.microsoft.com/office/drawing/2014/main" id="{5B8CD182-E641-0D13-77FB-6D92B2404634}"/>
                </a:ext>
              </a:extLst>
            </xdr:cNvPr>
            <xdr:cNvPicPr>
              <a:picLocks noChangeAspect="1"/>
            </xdr:cNvPicPr>
          </xdr:nvPicPr>
          <xdr:blipFill>
            <a:blip xmlns:r="http://schemas.openxmlformats.org/officeDocument/2006/relationships" r:embed="rId8"/>
            <a:stretch>
              <a:fillRect/>
            </a:stretch>
          </xdr:blipFill>
          <xdr:spPr>
            <a:xfrm>
              <a:off x="5753100" y="1543050"/>
              <a:ext cx="247650" cy="247650"/>
            </a:xfrm>
            <a:prstGeom prst="rect">
              <a:avLst/>
            </a:prstGeom>
          </xdr:spPr>
        </xdr:pic>
        <xdr:sp macro="" textlink="">
          <xdr:nvSpPr>
            <xdr:cNvPr id="44" name="TextBox 43">
              <a:extLst>
                <a:ext uri="{FF2B5EF4-FFF2-40B4-BE49-F238E27FC236}">
                  <a16:creationId xmlns:a16="http://schemas.microsoft.com/office/drawing/2014/main" id="{46682C27-4F7F-4ECA-DE71-6BA9168E2B14}"/>
                </a:ext>
              </a:extLst>
            </xdr:cNvPr>
            <xdr:cNvSpPr txBox="1"/>
          </xdr:nvSpPr>
          <xdr:spPr>
            <a:xfrm>
              <a:off x="3571875" y="1081087"/>
              <a:ext cx="3810000" cy="309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latin typeface="Arial" panose="020B0604020202020204" pitchFamily="34" charset="0"/>
                  <a:cs typeface="Arial" panose="020B0604020202020204" pitchFamily="34" charset="0"/>
                </a:rPr>
                <a:t>Executive</a:t>
              </a:r>
              <a:r>
                <a:rPr lang="en-US" sz="1400" baseline="0">
                  <a:latin typeface="Arial" panose="020B0604020202020204" pitchFamily="34" charset="0"/>
                  <a:cs typeface="Arial" panose="020B0604020202020204" pitchFamily="34" charset="0"/>
                </a:rPr>
                <a:t> Summary</a:t>
              </a:r>
              <a:endParaRPr lang="en-US" sz="1400">
                <a:latin typeface="Arial" panose="020B0604020202020204" pitchFamily="34" charset="0"/>
                <a:cs typeface="Arial" panose="020B0604020202020204" pitchFamily="34" charset="0"/>
              </a:endParaRPr>
            </a:p>
          </xdr:txBody>
        </xdr:sp>
        <xdr:sp macro="" textlink="'Pivot Table'!D4">
          <xdr:nvSpPr>
            <xdr:cNvPr id="20" name="TextBox 19">
              <a:extLst>
                <a:ext uri="{FF2B5EF4-FFF2-40B4-BE49-F238E27FC236}">
                  <a16:creationId xmlns:a16="http://schemas.microsoft.com/office/drawing/2014/main" id="{037E1777-ABA0-78F4-95C6-1D04113DD292}"/>
                </a:ext>
              </a:extLst>
            </xdr:cNvPr>
            <xdr:cNvSpPr txBox="1"/>
          </xdr:nvSpPr>
          <xdr:spPr>
            <a:xfrm>
              <a:off x="3629025" y="3486150"/>
              <a:ext cx="13620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25AA7CF-6E8F-400E-9B76-28FBD19F6066}" type="TxLink">
                <a:rPr lang="en-US" sz="1600" b="0" i="0" u="none" strike="noStrike">
                  <a:solidFill>
                    <a:schemeClr val="tx1"/>
                  </a:solidFill>
                  <a:latin typeface="Calibri"/>
                  <a:ea typeface="+mn-ea"/>
                  <a:cs typeface="Calibri"/>
                </a:rPr>
                <a:pPr marL="0" indent="0"/>
                <a:t>164.6K</a:t>
              </a:fld>
              <a:endParaRPr lang="en-US" sz="1600" b="0" i="0" u="none" strike="noStrike">
                <a:solidFill>
                  <a:schemeClr val="tx1"/>
                </a:solidFill>
                <a:latin typeface="Calibri"/>
                <a:ea typeface="+mn-ea"/>
                <a:cs typeface="Calibri"/>
              </a:endParaRPr>
            </a:p>
          </xdr:txBody>
        </xdr:sp>
        <xdr:sp macro="" textlink="'Pivot Table'!D3">
          <xdr:nvSpPr>
            <xdr:cNvPr id="37" name="TextBox 36">
              <a:extLst>
                <a:ext uri="{FF2B5EF4-FFF2-40B4-BE49-F238E27FC236}">
                  <a16:creationId xmlns:a16="http://schemas.microsoft.com/office/drawing/2014/main" id="{1C2FF32F-7D6C-ADC3-0DF4-F03B0EDEA771}"/>
                </a:ext>
              </a:extLst>
            </xdr:cNvPr>
            <xdr:cNvSpPr txBox="1"/>
          </xdr:nvSpPr>
          <xdr:spPr>
            <a:xfrm>
              <a:off x="3609975" y="3305175"/>
              <a:ext cx="16002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5CE858A-97DC-43AD-99FA-BAA59EC38549}" type="TxLink">
                <a:rPr lang="en-US" sz="1100" b="0" i="0" u="none" strike="noStrike">
                  <a:solidFill>
                    <a:schemeClr val="tx1"/>
                  </a:solidFill>
                  <a:latin typeface="Calibri"/>
                  <a:ea typeface="+mn-ea"/>
                  <a:cs typeface="Calibri"/>
                </a:rPr>
                <a:pPr marL="0" indent="0"/>
                <a:t>Estimated Restocked Qty</a:t>
              </a:fld>
              <a:endParaRPr lang="en-US" sz="1100" b="0" i="0" u="none" strike="noStrike">
                <a:solidFill>
                  <a:schemeClr val="tx1"/>
                </a:solidFill>
                <a:latin typeface="Calibri"/>
                <a:ea typeface="+mn-ea"/>
                <a:cs typeface="Calibri"/>
              </a:endParaRPr>
            </a:p>
          </xdr:txBody>
        </xdr:sp>
      </xdr:grpSp>
      <xdr:grpSp>
        <xdr:nvGrpSpPr>
          <xdr:cNvPr id="1056" name="Group 1055">
            <a:extLst>
              <a:ext uri="{FF2B5EF4-FFF2-40B4-BE49-F238E27FC236}">
                <a16:creationId xmlns:a16="http://schemas.microsoft.com/office/drawing/2014/main" id="{A497859D-E2E4-2E8E-EE0D-D11E1B3DB56F}"/>
              </a:ext>
            </a:extLst>
          </xdr:cNvPr>
          <xdr:cNvGrpSpPr/>
        </xdr:nvGrpSpPr>
        <xdr:grpSpPr>
          <a:xfrm>
            <a:off x="1866900" y="1428750"/>
            <a:ext cx="1314450" cy="1971675"/>
            <a:chOff x="1866900" y="1428750"/>
            <a:chExt cx="1314450" cy="1971675"/>
          </a:xfrm>
        </xdr:grpSpPr>
        <xdr:grpSp>
          <xdr:nvGrpSpPr>
            <xdr:cNvPr id="1051" name="Group 1050">
              <a:hlinkClick xmlns:r="http://schemas.openxmlformats.org/officeDocument/2006/relationships" r:id="rId9"/>
              <a:extLst>
                <a:ext uri="{FF2B5EF4-FFF2-40B4-BE49-F238E27FC236}">
                  <a16:creationId xmlns:a16="http://schemas.microsoft.com/office/drawing/2014/main" id="{1A6B4A79-087A-09F5-7D6B-72B9915BD440}"/>
                </a:ext>
              </a:extLst>
            </xdr:cNvPr>
            <xdr:cNvGrpSpPr/>
          </xdr:nvGrpSpPr>
          <xdr:grpSpPr>
            <a:xfrm>
              <a:off x="1905000" y="1428750"/>
              <a:ext cx="1276350" cy="266700"/>
              <a:chOff x="1905000" y="1428750"/>
              <a:chExt cx="1276350" cy="266700"/>
            </a:xfrm>
          </xdr:grpSpPr>
          <xdr:pic>
            <xdr:nvPicPr>
              <xdr:cNvPr id="58" name="Picture 57">
                <a:extLst>
                  <a:ext uri="{FF2B5EF4-FFF2-40B4-BE49-F238E27FC236}">
                    <a16:creationId xmlns:a16="http://schemas.microsoft.com/office/drawing/2014/main" id="{10D79BA6-867B-6213-1A24-EA02AE594DE8}"/>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905000" y="1457325"/>
                <a:ext cx="228632" cy="228632"/>
              </a:xfrm>
              <a:prstGeom prst="rect">
                <a:avLst/>
              </a:prstGeom>
            </xdr:spPr>
          </xdr:pic>
          <xdr:sp macro="" textlink="">
            <xdr:nvSpPr>
              <xdr:cNvPr id="1046" name="TextBox 1045">
                <a:extLst>
                  <a:ext uri="{FF2B5EF4-FFF2-40B4-BE49-F238E27FC236}">
                    <a16:creationId xmlns:a16="http://schemas.microsoft.com/office/drawing/2014/main" id="{ABEF8E00-8E01-2E47-82BC-D5E4CAFD26BC}"/>
                  </a:ext>
                </a:extLst>
              </xdr:cNvPr>
              <xdr:cNvSpPr txBox="1"/>
            </xdr:nvSpPr>
            <xdr:spPr>
              <a:xfrm>
                <a:off x="2171700" y="1428750"/>
                <a:ext cx="10096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tx1"/>
                    </a:solidFill>
                  </a:rPr>
                  <a:t>Raw</a:t>
                </a:r>
                <a:r>
                  <a:rPr lang="en-US" sz="1200" baseline="0">
                    <a:solidFill>
                      <a:schemeClr val="tx1"/>
                    </a:solidFill>
                  </a:rPr>
                  <a:t> dataset</a:t>
                </a:r>
                <a:endParaRPr lang="en-US" sz="1200">
                  <a:solidFill>
                    <a:schemeClr val="tx1"/>
                  </a:solidFill>
                </a:endParaRPr>
              </a:p>
            </xdr:txBody>
          </xdr:sp>
        </xdr:grpSp>
        <xdr:grpSp>
          <xdr:nvGrpSpPr>
            <xdr:cNvPr id="1052" name="Group 1051">
              <a:hlinkClick xmlns:r="http://schemas.openxmlformats.org/officeDocument/2006/relationships" r:id="rId11"/>
              <a:extLst>
                <a:ext uri="{FF2B5EF4-FFF2-40B4-BE49-F238E27FC236}">
                  <a16:creationId xmlns:a16="http://schemas.microsoft.com/office/drawing/2014/main" id="{36988F1F-9C44-FBF2-9988-F9389BFFE8F9}"/>
                </a:ext>
              </a:extLst>
            </xdr:cNvPr>
            <xdr:cNvGrpSpPr/>
          </xdr:nvGrpSpPr>
          <xdr:grpSpPr>
            <a:xfrm>
              <a:off x="1885950" y="1857375"/>
              <a:ext cx="1257300" cy="285782"/>
              <a:chOff x="1885950" y="1857375"/>
              <a:chExt cx="1257300" cy="285782"/>
            </a:xfrm>
          </xdr:grpSpPr>
          <xdr:pic>
            <xdr:nvPicPr>
              <xdr:cNvPr id="60" name="Picture 59">
                <a:extLst>
                  <a:ext uri="{FF2B5EF4-FFF2-40B4-BE49-F238E27FC236}">
                    <a16:creationId xmlns:a16="http://schemas.microsoft.com/office/drawing/2014/main" id="{FB9A62BA-0088-6F83-0E88-604021931193}"/>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1885950" y="1914525"/>
                <a:ext cx="228632" cy="228632"/>
              </a:xfrm>
              <a:prstGeom prst="rect">
                <a:avLst/>
              </a:prstGeom>
            </xdr:spPr>
          </xdr:pic>
          <xdr:sp macro="" textlink="">
            <xdr:nvSpPr>
              <xdr:cNvPr id="1047" name="TextBox 1046">
                <a:extLst>
                  <a:ext uri="{FF2B5EF4-FFF2-40B4-BE49-F238E27FC236}">
                    <a16:creationId xmlns:a16="http://schemas.microsoft.com/office/drawing/2014/main" id="{2CF816F9-12D3-6973-A514-886A19073FDD}"/>
                  </a:ext>
                </a:extLst>
              </xdr:cNvPr>
              <xdr:cNvSpPr txBox="1"/>
            </xdr:nvSpPr>
            <xdr:spPr>
              <a:xfrm>
                <a:off x="2133600" y="1857375"/>
                <a:ext cx="10096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tx1"/>
                    </a:solidFill>
                  </a:rPr>
                  <a:t>Cleaned data</a:t>
                </a:r>
              </a:p>
            </xdr:txBody>
          </xdr:sp>
        </xdr:grpSp>
        <xdr:grpSp>
          <xdr:nvGrpSpPr>
            <xdr:cNvPr id="1053" name="Group 1052">
              <a:hlinkClick xmlns:r="http://schemas.openxmlformats.org/officeDocument/2006/relationships" r:id="rId13"/>
              <a:extLst>
                <a:ext uri="{FF2B5EF4-FFF2-40B4-BE49-F238E27FC236}">
                  <a16:creationId xmlns:a16="http://schemas.microsoft.com/office/drawing/2014/main" id="{69B84A3B-A4BD-E714-82B7-F720EC978306}"/>
                </a:ext>
              </a:extLst>
            </xdr:cNvPr>
            <xdr:cNvGrpSpPr/>
          </xdr:nvGrpSpPr>
          <xdr:grpSpPr>
            <a:xfrm>
              <a:off x="1885950" y="2333625"/>
              <a:ext cx="1219200" cy="266732"/>
              <a:chOff x="1885950" y="2333625"/>
              <a:chExt cx="1219200" cy="266732"/>
            </a:xfrm>
          </xdr:grpSpPr>
          <xdr:pic>
            <xdr:nvPicPr>
              <xdr:cNvPr id="62" name="Picture 61">
                <a:extLst>
                  <a:ext uri="{FF2B5EF4-FFF2-40B4-BE49-F238E27FC236}">
                    <a16:creationId xmlns:a16="http://schemas.microsoft.com/office/drawing/2014/main" id="{F5036177-AA55-9B6D-FDB9-E1E01186C482}"/>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1885950" y="2371725"/>
                <a:ext cx="228632" cy="228632"/>
              </a:xfrm>
              <a:prstGeom prst="rect">
                <a:avLst/>
              </a:prstGeom>
            </xdr:spPr>
          </xdr:pic>
          <xdr:sp macro="" textlink="">
            <xdr:nvSpPr>
              <xdr:cNvPr id="1048" name="TextBox 1047">
                <a:extLst>
                  <a:ext uri="{FF2B5EF4-FFF2-40B4-BE49-F238E27FC236}">
                    <a16:creationId xmlns:a16="http://schemas.microsoft.com/office/drawing/2014/main" id="{04A841D6-8985-0D2F-03B7-66CF3DEA106C}"/>
                  </a:ext>
                </a:extLst>
              </xdr:cNvPr>
              <xdr:cNvSpPr txBox="1"/>
            </xdr:nvSpPr>
            <xdr:spPr>
              <a:xfrm>
                <a:off x="2095500" y="2333625"/>
                <a:ext cx="10096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tx1"/>
                    </a:solidFill>
                  </a:rPr>
                  <a:t>Pivot table</a:t>
                </a:r>
              </a:p>
            </xdr:txBody>
          </xdr:sp>
        </xdr:grpSp>
        <xdr:grpSp>
          <xdr:nvGrpSpPr>
            <xdr:cNvPr id="1054" name="Group 1053">
              <a:hlinkClick xmlns:r="http://schemas.openxmlformats.org/officeDocument/2006/relationships" r:id="rId15"/>
              <a:extLst>
                <a:ext uri="{FF2B5EF4-FFF2-40B4-BE49-F238E27FC236}">
                  <a16:creationId xmlns:a16="http://schemas.microsoft.com/office/drawing/2014/main" id="{471010FA-BC78-EE68-8DAC-F2E9B9C890B7}"/>
                </a:ext>
              </a:extLst>
            </xdr:cNvPr>
            <xdr:cNvGrpSpPr/>
          </xdr:nvGrpSpPr>
          <xdr:grpSpPr>
            <a:xfrm>
              <a:off x="1866900" y="2733675"/>
              <a:ext cx="1285874" cy="266700"/>
              <a:chOff x="1866900" y="2733675"/>
              <a:chExt cx="1285874" cy="266700"/>
            </a:xfrm>
          </xdr:grpSpPr>
          <xdr:pic>
            <xdr:nvPicPr>
              <xdr:cNvPr id="1024" name="Picture 1023">
                <a:extLst>
                  <a:ext uri="{FF2B5EF4-FFF2-40B4-BE49-F238E27FC236}">
                    <a16:creationId xmlns:a16="http://schemas.microsoft.com/office/drawing/2014/main" id="{5327D553-4C1B-D05C-BF13-7D1887FF0D0B}"/>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1866900" y="2762250"/>
                <a:ext cx="228632" cy="228632"/>
              </a:xfrm>
              <a:prstGeom prst="rect">
                <a:avLst/>
              </a:prstGeom>
            </xdr:spPr>
          </xdr:pic>
          <xdr:sp macro="" textlink="">
            <xdr:nvSpPr>
              <xdr:cNvPr id="1049" name="TextBox 1048">
                <a:extLst>
                  <a:ext uri="{FF2B5EF4-FFF2-40B4-BE49-F238E27FC236}">
                    <a16:creationId xmlns:a16="http://schemas.microsoft.com/office/drawing/2014/main" id="{6D212297-874B-C1CC-A582-B94D603D49BA}"/>
                  </a:ext>
                </a:extLst>
              </xdr:cNvPr>
              <xdr:cNvSpPr txBox="1"/>
            </xdr:nvSpPr>
            <xdr:spPr>
              <a:xfrm>
                <a:off x="2057399" y="2733675"/>
                <a:ext cx="10953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tx1"/>
                    </a:solidFill>
                  </a:rPr>
                  <a:t>Report</a:t>
                </a:r>
                <a:r>
                  <a:rPr lang="en-US" sz="1200" baseline="0">
                    <a:solidFill>
                      <a:schemeClr val="tx1"/>
                    </a:solidFill>
                  </a:rPr>
                  <a:t> page 1</a:t>
                </a:r>
                <a:endParaRPr lang="en-US" sz="1200">
                  <a:solidFill>
                    <a:schemeClr val="tx1"/>
                  </a:solidFill>
                </a:endParaRPr>
              </a:p>
            </xdr:txBody>
          </xdr:sp>
        </xdr:grpSp>
        <xdr:grpSp>
          <xdr:nvGrpSpPr>
            <xdr:cNvPr id="1055" name="Group 1054">
              <a:hlinkClick xmlns:r="http://schemas.openxmlformats.org/officeDocument/2006/relationships" r:id="rId17"/>
              <a:extLst>
                <a:ext uri="{FF2B5EF4-FFF2-40B4-BE49-F238E27FC236}">
                  <a16:creationId xmlns:a16="http://schemas.microsoft.com/office/drawing/2014/main" id="{7985FFC7-8600-06EC-DAEF-36091CD70933}"/>
                </a:ext>
              </a:extLst>
            </xdr:cNvPr>
            <xdr:cNvGrpSpPr/>
          </xdr:nvGrpSpPr>
          <xdr:grpSpPr>
            <a:xfrm>
              <a:off x="1876425" y="3133725"/>
              <a:ext cx="1276350" cy="266700"/>
              <a:chOff x="1876425" y="3133725"/>
              <a:chExt cx="1276350" cy="266700"/>
            </a:xfrm>
          </xdr:grpSpPr>
          <xdr:pic>
            <xdr:nvPicPr>
              <xdr:cNvPr id="1029" name="Picture 1028">
                <a:extLst>
                  <a:ext uri="{FF2B5EF4-FFF2-40B4-BE49-F238E27FC236}">
                    <a16:creationId xmlns:a16="http://schemas.microsoft.com/office/drawing/2014/main" id="{86B21205-1B61-BD24-97D0-B49B4ED78F49}"/>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1876425" y="3152775"/>
                <a:ext cx="228632" cy="228632"/>
              </a:xfrm>
              <a:prstGeom prst="rect">
                <a:avLst/>
              </a:prstGeom>
            </xdr:spPr>
          </xdr:pic>
          <xdr:sp macro="" textlink="">
            <xdr:nvSpPr>
              <xdr:cNvPr id="1050" name="TextBox 1049">
                <a:extLst>
                  <a:ext uri="{FF2B5EF4-FFF2-40B4-BE49-F238E27FC236}">
                    <a16:creationId xmlns:a16="http://schemas.microsoft.com/office/drawing/2014/main" id="{57637663-CACE-AAD1-1CDA-541591767C82}"/>
                  </a:ext>
                </a:extLst>
              </xdr:cNvPr>
              <xdr:cNvSpPr txBox="1"/>
            </xdr:nvSpPr>
            <xdr:spPr>
              <a:xfrm>
                <a:off x="2047875" y="3133725"/>
                <a:ext cx="11049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tx1"/>
                    </a:solidFill>
                  </a:rPr>
                  <a:t>Report</a:t>
                </a:r>
                <a:r>
                  <a:rPr lang="en-US" sz="1200" baseline="0">
                    <a:solidFill>
                      <a:schemeClr val="tx1"/>
                    </a:solidFill>
                  </a:rPr>
                  <a:t> page 2</a:t>
                </a:r>
                <a:endParaRPr lang="en-US" sz="1200">
                  <a:solidFill>
                    <a:schemeClr val="tx1"/>
                  </a:solidFill>
                </a:endParaRPr>
              </a:p>
            </xdr:txBody>
          </xdr:sp>
        </xdr:grpSp>
      </xdr:grpSp>
      <xdr:grpSp>
        <xdr:nvGrpSpPr>
          <xdr:cNvPr id="1076" name="Group 1075">
            <a:extLst>
              <a:ext uri="{FF2B5EF4-FFF2-40B4-BE49-F238E27FC236}">
                <a16:creationId xmlns:a16="http://schemas.microsoft.com/office/drawing/2014/main" id="{78D5E772-F5B7-90F9-513A-68421D848D2D}"/>
              </a:ext>
            </a:extLst>
          </xdr:cNvPr>
          <xdr:cNvGrpSpPr/>
        </xdr:nvGrpSpPr>
        <xdr:grpSpPr>
          <a:xfrm>
            <a:off x="11515725" y="930275"/>
            <a:ext cx="285750" cy="298450"/>
            <a:chOff x="11906250" y="996950"/>
            <a:chExt cx="276225" cy="298450"/>
          </a:xfrm>
        </xdr:grpSpPr>
        <xdr:sp macro="" textlink="">
          <xdr:nvSpPr>
            <xdr:cNvPr id="1075" name="Oval 1074">
              <a:extLst>
                <a:ext uri="{FF2B5EF4-FFF2-40B4-BE49-F238E27FC236}">
                  <a16:creationId xmlns:a16="http://schemas.microsoft.com/office/drawing/2014/main" id="{1B8526E1-AC43-0424-EF79-6EF897625ABE}"/>
                </a:ext>
              </a:extLst>
            </xdr:cNvPr>
            <xdr:cNvSpPr/>
          </xdr:nvSpPr>
          <xdr:spPr>
            <a:xfrm>
              <a:off x="11906250" y="1028700"/>
              <a:ext cx="276225" cy="266700"/>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074" name="Picture 1073">
              <a:extLst>
                <a:ext uri="{FF2B5EF4-FFF2-40B4-BE49-F238E27FC236}">
                  <a16:creationId xmlns:a16="http://schemas.microsoft.com/office/drawing/2014/main" id="{ED3917B9-6B35-1754-8B1C-B6E66895E6F8}"/>
                </a:ext>
              </a:extLst>
            </xdr:cNvPr>
            <xdr:cNvPicPr>
              <a:picLocks noChangeAspect="1"/>
            </xdr:cNvPicPr>
          </xdr:nvPicPr>
          <xdr:blipFill>
            <a:blip xmlns:r="http://schemas.openxmlformats.org/officeDocument/2006/relationships" r:embed="rId19" cstate="print">
              <a:extLst>
                <a:ext uri="{BEBA8EAE-BF5A-486C-A8C5-ECC9F3942E4B}">
                  <a14:imgProps xmlns:a14="http://schemas.microsoft.com/office/drawing/2010/main">
                    <a14:imgLayer r:embed="rId20">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11934825" y="996950"/>
              <a:ext cx="223838" cy="298450"/>
            </a:xfrm>
            <a:prstGeom prst="rect">
              <a:avLst/>
            </a:prstGeom>
          </xdr:spPr>
        </xdr:pic>
      </xdr:grpSp>
      <xdr:sp macro="" textlink="">
        <xdr:nvSpPr>
          <xdr:cNvPr id="1077" name="TextBox 1076">
            <a:extLst>
              <a:ext uri="{FF2B5EF4-FFF2-40B4-BE49-F238E27FC236}">
                <a16:creationId xmlns:a16="http://schemas.microsoft.com/office/drawing/2014/main" id="{AE11EF6C-5BFF-79F3-ADFC-94D7A7CA834B}"/>
              </a:ext>
            </a:extLst>
          </xdr:cNvPr>
          <xdr:cNvSpPr txBox="1"/>
        </xdr:nvSpPr>
        <xdr:spPr>
          <a:xfrm>
            <a:off x="11782425" y="971550"/>
            <a:ext cx="139065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006BBC"/>
                </a:solidFill>
              </a:rPr>
              <a:t>Idris |</a:t>
            </a:r>
            <a:r>
              <a:rPr lang="en-US" sz="1100" baseline="0">
                <a:solidFill>
                  <a:srgbClr val="006BBC"/>
                </a:solidFill>
              </a:rPr>
              <a:t> The Data Guy</a:t>
            </a:r>
            <a:endParaRPr lang="en-US" sz="1100">
              <a:solidFill>
                <a:srgbClr val="006BBC"/>
              </a:solidFill>
            </a:endParaRPr>
          </a:p>
        </xdr:txBody>
      </xdr:sp>
      <xdr:sp macro="" textlink="">
        <xdr:nvSpPr>
          <xdr:cNvPr id="1078" name="TextBox 1077">
            <a:extLst>
              <a:ext uri="{FF2B5EF4-FFF2-40B4-BE49-F238E27FC236}">
                <a16:creationId xmlns:a16="http://schemas.microsoft.com/office/drawing/2014/main" id="{FCE8BC0E-F1BB-35E9-1312-3EB2026F90E9}"/>
              </a:ext>
            </a:extLst>
          </xdr:cNvPr>
          <xdr:cNvSpPr txBox="1"/>
        </xdr:nvSpPr>
        <xdr:spPr>
          <a:xfrm>
            <a:off x="1943100" y="5924550"/>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1"/>
                </a:solidFill>
                <a:latin typeface="Arial" panose="020B0604020202020204" pitchFamily="34" charset="0"/>
                <a:cs typeface="Arial" panose="020B0604020202020204" pitchFamily="34" charset="0"/>
              </a:rPr>
              <a:t>Connect with me on</a:t>
            </a:r>
          </a:p>
        </xdr:txBody>
      </xdr:sp>
      <xdr:sp macro="" textlink="">
        <xdr:nvSpPr>
          <xdr:cNvPr id="1079" name="TextBox 1078">
            <a:extLst>
              <a:ext uri="{FF2B5EF4-FFF2-40B4-BE49-F238E27FC236}">
                <a16:creationId xmlns:a16="http://schemas.microsoft.com/office/drawing/2014/main" id="{4A4C142D-31C7-F7F8-36F2-2D906A7FEC39}"/>
              </a:ext>
            </a:extLst>
          </xdr:cNvPr>
          <xdr:cNvSpPr txBox="1"/>
        </xdr:nvSpPr>
        <xdr:spPr>
          <a:xfrm>
            <a:off x="2143126" y="6153150"/>
            <a:ext cx="10668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1"/>
                </a:solidFill>
                <a:latin typeface="Arial" panose="020B0604020202020204" pitchFamily="34" charset="0"/>
                <a:cs typeface="Arial" panose="020B0604020202020204" pitchFamily="34" charset="0"/>
              </a:rPr>
              <a:t>@im_classic24</a:t>
            </a:r>
          </a:p>
        </xdr:txBody>
      </xdr:sp>
      <xdr:sp macro="" textlink="">
        <xdr:nvSpPr>
          <xdr:cNvPr id="1080" name="TextBox 1079">
            <a:extLst>
              <a:ext uri="{FF2B5EF4-FFF2-40B4-BE49-F238E27FC236}">
                <a16:creationId xmlns:a16="http://schemas.microsoft.com/office/drawing/2014/main" id="{1DE1A43C-9000-74E7-F332-36A56E20F1A8}"/>
              </a:ext>
            </a:extLst>
          </xdr:cNvPr>
          <xdr:cNvSpPr txBox="1"/>
        </xdr:nvSpPr>
        <xdr:spPr>
          <a:xfrm>
            <a:off x="2124076" y="6381750"/>
            <a:ext cx="1104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1"/>
                </a:solidFill>
                <a:latin typeface="Arial" panose="020B0604020202020204" pitchFamily="34" charset="0"/>
                <a:cs typeface="Arial" panose="020B0604020202020204" pitchFamily="34" charset="0"/>
              </a:rPr>
              <a:t>@datamentor25</a:t>
            </a:r>
          </a:p>
        </xdr:txBody>
      </xdr:sp>
      <xdr:sp macro="" textlink="">
        <xdr:nvSpPr>
          <xdr:cNvPr id="1081" name="TextBox 1080">
            <a:extLst>
              <a:ext uri="{FF2B5EF4-FFF2-40B4-BE49-F238E27FC236}">
                <a16:creationId xmlns:a16="http://schemas.microsoft.com/office/drawing/2014/main" id="{15E5DB3A-DC87-22B5-5ABC-D72C4CA09708}"/>
              </a:ext>
            </a:extLst>
          </xdr:cNvPr>
          <xdr:cNvSpPr txBox="1"/>
        </xdr:nvSpPr>
        <xdr:spPr>
          <a:xfrm>
            <a:off x="2133600" y="6619875"/>
            <a:ext cx="86677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1"/>
                </a:solidFill>
                <a:latin typeface="Arial" panose="020B0604020202020204" pitchFamily="34" charset="0"/>
                <a:cs typeface="Arial" panose="020B0604020202020204" pitchFamily="34" charset="0"/>
              </a:rPr>
              <a:t>oladejo</a:t>
            </a:r>
            <a:r>
              <a:rPr lang="en-US" sz="1000" baseline="0">
                <a:solidFill>
                  <a:schemeClr val="bg1"/>
                </a:solidFill>
                <a:latin typeface="Arial" panose="020B0604020202020204" pitchFamily="34" charset="0"/>
                <a:cs typeface="Arial" panose="020B0604020202020204" pitchFamily="34" charset="0"/>
              </a:rPr>
              <a:t> idris</a:t>
            </a:r>
            <a:endParaRPr lang="en-US" sz="1000">
              <a:solidFill>
                <a:schemeClr val="bg1"/>
              </a:solidFill>
              <a:latin typeface="Arial" panose="020B0604020202020204" pitchFamily="34" charset="0"/>
              <a:cs typeface="Arial" panose="020B0604020202020204" pitchFamily="34" charset="0"/>
            </a:endParaRPr>
          </a:p>
        </xdr:txBody>
      </xdr:sp>
      <xdr:pic>
        <xdr:nvPicPr>
          <xdr:cNvPr id="1083" name="Picture 1082">
            <a:extLst>
              <a:ext uri="{FF2B5EF4-FFF2-40B4-BE49-F238E27FC236}">
                <a16:creationId xmlns:a16="http://schemas.microsoft.com/office/drawing/2014/main" id="{3FA61DD0-7ED6-BA3D-FB71-C67AE0C5338F}"/>
              </a:ext>
            </a:extLst>
          </xdr:cNvPr>
          <xdr:cNvPicPr>
            <a:picLocks noChangeAspect="1"/>
          </xdr:cNvPicPr>
        </xdr:nvPicPr>
        <xdr:blipFill>
          <a:blip xmlns:r="http://schemas.openxmlformats.org/officeDocument/2006/relationships" r:embed="rId21">
            <a:extLst>
              <a:ext uri="{28A0092B-C50C-407E-A947-70E740481C1C}">
                <a14:useLocalDpi xmlns:a14="http://schemas.microsoft.com/office/drawing/2010/main" val="0"/>
              </a:ext>
            </a:extLst>
          </a:blip>
          <a:stretch>
            <a:fillRect/>
          </a:stretch>
        </xdr:blipFill>
        <xdr:spPr>
          <a:xfrm>
            <a:off x="2019300" y="6200775"/>
            <a:ext cx="152421" cy="152421"/>
          </a:xfrm>
          <a:prstGeom prst="rect">
            <a:avLst/>
          </a:prstGeom>
        </xdr:spPr>
      </xdr:pic>
      <xdr:pic>
        <xdr:nvPicPr>
          <xdr:cNvPr id="1085" name="Picture 1084">
            <a:extLst>
              <a:ext uri="{FF2B5EF4-FFF2-40B4-BE49-F238E27FC236}">
                <a16:creationId xmlns:a16="http://schemas.microsoft.com/office/drawing/2014/main" id="{A99B26C8-3A50-E23E-967C-0FBB48260599}"/>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Lst>
          </a:blip>
          <a:stretch>
            <a:fillRect/>
          </a:stretch>
        </xdr:blipFill>
        <xdr:spPr>
          <a:xfrm>
            <a:off x="2019300" y="6457950"/>
            <a:ext cx="152421" cy="152421"/>
          </a:xfrm>
          <a:prstGeom prst="rect">
            <a:avLst/>
          </a:prstGeom>
        </xdr:spPr>
      </xdr:pic>
      <xdr:pic>
        <xdr:nvPicPr>
          <xdr:cNvPr id="1087" name="Picture 1086">
            <a:extLst>
              <a:ext uri="{FF2B5EF4-FFF2-40B4-BE49-F238E27FC236}">
                <a16:creationId xmlns:a16="http://schemas.microsoft.com/office/drawing/2014/main" id="{4DB36D82-5CFA-32C4-FEC0-61A10520C35C}"/>
              </a:ext>
            </a:extLst>
          </xdr:cNvPr>
          <xdr:cNvPicPr>
            <a:picLocks noChangeAspect="1"/>
          </xdr:cNvPicPr>
        </xdr:nvPicPr>
        <xdr:blipFill>
          <a:blip xmlns:r="http://schemas.openxmlformats.org/officeDocument/2006/relationships" r:embed="rId23">
            <a:extLst>
              <a:ext uri="{28A0092B-C50C-407E-A947-70E740481C1C}">
                <a14:useLocalDpi xmlns:a14="http://schemas.microsoft.com/office/drawing/2010/main" val="0"/>
              </a:ext>
            </a:extLst>
          </a:blip>
          <a:stretch>
            <a:fillRect/>
          </a:stretch>
        </xdr:blipFill>
        <xdr:spPr>
          <a:xfrm>
            <a:off x="2019300" y="6686550"/>
            <a:ext cx="152421" cy="152421"/>
          </a:xfrm>
          <a:prstGeom prst="rect">
            <a:avLst/>
          </a:prstGeom>
        </xdr:spPr>
      </xdr:pic>
    </xdr:grpSp>
    <xdr:clientData/>
  </xdr:twoCellAnchor>
</xdr:wsDr>
</file>

<file path=xl/drawings/drawing5.xml><?xml version="1.0" encoding="utf-8"?>
<c:userShapes xmlns:c="http://schemas.openxmlformats.org/drawingml/2006/chart">
  <cdr:relSizeAnchor xmlns:cdr="http://schemas.openxmlformats.org/drawingml/2006/chartDrawing">
    <cdr:from>
      <cdr:x>0.17011</cdr:x>
      <cdr:y>0.44306</cdr:y>
    </cdr:from>
    <cdr:to>
      <cdr:x>0.82841</cdr:x>
      <cdr:y>0.57083</cdr:y>
    </cdr:to>
    <cdr:sp macro="" textlink="">
      <cdr:nvSpPr>
        <cdr:cNvPr id="3" name="TextBox 12">
          <a:extLst xmlns:a="http://schemas.openxmlformats.org/drawingml/2006/main">
            <a:ext uri="{FF2B5EF4-FFF2-40B4-BE49-F238E27FC236}">
              <a16:creationId xmlns:a16="http://schemas.microsoft.com/office/drawing/2014/main" id="{D9D36470-9AD4-D503-463B-B65B83A38442}"/>
            </a:ext>
          </a:extLst>
        </cdr:cNvPr>
        <cdr:cNvSpPr txBox="1"/>
      </cdr:nvSpPr>
      <cdr:spPr>
        <a:xfrm xmlns:a="http://schemas.openxmlformats.org/drawingml/2006/main">
          <a:off x="461775" y="1012825"/>
          <a:ext cx="1787047" cy="29210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fld id="{9129B7B6-83E6-41EC-AF57-60543260C110}" type="TxLink">
            <a:rPr lang="en-US" sz="1600" b="0" i="0" u="none" strike="noStrike">
              <a:solidFill>
                <a:schemeClr val="bg1">
                  <a:lumMod val="75000"/>
                </a:schemeClr>
              </a:solidFill>
              <a:latin typeface="Arial" panose="020B0604020202020204" pitchFamily="34" charset="0"/>
              <a:cs typeface="Arial" panose="020B0604020202020204" pitchFamily="34" charset="0"/>
            </a:rPr>
            <a:pPr/>
            <a:t>Reorder Needed</a:t>
          </a:fld>
          <a:endParaRPr lang="en-US" sz="3600">
            <a:solidFill>
              <a:schemeClr val="bg1">
                <a:lumMod val="75000"/>
              </a:schemeClr>
            </a:solidFill>
            <a:latin typeface="Arial" panose="020B0604020202020204" pitchFamily="34" charset="0"/>
            <a:cs typeface="Arial" panose="020B0604020202020204" pitchFamily="34" charset="0"/>
          </a:endParaRPr>
        </a:p>
      </cdr:txBody>
    </cdr:sp>
  </cdr:relSizeAnchor>
</c:userShapes>
</file>

<file path=xl/drawings/drawing6.xml><?xml version="1.0" encoding="utf-8"?>
<xdr:wsDr xmlns:xdr="http://schemas.openxmlformats.org/drawingml/2006/spreadsheetDrawing" xmlns:a="http://schemas.openxmlformats.org/drawingml/2006/main">
  <xdr:twoCellAnchor>
    <xdr:from>
      <xdr:col>1</xdr:col>
      <xdr:colOff>86591</xdr:colOff>
      <xdr:row>0</xdr:row>
      <xdr:rowOff>119895</xdr:rowOff>
    </xdr:from>
    <xdr:to>
      <xdr:col>21</xdr:col>
      <xdr:colOff>70026</xdr:colOff>
      <xdr:row>36</xdr:row>
      <xdr:rowOff>186569</xdr:rowOff>
    </xdr:to>
    <xdr:grpSp>
      <xdr:nvGrpSpPr>
        <xdr:cNvPr id="91" name="Group 90">
          <a:extLst>
            <a:ext uri="{FF2B5EF4-FFF2-40B4-BE49-F238E27FC236}">
              <a16:creationId xmlns:a16="http://schemas.microsoft.com/office/drawing/2014/main" id="{31BAEF35-19F0-03F9-163F-A711A7381494}"/>
            </a:ext>
          </a:extLst>
        </xdr:cNvPr>
        <xdr:cNvGrpSpPr/>
      </xdr:nvGrpSpPr>
      <xdr:grpSpPr>
        <a:xfrm>
          <a:off x="692727" y="119895"/>
          <a:ext cx="12106163" cy="6924674"/>
          <a:chOff x="1682750" y="698500"/>
          <a:chExt cx="12249149" cy="6924674"/>
        </a:xfrm>
      </xdr:grpSpPr>
      <xdr:grpSp>
        <xdr:nvGrpSpPr>
          <xdr:cNvPr id="88" name="Group 87">
            <a:extLst>
              <a:ext uri="{FF2B5EF4-FFF2-40B4-BE49-F238E27FC236}">
                <a16:creationId xmlns:a16="http://schemas.microsoft.com/office/drawing/2014/main" id="{0D9A90FF-41C6-F8ED-5858-0B81C0C1EDC0}"/>
              </a:ext>
            </a:extLst>
          </xdr:cNvPr>
          <xdr:cNvGrpSpPr/>
        </xdr:nvGrpSpPr>
        <xdr:grpSpPr>
          <a:xfrm>
            <a:off x="1682750" y="698500"/>
            <a:ext cx="12249149" cy="6924674"/>
            <a:chOff x="11620500" y="402166"/>
            <a:chExt cx="12249149" cy="6924674"/>
          </a:xfrm>
        </xdr:grpSpPr>
        <xdr:grpSp>
          <xdr:nvGrpSpPr>
            <xdr:cNvPr id="43" name="Group 42">
              <a:extLst>
                <a:ext uri="{FF2B5EF4-FFF2-40B4-BE49-F238E27FC236}">
                  <a16:creationId xmlns:a16="http://schemas.microsoft.com/office/drawing/2014/main" id="{E344D21E-422C-0C79-C6DB-556ABE7CF5F3}"/>
                </a:ext>
              </a:extLst>
            </xdr:cNvPr>
            <xdr:cNvGrpSpPr/>
          </xdr:nvGrpSpPr>
          <xdr:grpSpPr>
            <a:xfrm>
              <a:off x="11620500" y="402166"/>
              <a:ext cx="12249149" cy="6924674"/>
              <a:chOff x="1981201" y="762000"/>
              <a:chExt cx="12249149" cy="6924674"/>
            </a:xfrm>
          </xdr:grpSpPr>
          <xdr:sp macro="" textlink="">
            <xdr:nvSpPr>
              <xdr:cNvPr id="61" name="Rectangle: Rounded Corners 60">
                <a:extLst>
                  <a:ext uri="{FF2B5EF4-FFF2-40B4-BE49-F238E27FC236}">
                    <a16:creationId xmlns:a16="http://schemas.microsoft.com/office/drawing/2014/main" id="{2361A585-144C-3167-EACB-16DC3B4F099A}"/>
                  </a:ext>
                </a:extLst>
              </xdr:cNvPr>
              <xdr:cNvSpPr/>
            </xdr:nvSpPr>
            <xdr:spPr>
              <a:xfrm>
                <a:off x="1981201" y="762000"/>
                <a:ext cx="12249149" cy="6924674"/>
              </a:xfrm>
              <a:prstGeom prst="roundRect">
                <a:avLst>
                  <a:gd name="adj" fmla="val 2231"/>
                </a:avLst>
              </a:prstGeom>
              <a:solidFill>
                <a:srgbClr val="CDD1DA"/>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2" name="Rectangle: Rounded Corners 61">
                <a:extLst>
                  <a:ext uri="{FF2B5EF4-FFF2-40B4-BE49-F238E27FC236}">
                    <a16:creationId xmlns:a16="http://schemas.microsoft.com/office/drawing/2014/main" id="{E9558F79-3041-4A78-E58E-A422010D87CC}"/>
                  </a:ext>
                </a:extLst>
              </xdr:cNvPr>
              <xdr:cNvSpPr/>
            </xdr:nvSpPr>
            <xdr:spPr>
              <a:xfrm>
                <a:off x="2238375" y="1009649"/>
                <a:ext cx="11696700" cy="6429375"/>
              </a:xfrm>
              <a:prstGeom prst="roundRect">
                <a:avLst>
                  <a:gd name="adj" fmla="val 2231"/>
                </a:avLst>
              </a:prstGeom>
              <a:solidFill>
                <a:srgbClr val="EDEDF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3" name="Rectangle: Rounded Corners 62">
                <a:extLst>
                  <a:ext uri="{FF2B5EF4-FFF2-40B4-BE49-F238E27FC236}">
                    <a16:creationId xmlns:a16="http://schemas.microsoft.com/office/drawing/2014/main" id="{74F56EE4-D3E7-8963-D44D-ECB11EFB464E}"/>
                  </a:ext>
                </a:extLst>
              </xdr:cNvPr>
              <xdr:cNvSpPr/>
            </xdr:nvSpPr>
            <xdr:spPr>
              <a:xfrm>
                <a:off x="2495551" y="1323974"/>
                <a:ext cx="1562099" cy="5991225"/>
              </a:xfrm>
              <a:prstGeom prst="roundRect">
                <a:avLst>
                  <a:gd name="adj" fmla="val 2231"/>
                </a:avLst>
              </a:prstGeom>
              <a:solidFill>
                <a:srgbClr val="F7F8F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4" name="Rectangle: Rounded Corners 63">
                <a:extLst>
                  <a:ext uri="{FF2B5EF4-FFF2-40B4-BE49-F238E27FC236}">
                    <a16:creationId xmlns:a16="http://schemas.microsoft.com/office/drawing/2014/main" id="{EF939847-C0F2-345B-7166-025642597DE5}"/>
                  </a:ext>
                </a:extLst>
              </xdr:cNvPr>
              <xdr:cNvSpPr/>
            </xdr:nvSpPr>
            <xdr:spPr>
              <a:xfrm>
                <a:off x="4286250" y="1590676"/>
                <a:ext cx="1838325" cy="1123950"/>
              </a:xfrm>
              <a:prstGeom prst="roundRect">
                <a:avLst>
                  <a:gd name="adj" fmla="val 9011"/>
                </a:avLst>
              </a:prstGeom>
              <a:solidFill>
                <a:srgbClr val="4856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5" name="Rectangle: Rounded Corners 64">
                <a:extLst>
                  <a:ext uri="{FF2B5EF4-FFF2-40B4-BE49-F238E27FC236}">
                    <a16:creationId xmlns:a16="http://schemas.microsoft.com/office/drawing/2014/main" id="{2C96A5FA-1963-761D-ECC6-F6BF0D290BF6}"/>
                  </a:ext>
                </a:extLst>
              </xdr:cNvPr>
              <xdr:cNvSpPr/>
            </xdr:nvSpPr>
            <xdr:spPr>
              <a:xfrm>
                <a:off x="4305302" y="2886076"/>
                <a:ext cx="1876423" cy="1123950"/>
              </a:xfrm>
              <a:prstGeom prst="roundRect">
                <a:avLst>
                  <a:gd name="adj" fmla="val 901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6" name="Rectangle: Rounded Corners 65">
                <a:extLst>
                  <a:ext uri="{FF2B5EF4-FFF2-40B4-BE49-F238E27FC236}">
                    <a16:creationId xmlns:a16="http://schemas.microsoft.com/office/drawing/2014/main" id="{989B938B-0AC5-BF58-E783-355B799D6135}"/>
                  </a:ext>
                </a:extLst>
              </xdr:cNvPr>
              <xdr:cNvSpPr/>
            </xdr:nvSpPr>
            <xdr:spPr>
              <a:xfrm>
                <a:off x="6343652" y="1581151"/>
                <a:ext cx="1876423" cy="1123950"/>
              </a:xfrm>
              <a:prstGeom prst="roundRect">
                <a:avLst>
                  <a:gd name="adj" fmla="val 901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7" name="Rectangle: Rounded Corners 66">
                <a:extLst>
                  <a:ext uri="{FF2B5EF4-FFF2-40B4-BE49-F238E27FC236}">
                    <a16:creationId xmlns:a16="http://schemas.microsoft.com/office/drawing/2014/main" id="{FD6597FB-2D64-E316-7BD1-A8A16EEE08DF}"/>
                  </a:ext>
                </a:extLst>
              </xdr:cNvPr>
              <xdr:cNvSpPr/>
            </xdr:nvSpPr>
            <xdr:spPr>
              <a:xfrm>
                <a:off x="6353177" y="2857501"/>
                <a:ext cx="1876423" cy="1123950"/>
              </a:xfrm>
              <a:prstGeom prst="roundRect">
                <a:avLst>
                  <a:gd name="adj" fmla="val 901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8" name="Rectangle: Rounded Corners 67">
                <a:extLst>
                  <a:ext uri="{FF2B5EF4-FFF2-40B4-BE49-F238E27FC236}">
                    <a16:creationId xmlns:a16="http://schemas.microsoft.com/office/drawing/2014/main" id="{CAD6669D-AD08-98AC-FFF5-06ACD5EB242C}"/>
                  </a:ext>
                </a:extLst>
              </xdr:cNvPr>
              <xdr:cNvSpPr/>
            </xdr:nvSpPr>
            <xdr:spPr>
              <a:xfrm>
                <a:off x="4276725" y="4200525"/>
                <a:ext cx="4067175" cy="3124200"/>
              </a:xfrm>
              <a:prstGeom prst="roundRect">
                <a:avLst>
                  <a:gd name="adj" fmla="val 2231"/>
                </a:avLst>
              </a:prstGeom>
              <a:solidFill>
                <a:srgbClr val="F7F8F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9" name="Rectangle: Rounded Corners 68">
                <a:extLst>
                  <a:ext uri="{FF2B5EF4-FFF2-40B4-BE49-F238E27FC236}">
                    <a16:creationId xmlns:a16="http://schemas.microsoft.com/office/drawing/2014/main" id="{DDE08975-1385-D5A4-F858-A46787192D86}"/>
                  </a:ext>
                </a:extLst>
              </xdr:cNvPr>
              <xdr:cNvSpPr/>
            </xdr:nvSpPr>
            <xdr:spPr>
              <a:xfrm>
                <a:off x="8448674" y="1543050"/>
                <a:ext cx="5353051" cy="2486025"/>
              </a:xfrm>
              <a:prstGeom prst="roundRect">
                <a:avLst>
                  <a:gd name="adj" fmla="val 2231"/>
                </a:avLst>
              </a:prstGeom>
              <a:solidFill>
                <a:srgbClr val="F7F8F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0" name="Rectangle: Rounded Corners 69">
                <a:extLst>
                  <a:ext uri="{FF2B5EF4-FFF2-40B4-BE49-F238E27FC236}">
                    <a16:creationId xmlns:a16="http://schemas.microsoft.com/office/drawing/2014/main" id="{591739F2-723A-C3EA-FF68-562955FF3865}"/>
                  </a:ext>
                </a:extLst>
              </xdr:cNvPr>
              <xdr:cNvSpPr/>
            </xdr:nvSpPr>
            <xdr:spPr>
              <a:xfrm>
                <a:off x="8496300" y="4200525"/>
                <a:ext cx="5286375" cy="3124200"/>
              </a:xfrm>
              <a:prstGeom prst="roundRect">
                <a:avLst>
                  <a:gd name="adj" fmla="val 2231"/>
                </a:avLst>
              </a:prstGeom>
              <a:solidFill>
                <a:srgbClr val="F7F8F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8" name="Rectangle: Rounded Corners 77">
                <a:extLst>
                  <a:ext uri="{FF2B5EF4-FFF2-40B4-BE49-F238E27FC236}">
                    <a16:creationId xmlns:a16="http://schemas.microsoft.com/office/drawing/2014/main" id="{4A14EA87-2635-9B28-F3D5-049D7FA57827}"/>
                  </a:ext>
                </a:extLst>
              </xdr:cNvPr>
              <xdr:cNvSpPr/>
            </xdr:nvSpPr>
            <xdr:spPr>
              <a:xfrm>
                <a:off x="2609850" y="6086476"/>
                <a:ext cx="1314450" cy="1076324"/>
              </a:xfrm>
              <a:prstGeom prst="roundRect">
                <a:avLst>
                  <a:gd name="adj" fmla="val 9011"/>
                </a:avLst>
              </a:prstGeom>
              <a:solidFill>
                <a:srgbClr val="1B1B1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mc:AlternateContent xmlns:mc="http://schemas.openxmlformats.org/markup-compatibility/2006" xmlns:a14="http://schemas.microsoft.com/office/drawing/2010/main">
            <mc:Choice Requires="a14">
              <xdr:graphicFrame macro="">
                <xdr:nvGraphicFramePr>
                  <xdr:cNvPr id="79" name="Year 1">
                    <a:extLst>
                      <a:ext uri="{FF2B5EF4-FFF2-40B4-BE49-F238E27FC236}">
                        <a16:creationId xmlns:a16="http://schemas.microsoft.com/office/drawing/2014/main" id="{4882A775-1995-0DCC-FD4C-C54ADE8B4726}"/>
                      </a:ext>
                    </a:extLst>
                  </xdr:cNvPr>
                  <xdr:cNvGraphicFramePr/>
                </xdr:nvGraphicFramePr>
                <xdr:xfrm>
                  <a:off x="2552700" y="4648200"/>
                  <a:ext cx="1333500" cy="82296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257555" y="4006095"/>
                    <a:ext cx="1317934" cy="8229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80" name="Quarter 1">
                    <a:extLst>
                      <a:ext uri="{FF2B5EF4-FFF2-40B4-BE49-F238E27FC236}">
                        <a16:creationId xmlns:a16="http://schemas.microsoft.com/office/drawing/2014/main" id="{92081338-F586-BFB6-622D-3B0E096654A1}"/>
                      </a:ext>
                    </a:extLst>
                  </xdr:cNvPr>
                  <xdr:cNvGraphicFramePr/>
                </xdr:nvGraphicFramePr>
                <xdr:xfrm>
                  <a:off x="2524125" y="3724274"/>
                  <a:ext cx="1438276" cy="838201"/>
                </xdr:xfrm>
                <a:graphic>
                  <a:graphicData uri="http://schemas.microsoft.com/office/drawing/2010/slicer">
                    <sle:slicer xmlns:sle="http://schemas.microsoft.com/office/drawing/2010/slicer" name="Quarter 1"/>
                  </a:graphicData>
                </a:graphic>
              </xdr:graphicFrame>
            </mc:Choice>
            <mc:Fallback xmlns="">
              <xdr:sp macro="" textlink="">
                <xdr:nvSpPr>
                  <xdr:cNvPr id="0" name=""/>
                  <xdr:cNvSpPr>
                    <a:spLocks noTextEdit="1"/>
                  </xdr:cNvSpPr>
                </xdr:nvSpPr>
                <xdr:spPr>
                  <a:xfrm>
                    <a:off x="1229313" y="3082169"/>
                    <a:ext cx="1421487" cy="8382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sp macro="" textlink="'Pivot Table'!C3">
          <xdr:nvSpPr>
            <xdr:cNvPr id="44" name="TextBox 43">
              <a:extLst>
                <a:ext uri="{FF2B5EF4-FFF2-40B4-BE49-F238E27FC236}">
                  <a16:creationId xmlns:a16="http://schemas.microsoft.com/office/drawing/2014/main" id="{B6A7DD7B-9F53-CC02-C4CA-239D1E105F5F}"/>
                </a:ext>
              </a:extLst>
            </xdr:cNvPr>
            <xdr:cNvSpPr txBox="1"/>
          </xdr:nvSpPr>
          <xdr:spPr>
            <a:xfrm>
              <a:off x="16023165" y="3057525"/>
              <a:ext cx="13620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A6CE8179-6D17-4BBC-A37F-B2933D641483}" type="TxLink">
                <a:rPr lang="en-US" sz="1100" b="0" i="0" u="none" strike="noStrike">
                  <a:solidFill>
                    <a:schemeClr val="tx1"/>
                  </a:solidFill>
                  <a:latin typeface="Calibri"/>
                  <a:ea typeface="+mn-ea"/>
                  <a:cs typeface="Calibri"/>
                </a:rPr>
                <a:pPr marL="0" indent="0"/>
                <a:t>Average Unit Cost ($)</a:t>
              </a:fld>
              <a:endParaRPr lang="en-US" sz="1100" b="0" i="0" u="none" strike="noStrike">
                <a:solidFill>
                  <a:schemeClr val="tx1"/>
                </a:solidFill>
                <a:latin typeface="Calibri"/>
                <a:ea typeface="+mn-ea"/>
                <a:cs typeface="Calibri"/>
              </a:endParaRPr>
            </a:p>
          </xdr:txBody>
        </xdr:sp>
        <xdr:sp macro="" textlink="'Pivot Table'!C4">
          <xdr:nvSpPr>
            <xdr:cNvPr id="45" name="TextBox 44">
              <a:extLst>
                <a:ext uri="{FF2B5EF4-FFF2-40B4-BE49-F238E27FC236}">
                  <a16:creationId xmlns:a16="http://schemas.microsoft.com/office/drawing/2014/main" id="{DAD4F090-58EC-0ABB-E483-6915D9F229CC}"/>
                </a:ext>
              </a:extLst>
            </xdr:cNvPr>
            <xdr:cNvSpPr txBox="1"/>
          </xdr:nvSpPr>
          <xdr:spPr>
            <a:xfrm>
              <a:off x="16006232" y="3243791"/>
              <a:ext cx="13620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A23FD02-C8B9-4444-897E-DE921F83AC6B}" type="TxLink">
                <a:rPr lang="en-US" sz="1600" b="0" i="0" u="none" strike="noStrike">
                  <a:solidFill>
                    <a:schemeClr val="tx1"/>
                  </a:solidFill>
                  <a:latin typeface="Calibri"/>
                  <a:cs typeface="Calibri"/>
                </a:rPr>
                <a:pPr/>
                <a:t>$394.74</a:t>
              </a:fld>
              <a:endParaRPr lang="en-US" sz="2000">
                <a:solidFill>
                  <a:schemeClr val="tx1"/>
                </a:solidFill>
              </a:endParaRPr>
            </a:p>
          </xdr:txBody>
        </xdr:sp>
        <xdr:sp macro="" textlink="">
          <xdr:nvSpPr>
            <xdr:cNvPr id="46" name="Oval 45">
              <a:extLst>
                <a:ext uri="{FF2B5EF4-FFF2-40B4-BE49-F238E27FC236}">
                  <a16:creationId xmlns:a16="http://schemas.microsoft.com/office/drawing/2014/main" id="{8AC0B744-D510-61EA-2D4D-0E487A01C6FC}"/>
                </a:ext>
              </a:extLst>
            </xdr:cNvPr>
            <xdr:cNvSpPr/>
          </xdr:nvSpPr>
          <xdr:spPr>
            <a:xfrm>
              <a:off x="13963649" y="1259416"/>
              <a:ext cx="342900" cy="323850"/>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7" name="Oval 46">
              <a:extLst>
                <a:ext uri="{FF2B5EF4-FFF2-40B4-BE49-F238E27FC236}">
                  <a16:creationId xmlns:a16="http://schemas.microsoft.com/office/drawing/2014/main" id="{035A6075-9775-AC6E-4BFB-30486E6635BA}"/>
                </a:ext>
              </a:extLst>
            </xdr:cNvPr>
            <xdr:cNvSpPr/>
          </xdr:nvSpPr>
          <xdr:spPr>
            <a:xfrm>
              <a:off x="16030574" y="1287991"/>
              <a:ext cx="342900" cy="323850"/>
            </a:xfrm>
            <a:prstGeom prst="ellipse">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8" name="Oval 47">
              <a:extLst>
                <a:ext uri="{FF2B5EF4-FFF2-40B4-BE49-F238E27FC236}">
                  <a16:creationId xmlns:a16="http://schemas.microsoft.com/office/drawing/2014/main" id="{87940D26-3662-DFF2-FED1-0DFE8CF7C0FE}"/>
                </a:ext>
              </a:extLst>
            </xdr:cNvPr>
            <xdr:cNvSpPr/>
          </xdr:nvSpPr>
          <xdr:spPr>
            <a:xfrm>
              <a:off x="16030574" y="2526241"/>
              <a:ext cx="342900" cy="323850"/>
            </a:xfrm>
            <a:prstGeom prst="ellipse">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9" name="Oval 48">
              <a:extLst>
                <a:ext uri="{FF2B5EF4-FFF2-40B4-BE49-F238E27FC236}">
                  <a16:creationId xmlns:a16="http://schemas.microsoft.com/office/drawing/2014/main" id="{93928705-6038-7958-52FB-64723FE9187F}"/>
                </a:ext>
              </a:extLst>
            </xdr:cNvPr>
            <xdr:cNvSpPr/>
          </xdr:nvSpPr>
          <xdr:spPr>
            <a:xfrm>
              <a:off x="13963649" y="2535766"/>
              <a:ext cx="342900" cy="323850"/>
            </a:xfrm>
            <a:prstGeom prst="ellipse">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 Table'!G3">
          <xdr:nvSpPr>
            <xdr:cNvPr id="50" name="TextBox 49">
              <a:extLst>
                <a:ext uri="{FF2B5EF4-FFF2-40B4-BE49-F238E27FC236}">
                  <a16:creationId xmlns:a16="http://schemas.microsoft.com/office/drawing/2014/main" id="{4F8BB5D8-2C9C-D993-D854-6474AAD1C98E}"/>
                </a:ext>
              </a:extLst>
            </xdr:cNvPr>
            <xdr:cNvSpPr txBox="1"/>
          </xdr:nvSpPr>
          <xdr:spPr>
            <a:xfrm>
              <a:off x="13877923" y="3078691"/>
              <a:ext cx="20478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02B27992-92D6-4592-9832-5337C7CFB1E5}" type="TxLink">
                <a:rPr lang="en-US" sz="1100" b="0" i="0" u="none" strike="noStrike">
                  <a:solidFill>
                    <a:schemeClr val="tx1"/>
                  </a:solidFill>
                  <a:latin typeface="Calibri"/>
                  <a:ea typeface="+mn-ea"/>
                  <a:cs typeface="Calibri"/>
                </a:rPr>
                <a:pPr marL="0" indent="0"/>
                <a:t> </a:t>
              </a:fld>
              <a:endParaRPr lang="en-US" sz="1100" b="0" i="0" u="none" strike="noStrike">
                <a:solidFill>
                  <a:schemeClr val="tx1"/>
                </a:solidFill>
                <a:latin typeface="Calibri"/>
                <a:ea typeface="+mn-ea"/>
                <a:cs typeface="Calibri"/>
              </a:endParaRPr>
            </a:p>
          </xdr:txBody>
        </xdr:sp>
        <xdr:sp macro="" textlink="'Pivot Table'!G4">
          <xdr:nvSpPr>
            <xdr:cNvPr id="51" name="TextBox 50">
              <a:extLst>
                <a:ext uri="{FF2B5EF4-FFF2-40B4-BE49-F238E27FC236}">
                  <a16:creationId xmlns:a16="http://schemas.microsoft.com/office/drawing/2014/main" id="{85DD46BA-22B0-20C1-A6D2-43FFB4337005}"/>
                </a:ext>
              </a:extLst>
            </xdr:cNvPr>
            <xdr:cNvSpPr txBox="1"/>
          </xdr:nvSpPr>
          <xdr:spPr>
            <a:xfrm>
              <a:off x="13849349" y="3269191"/>
              <a:ext cx="13620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1A50B7F-4B65-4C77-AC25-E05B5F600BCA}" type="TxLink">
                <a:rPr lang="en-US" sz="1600" b="0" i="0" u="none" strike="noStrike">
                  <a:solidFill>
                    <a:schemeClr val="tx1"/>
                  </a:solidFill>
                  <a:latin typeface="Calibri"/>
                  <a:ea typeface="+mn-ea"/>
                  <a:cs typeface="Calibri"/>
                </a:rPr>
                <a:pPr marL="0" indent="0"/>
                <a:t> </a:t>
              </a:fld>
              <a:endParaRPr lang="en-US" sz="1600" b="0" i="0" u="none" strike="noStrike">
                <a:solidFill>
                  <a:schemeClr val="tx1"/>
                </a:solidFill>
                <a:latin typeface="Calibri"/>
                <a:ea typeface="+mn-ea"/>
                <a:cs typeface="Calibri"/>
              </a:endParaRPr>
            </a:p>
          </xdr:txBody>
        </xdr:sp>
        <xdr:sp macro="" textlink="'Pivot Table'!D3">
          <xdr:nvSpPr>
            <xdr:cNvPr id="52" name="TextBox 51">
              <a:extLst>
                <a:ext uri="{FF2B5EF4-FFF2-40B4-BE49-F238E27FC236}">
                  <a16:creationId xmlns:a16="http://schemas.microsoft.com/office/drawing/2014/main" id="{01765ACF-F115-E6BF-34DE-AE6B0E754AE6}"/>
                </a:ext>
              </a:extLst>
            </xdr:cNvPr>
            <xdr:cNvSpPr txBox="1"/>
          </xdr:nvSpPr>
          <xdr:spPr>
            <a:xfrm>
              <a:off x="13981641" y="3062816"/>
              <a:ext cx="1600200"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5CE858A-97DC-43AD-99FA-BAA59EC38549}" type="TxLink">
                <a:rPr lang="en-US" sz="1100" b="0" i="0" u="none" strike="noStrike">
                  <a:solidFill>
                    <a:schemeClr val="tx1"/>
                  </a:solidFill>
                  <a:latin typeface="Calibri"/>
                  <a:ea typeface="+mn-ea"/>
                  <a:cs typeface="Calibri"/>
                </a:rPr>
                <a:pPr marL="0" indent="0"/>
                <a:t>Estimated Restocked Qty</a:t>
              </a:fld>
              <a:endParaRPr lang="en-US" sz="1100" b="0" i="0" u="none" strike="noStrike">
                <a:solidFill>
                  <a:schemeClr val="tx1"/>
                </a:solidFill>
                <a:latin typeface="Calibri"/>
                <a:ea typeface="+mn-ea"/>
                <a:cs typeface="Calibri"/>
              </a:endParaRPr>
            </a:p>
          </xdr:txBody>
        </xdr:sp>
        <xdr:sp macro="" textlink="'Pivot Table'!D4">
          <xdr:nvSpPr>
            <xdr:cNvPr id="53" name="TextBox 52">
              <a:extLst>
                <a:ext uri="{FF2B5EF4-FFF2-40B4-BE49-F238E27FC236}">
                  <a16:creationId xmlns:a16="http://schemas.microsoft.com/office/drawing/2014/main" id="{BE09953F-D7C7-6166-790B-432C7CDDCCB7}"/>
                </a:ext>
              </a:extLst>
            </xdr:cNvPr>
            <xdr:cNvSpPr txBox="1"/>
          </xdr:nvSpPr>
          <xdr:spPr>
            <a:xfrm>
              <a:off x="13943541" y="3291416"/>
              <a:ext cx="13620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25AA7CF-6E8F-400E-9B76-28FBD19F6066}" type="TxLink">
                <a:rPr lang="en-US" sz="1600" b="0" i="0" u="none" strike="noStrike">
                  <a:solidFill>
                    <a:schemeClr val="tx1"/>
                  </a:solidFill>
                  <a:latin typeface="Calibri"/>
                  <a:ea typeface="+mn-ea"/>
                  <a:cs typeface="Calibri"/>
                </a:rPr>
                <a:pPr marL="0" indent="0"/>
                <a:t>164.6K</a:t>
              </a:fld>
              <a:endParaRPr lang="en-US" sz="1600" b="0" i="0" u="none" strike="noStrike">
                <a:solidFill>
                  <a:schemeClr val="tx1"/>
                </a:solidFill>
                <a:latin typeface="Calibri"/>
                <a:ea typeface="+mn-ea"/>
                <a:cs typeface="Calibri"/>
              </a:endParaRPr>
            </a:p>
          </xdr:txBody>
        </xdr:sp>
        <xdr:sp macro="" textlink="'Pivot Table'!A3">
          <xdr:nvSpPr>
            <xdr:cNvPr id="54" name="TextBox 53">
              <a:extLst>
                <a:ext uri="{FF2B5EF4-FFF2-40B4-BE49-F238E27FC236}">
                  <a16:creationId xmlns:a16="http://schemas.microsoft.com/office/drawing/2014/main" id="{0878495C-A103-D2CB-09A2-715ACE70C3EA}"/>
                </a:ext>
              </a:extLst>
            </xdr:cNvPr>
            <xdr:cNvSpPr txBox="1"/>
          </xdr:nvSpPr>
          <xdr:spPr>
            <a:xfrm>
              <a:off x="15944849" y="1745191"/>
              <a:ext cx="13620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DB9F7C3-9039-443F-AF17-B17A37342ED2}" type="TxLink">
                <a:rPr lang="en-US" sz="1100" b="0" i="0" u="none" strike="noStrike">
                  <a:solidFill>
                    <a:schemeClr val="tx1"/>
                  </a:solidFill>
                  <a:latin typeface="Calibri"/>
                  <a:ea typeface="+mn-ea"/>
                  <a:cs typeface="Calibri"/>
                </a:rPr>
                <a:pPr marL="0" indent="0"/>
                <a:t>Total Stock Quantity</a:t>
              </a:fld>
              <a:endParaRPr lang="en-US" sz="1100" b="0" i="0" u="none" strike="noStrike">
                <a:solidFill>
                  <a:schemeClr val="tx1"/>
                </a:solidFill>
                <a:latin typeface="Calibri"/>
                <a:ea typeface="+mn-ea"/>
                <a:cs typeface="Calibri"/>
              </a:endParaRPr>
            </a:p>
          </xdr:txBody>
        </xdr:sp>
        <xdr:sp macro="" textlink="'Pivot Table'!A4">
          <xdr:nvSpPr>
            <xdr:cNvPr id="55" name="TextBox 54">
              <a:extLst>
                <a:ext uri="{FF2B5EF4-FFF2-40B4-BE49-F238E27FC236}">
                  <a16:creationId xmlns:a16="http://schemas.microsoft.com/office/drawing/2014/main" id="{81438BF7-A519-8ED6-D20A-765F38477CD0}"/>
                </a:ext>
              </a:extLst>
            </xdr:cNvPr>
            <xdr:cNvSpPr txBox="1"/>
          </xdr:nvSpPr>
          <xdr:spPr>
            <a:xfrm>
              <a:off x="15944849" y="1964266"/>
              <a:ext cx="1362075" cy="2762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CB9B946-2B8C-4334-9475-A7F8AE49789E}" type="TxLink">
                <a:rPr lang="en-US" sz="1600" b="0" i="0" u="none" strike="noStrike">
                  <a:solidFill>
                    <a:schemeClr val="tx1"/>
                  </a:solidFill>
                  <a:latin typeface="Calibri"/>
                  <a:ea typeface="+mn-ea"/>
                  <a:cs typeface="Calibri"/>
                </a:rPr>
                <a:pPr marL="0" indent="0"/>
                <a:t>252.9K</a:t>
              </a:fld>
              <a:endParaRPr lang="en-US" sz="1600" b="0" i="0" u="none" strike="noStrike">
                <a:solidFill>
                  <a:schemeClr val="tx1"/>
                </a:solidFill>
                <a:latin typeface="Calibri"/>
                <a:ea typeface="+mn-ea"/>
                <a:cs typeface="Calibri"/>
              </a:endParaRPr>
            </a:p>
          </xdr:txBody>
        </xdr:sp>
        <xdr:pic>
          <xdr:nvPicPr>
            <xdr:cNvPr id="56" name="Picture 55">
              <a:extLst>
                <a:ext uri="{FF2B5EF4-FFF2-40B4-BE49-F238E27FC236}">
                  <a16:creationId xmlns:a16="http://schemas.microsoft.com/office/drawing/2014/main" id="{764AD20D-60C6-0F3E-4EAE-0D916900252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3944599" y="1230841"/>
              <a:ext cx="381032" cy="381032"/>
            </a:xfrm>
            <a:prstGeom prst="rect">
              <a:avLst/>
            </a:prstGeom>
          </xdr:spPr>
        </xdr:pic>
        <xdr:pic>
          <xdr:nvPicPr>
            <xdr:cNvPr id="57" name="Picture 56">
              <a:extLst>
                <a:ext uri="{FF2B5EF4-FFF2-40B4-BE49-F238E27FC236}">
                  <a16:creationId xmlns:a16="http://schemas.microsoft.com/office/drawing/2014/main" id="{D0AA5BD0-CAB4-10B0-3FC3-480D8CDA3DB4}"/>
                </a:ext>
              </a:extLst>
            </xdr:cNvPr>
            <xdr:cNvPicPr>
              <a:picLocks noChangeAspect="1"/>
            </xdr:cNvPicPr>
          </xdr:nvPicPr>
          <xdr:blipFill>
            <a:blip xmlns:r="http://schemas.openxmlformats.org/officeDocument/2006/relationships" r:embed="rId2"/>
            <a:stretch>
              <a:fillRect/>
            </a:stretch>
          </xdr:blipFill>
          <xdr:spPr>
            <a:xfrm>
              <a:off x="13963649" y="2535766"/>
              <a:ext cx="333375" cy="333375"/>
            </a:xfrm>
            <a:prstGeom prst="rect">
              <a:avLst/>
            </a:prstGeom>
          </xdr:spPr>
        </xdr:pic>
        <xdr:pic>
          <xdr:nvPicPr>
            <xdr:cNvPr id="58" name="Picture 57">
              <a:extLst>
                <a:ext uri="{FF2B5EF4-FFF2-40B4-BE49-F238E27FC236}">
                  <a16:creationId xmlns:a16="http://schemas.microsoft.com/office/drawing/2014/main" id="{C8BC722F-03C8-8406-4DD3-26915176D78D}"/>
                </a:ext>
              </a:extLst>
            </xdr:cNvPr>
            <xdr:cNvPicPr>
              <a:picLocks noChangeAspect="1"/>
            </xdr:cNvPicPr>
          </xdr:nvPicPr>
          <xdr:blipFill>
            <a:blip xmlns:r="http://schemas.openxmlformats.org/officeDocument/2006/relationships" r:embed="rId3"/>
            <a:stretch>
              <a:fillRect/>
            </a:stretch>
          </xdr:blipFill>
          <xdr:spPr>
            <a:xfrm>
              <a:off x="16078198" y="2554816"/>
              <a:ext cx="257175" cy="257175"/>
            </a:xfrm>
            <a:prstGeom prst="rect">
              <a:avLst/>
            </a:prstGeom>
          </xdr:spPr>
        </xdr:pic>
        <xdr:pic>
          <xdr:nvPicPr>
            <xdr:cNvPr id="59" name="Picture 58">
              <a:extLst>
                <a:ext uri="{FF2B5EF4-FFF2-40B4-BE49-F238E27FC236}">
                  <a16:creationId xmlns:a16="http://schemas.microsoft.com/office/drawing/2014/main" id="{C3C60F9E-A129-0475-B6CB-D977AD0D99EA}"/>
                </a:ext>
              </a:extLst>
            </xdr:cNvPr>
            <xdr:cNvPicPr>
              <a:picLocks noChangeAspect="1"/>
            </xdr:cNvPicPr>
          </xdr:nvPicPr>
          <xdr:blipFill>
            <a:blip xmlns:r="http://schemas.openxmlformats.org/officeDocument/2006/relationships" r:embed="rId4"/>
            <a:stretch>
              <a:fillRect/>
            </a:stretch>
          </xdr:blipFill>
          <xdr:spPr>
            <a:xfrm>
              <a:off x="16068674" y="1326091"/>
              <a:ext cx="247650" cy="247650"/>
            </a:xfrm>
            <a:prstGeom prst="rect">
              <a:avLst/>
            </a:prstGeom>
          </xdr:spPr>
        </xdr:pic>
        <xdr:sp macro="" textlink="">
          <xdr:nvSpPr>
            <xdr:cNvPr id="60" name="TextBox 59">
              <a:extLst>
                <a:ext uri="{FF2B5EF4-FFF2-40B4-BE49-F238E27FC236}">
                  <a16:creationId xmlns:a16="http://schemas.microsoft.com/office/drawing/2014/main" id="{BD878994-A5CC-F584-1F55-6B779D2AC780}"/>
                </a:ext>
              </a:extLst>
            </xdr:cNvPr>
            <xdr:cNvSpPr txBox="1"/>
          </xdr:nvSpPr>
          <xdr:spPr>
            <a:xfrm>
              <a:off x="13887449" y="864128"/>
              <a:ext cx="5342468" cy="30956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aseline="0">
                  <a:solidFill>
                    <a:schemeClr val="tx1"/>
                  </a:solidFill>
                  <a:latin typeface="Arial" panose="020B0604020202020204" pitchFamily="34" charset="0"/>
                  <a:cs typeface="Arial" panose="020B0604020202020204" pitchFamily="34" charset="0"/>
                </a:rPr>
                <a:t>Operational Inventory Intelligence Analysis</a:t>
              </a:r>
            </a:p>
          </xdr:txBody>
        </xdr:sp>
        <xdr:grpSp>
          <xdr:nvGrpSpPr>
            <xdr:cNvPr id="16" name="Group 15">
              <a:extLst>
                <a:ext uri="{FF2B5EF4-FFF2-40B4-BE49-F238E27FC236}">
                  <a16:creationId xmlns:a16="http://schemas.microsoft.com/office/drawing/2014/main" id="{22F3038D-A659-3043-E068-C7D02C03F0D8}"/>
                </a:ext>
              </a:extLst>
            </xdr:cNvPr>
            <xdr:cNvGrpSpPr/>
          </xdr:nvGrpSpPr>
          <xdr:grpSpPr>
            <a:xfrm>
              <a:off x="12182474" y="1211791"/>
              <a:ext cx="1314450" cy="1971675"/>
              <a:chOff x="1866900" y="1428750"/>
              <a:chExt cx="1314450" cy="1971675"/>
            </a:xfrm>
          </xdr:grpSpPr>
          <xdr:grpSp>
            <xdr:nvGrpSpPr>
              <xdr:cNvPr id="28" name="Group 27">
                <a:hlinkClick xmlns:r="http://schemas.openxmlformats.org/officeDocument/2006/relationships" r:id="rId5"/>
                <a:extLst>
                  <a:ext uri="{FF2B5EF4-FFF2-40B4-BE49-F238E27FC236}">
                    <a16:creationId xmlns:a16="http://schemas.microsoft.com/office/drawing/2014/main" id="{A3FD0E71-F829-1ACF-0A5D-74894638F5BA}"/>
                  </a:ext>
                </a:extLst>
              </xdr:cNvPr>
              <xdr:cNvGrpSpPr/>
            </xdr:nvGrpSpPr>
            <xdr:grpSpPr>
              <a:xfrm>
                <a:off x="1905000" y="1428750"/>
                <a:ext cx="1276350" cy="266700"/>
                <a:chOff x="1905000" y="1428750"/>
                <a:chExt cx="1276350" cy="266700"/>
              </a:xfrm>
            </xdr:grpSpPr>
            <xdr:pic>
              <xdr:nvPicPr>
                <xdr:cNvPr id="41" name="Picture 40">
                  <a:extLst>
                    <a:ext uri="{FF2B5EF4-FFF2-40B4-BE49-F238E27FC236}">
                      <a16:creationId xmlns:a16="http://schemas.microsoft.com/office/drawing/2014/main" id="{E507FC49-1BAE-BF1E-9A73-4328FEE300D7}"/>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905000" y="1457325"/>
                  <a:ext cx="228632" cy="228632"/>
                </a:xfrm>
                <a:prstGeom prst="rect">
                  <a:avLst/>
                </a:prstGeom>
              </xdr:spPr>
            </xdr:pic>
            <xdr:sp macro="" textlink="">
              <xdr:nvSpPr>
                <xdr:cNvPr id="42" name="TextBox 41">
                  <a:extLst>
                    <a:ext uri="{FF2B5EF4-FFF2-40B4-BE49-F238E27FC236}">
                      <a16:creationId xmlns:a16="http://schemas.microsoft.com/office/drawing/2014/main" id="{1D93334D-9BC2-A060-9CFC-C0AD45787A1F}"/>
                    </a:ext>
                  </a:extLst>
                </xdr:cNvPr>
                <xdr:cNvSpPr txBox="1"/>
              </xdr:nvSpPr>
              <xdr:spPr>
                <a:xfrm>
                  <a:off x="2171700" y="1428750"/>
                  <a:ext cx="10096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tx1"/>
                      </a:solidFill>
                    </a:rPr>
                    <a:t>Raw</a:t>
                  </a:r>
                  <a:r>
                    <a:rPr lang="en-US" sz="1200" baseline="0">
                      <a:solidFill>
                        <a:schemeClr val="tx1"/>
                      </a:solidFill>
                    </a:rPr>
                    <a:t> dataset</a:t>
                  </a:r>
                  <a:endParaRPr lang="en-US" sz="1200">
                    <a:solidFill>
                      <a:schemeClr val="tx1"/>
                    </a:solidFill>
                  </a:endParaRPr>
                </a:p>
              </xdr:txBody>
            </xdr:sp>
          </xdr:grpSp>
          <xdr:grpSp>
            <xdr:nvGrpSpPr>
              <xdr:cNvPr id="29" name="Group 28">
                <a:hlinkClick xmlns:r="http://schemas.openxmlformats.org/officeDocument/2006/relationships" r:id="rId7"/>
                <a:extLst>
                  <a:ext uri="{FF2B5EF4-FFF2-40B4-BE49-F238E27FC236}">
                    <a16:creationId xmlns:a16="http://schemas.microsoft.com/office/drawing/2014/main" id="{75206659-6990-EB08-3C23-47F050DDBA0A}"/>
                  </a:ext>
                </a:extLst>
              </xdr:cNvPr>
              <xdr:cNvGrpSpPr/>
            </xdr:nvGrpSpPr>
            <xdr:grpSpPr>
              <a:xfrm>
                <a:off x="1885950" y="1857375"/>
                <a:ext cx="1257300" cy="285782"/>
                <a:chOff x="1885950" y="1857375"/>
                <a:chExt cx="1257300" cy="285782"/>
              </a:xfrm>
            </xdr:grpSpPr>
            <xdr:pic>
              <xdr:nvPicPr>
                <xdr:cNvPr id="39" name="Picture 38">
                  <a:extLst>
                    <a:ext uri="{FF2B5EF4-FFF2-40B4-BE49-F238E27FC236}">
                      <a16:creationId xmlns:a16="http://schemas.microsoft.com/office/drawing/2014/main" id="{185FF586-E5B9-344F-1EE0-0FD77B5E15A6}"/>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885950" y="1914525"/>
                  <a:ext cx="228632" cy="228632"/>
                </a:xfrm>
                <a:prstGeom prst="rect">
                  <a:avLst/>
                </a:prstGeom>
              </xdr:spPr>
            </xdr:pic>
            <xdr:sp macro="" textlink="">
              <xdr:nvSpPr>
                <xdr:cNvPr id="40" name="TextBox 39">
                  <a:extLst>
                    <a:ext uri="{FF2B5EF4-FFF2-40B4-BE49-F238E27FC236}">
                      <a16:creationId xmlns:a16="http://schemas.microsoft.com/office/drawing/2014/main" id="{D42D7521-A17E-5908-12E5-F18EDAE04DF0}"/>
                    </a:ext>
                  </a:extLst>
                </xdr:cNvPr>
                <xdr:cNvSpPr txBox="1"/>
              </xdr:nvSpPr>
              <xdr:spPr>
                <a:xfrm>
                  <a:off x="2133600" y="1857375"/>
                  <a:ext cx="10096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tx1"/>
                      </a:solidFill>
                    </a:rPr>
                    <a:t>Cleaned data</a:t>
                  </a:r>
                </a:p>
              </xdr:txBody>
            </xdr:sp>
          </xdr:grpSp>
          <xdr:grpSp>
            <xdr:nvGrpSpPr>
              <xdr:cNvPr id="30" name="Group 29">
                <a:hlinkClick xmlns:r="http://schemas.openxmlformats.org/officeDocument/2006/relationships" r:id="rId9"/>
                <a:extLst>
                  <a:ext uri="{FF2B5EF4-FFF2-40B4-BE49-F238E27FC236}">
                    <a16:creationId xmlns:a16="http://schemas.microsoft.com/office/drawing/2014/main" id="{16C0DB86-2B8F-9630-79B3-62ABCD3AAD53}"/>
                  </a:ext>
                </a:extLst>
              </xdr:cNvPr>
              <xdr:cNvGrpSpPr/>
            </xdr:nvGrpSpPr>
            <xdr:grpSpPr>
              <a:xfrm>
                <a:off x="1885950" y="2333625"/>
                <a:ext cx="1219200" cy="266732"/>
                <a:chOff x="1885950" y="2333625"/>
                <a:chExt cx="1219200" cy="266732"/>
              </a:xfrm>
            </xdr:grpSpPr>
            <xdr:pic>
              <xdr:nvPicPr>
                <xdr:cNvPr id="37" name="Picture 36">
                  <a:extLst>
                    <a:ext uri="{FF2B5EF4-FFF2-40B4-BE49-F238E27FC236}">
                      <a16:creationId xmlns:a16="http://schemas.microsoft.com/office/drawing/2014/main" id="{1AD70FEC-99B7-1643-16EF-B6E1D9D3D153}"/>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885950" y="2371725"/>
                  <a:ext cx="228632" cy="228632"/>
                </a:xfrm>
                <a:prstGeom prst="rect">
                  <a:avLst/>
                </a:prstGeom>
              </xdr:spPr>
            </xdr:pic>
            <xdr:sp macro="" textlink="">
              <xdr:nvSpPr>
                <xdr:cNvPr id="38" name="TextBox 37">
                  <a:extLst>
                    <a:ext uri="{FF2B5EF4-FFF2-40B4-BE49-F238E27FC236}">
                      <a16:creationId xmlns:a16="http://schemas.microsoft.com/office/drawing/2014/main" id="{EB5DE351-4057-4EC2-63EB-C9FDE3D2B592}"/>
                    </a:ext>
                  </a:extLst>
                </xdr:cNvPr>
                <xdr:cNvSpPr txBox="1"/>
              </xdr:nvSpPr>
              <xdr:spPr>
                <a:xfrm>
                  <a:off x="2095500" y="2333625"/>
                  <a:ext cx="100965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tx1"/>
                      </a:solidFill>
                    </a:rPr>
                    <a:t>Pivot table</a:t>
                  </a:r>
                </a:p>
              </xdr:txBody>
            </xdr:sp>
          </xdr:grpSp>
          <xdr:grpSp>
            <xdr:nvGrpSpPr>
              <xdr:cNvPr id="31" name="Group 30">
                <a:hlinkClick xmlns:r="http://schemas.openxmlformats.org/officeDocument/2006/relationships" r:id="rId11"/>
                <a:extLst>
                  <a:ext uri="{FF2B5EF4-FFF2-40B4-BE49-F238E27FC236}">
                    <a16:creationId xmlns:a16="http://schemas.microsoft.com/office/drawing/2014/main" id="{06EB87AB-197F-BD07-7DE5-0AA3D88531E2}"/>
                  </a:ext>
                </a:extLst>
              </xdr:cNvPr>
              <xdr:cNvGrpSpPr/>
            </xdr:nvGrpSpPr>
            <xdr:grpSpPr>
              <a:xfrm>
                <a:off x="1866900" y="2733675"/>
                <a:ext cx="1285874" cy="266700"/>
                <a:chOff x="1866900" y="2733675"/>
                <a:chExt cx="1285874" cy="266700"/>
              </a:xfrm>
            </xdr:grpSpPr>
            <xdr:pic>
              <xdr:nvPicPr>
                <xdr:cNvPr id="35" name="Picture 34">
                  <a:extLst>
                    <a:ext uri="{FF2B5EF4-FFF2-40B4-BE49-F238E27FC236}">
                      <a16:creationId xmlns:a16="http://schemas.microsoft.com/office/drawing/2014/main" id="{F592C2C0-2839-A369-957D-D194F9BEA596}"/>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1866900" y="2762250"/>
                  <a:ext cx="228632" cy="228632"/>
                </a:xfrm>
                <a:prstGeom prst="rect">
                  <a:avLst/>
                </a:prstGeom>
              </xdr:spPr>
            </xdr:pic>
            <xdr:sp macro="" textlink="">
              <xdr:nvSpPr>
                <xdr:cNvPr id="36" name="TextBox 35">
                  <a:extLst>
                    <a:ext uri="{FF2B5EF4-FFF2-40B4-BE49-F238E27FC236}">
                      <a16:creationId xmlns:a16="http://schemas.microsoft.com/office/drawing/2014/main" id="{64562FB6-8EC4-0BA7-08AA-D0C55C74B147}"/>
                    </a:ext>
                  </a:extLst>
                </xdr:cNvPr>
                <xdr:cNvSpPr txBox="1"/>
              </xdr:nvSpPr>
              <xdr:spPr>
                <a:xfrm>
                  <a:off x="2057399" y="2733675"/>
                  <a:ext cx="1095375"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tx1"/>
                      </a:solidFill>
                    </a:rPr>
                    <a:t>Report</a:t>
                  </a:r>
                  <a:r>
                    <a:rPr lang="en-US" sz="1200" baseline="0">
                      <a:solidFill>
                        <a:schemeClr val="tx1"/>
                      </a:solidFill>
                    </a:rPr>
                    <a:t> page 1</a:t>
                  </a:r>
                  <a:endParaRPr lang="en-US" sz="1200">
                    <a:solidFill>
                      <a:schemeClr val="tx1"/>
                    </a:solidFill>
                  </a:endParaRPr>
                </a:p>
              </xdr:txBody>
            </xdr:sp>
          </xdr:grpSp>
          <xdr:grpSp>
            <xdr:nvGrpSpPr>
              <xdr:cNvPr id="32" name="Group 31">
                <a:hlinkClick xmlns:r="http://schemas.openxmlformats.org/officeDocument/2006/relationships" r:id="rId13"/>
                <a:extLst>
                  <a:ext uri="{FF2B5EF4-FFF2-40B4-BE49-F238E27FC236}">
                    <a16:creationId xmlns:a16="http://schemas.microsoft.com/office/drawing/2014/main" id="{14055F11-E22A-32C5-5B7B-1BAC158BD4E5}"/>
                  </a:ext>
                </a:extLst>
              </xdr:cNvPr>
              <xdr:cNvGrpSpPr/>
            </xdr:nvGrpSpPr>
            <xdr:grpSpPr>
              <a:xfrm>
                <a:off x="1876425" y="3133725"/>
                <a:ext cx="1276350" cy="266700"/>
                <a:chOff x="1876425" y="3133725"/>
                <a:chExt cx="1276350" cy="266700"/>
              </a:xfrm>
            </xdr:grpSpPr>
            <xdr:pic>
              <xdr:nvPicPr>
                <xdr:cNvPr id="33" name="Picture 32">
                  <a:extLst>
                    <a:ext uri="{FF2B5EF4-FFF2-40B4-BE49-F238E27FC236}">
                      <a16:creationId xmlns:a16="http://schemas.microsoft.com/office/drawing/2014/main" id="{EDC6AB5C-3992-5944-8B63-D8E93EEAD7E9}"/>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Lst>
                </a:blip>
                <a:stretch>
                  <a:fillRect/>
                </a:stretch>
              </xdr:blipFill>
              <xdr:spPr>
                <a:xfrm>
                  <a:off x="1876425" y="3152775"/>
                  <a:ext cx="228632" cy="228632"/>
                </a:xfrm>
                <a:prstGeom prst="rect">
                  <a:avLst/>
                </a:prstGeom>
              </xdr:spPr>
            </xdr:pic>
            <xdr:sp macro="" textlink="">
              <xdr:nvSpPr>
                <xdr:cNvPr id="34" name="TextBox 33">
                  <a:extLst>
                    <a:ext uri="{FF2B5EF4-FFF2-40B4-BE49-F238E27FC236}">
                      <a16:creationId xmlns:a16="http://schemas.microsoft.com/office/drawing/2014/main" id="{700D75A9-8434-B8C6-BE52-9278C1D4E349}"/>
                    </a:ext>
                  </a:extLst>
                </xdr:cNvPr>
                <xdr:cNvSpPr txBox="1"/>
              </xdr:nvSpPr>
              <xdr:spPr>
                <a:xfrm>
                  <a:off x="2047875" y="3133725"/>
                  <a:ext cx="1104900"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a:solidFill>
                        <a:schemeClr val="tx1"/>
                      </a:solidFill>
                    </a:rPr>
                    <a:t>Report</a:t>
                  </a:r>
                  <a:r>
                    <a:rPr lang="en-US" sz="1200" baseline="0">
                      <a:solidFill>
                        <a:schemeClr val="tx1"/>
                      </a:solidFill>
                    </a:rPr>
                    <a:t> page 2</a:t>
                  </a:r>
                  <a:endParaRPr lang="en-US" sz="1200">
                    <a:solidFill>
                      <a:schemeClr val="tx1"/>
                    </a:solidFill>
                  </a:endParaRPr>
                </a:p>
              </xdr:txBody>
            </xdr:sp>
          </xdr:grpSp>
        </xdr:grpSp>
        <xdr:grpSp>
          <xdr:nvGrpSpPr>
            <xdr:cNvPr id="17" name="Group 16">
              <a:extLst>
                <a:ext uri="{FF2B5EF4-FFF2-40B4-BE49-F238E27FC236}">
                  <a16:creationId xmlns:a16="http://schemas.microsoft.com/office/drawing/2014/main" id="{536663EC-3642-45AC-E278-172046BA7104}"/>
                </a:ext>
              </a:extLst>
            </xdr:cNvPr>
            <xdr:cNvGrpSpPr/>
          </xdr:nvGrpSpPr>
          <xdr:grpSpPr>
            <a:xfrm>
              <a:off x="21831342" y="713315"/>
              <a:ext cx="285751" cy="298451"/>
              <a:chOff x="11906250" y="996949"/>
              <a:chExt cx="276225" cy="298451"/>
            </a:xfrm>
          </xdr:grpSpPr>
          <xdr:sp macro="" textlink="">
            <xdr:nvSpPr>
              <xdr:cNvPr id="26" name="Oval 25">
                <a:extLst>
                  <a:ext uri="{FF2B5EF4-FFF2-40B4-BE49-F238E27FC236}">
                    <a16:creationId xmlns:a16="http://schemas.microsoft.com/office/drawing/2014/main" id="{0B4FF50F-4D28-7A66-00D0-949229C0BC01}"/>
                  </a:ext>
                </a:extLst>
              </xdr:cNvPr>
              <xdr:cNvSpPr/>
            </xdr:nvSpPr>
            <xdr:spPr>
              <a:xfrm>
                <a:off x="11906250" y="1028700"/>
                <a:ext cx="276225" cy="266700"/>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27" name="Picture 26">
                <a:extLst>
                  <a:ext uri="{FF2B5EF4-FFF2-40B4-BE49-F238E27FC236}">
                    <a16:creationId xmlns:a16="http://schemas.microsoft.com/office/drawing/2014/main" id="{2DFBF55F-62C5-30F8-6365-025EFBC958AB}"/>
                  </a:ext>
                </a:extLst>
              </xdr:cNvPr>
              <xdr:cNvPicPr>
                <a:picLocks noChangeAspect="1"/>
              </xdr:cNvPicPr>
            </xdr:nvPicPr>
            <xdr:blipFill>
              <a:blip xmlns:r="http://schemas.openxmlformats.org/officeDocument/2006/relationships" r:embed="rId15" cstate="print">
                <a:extLst>
                  <a:ext uri="{BEBA8EAE-BF5A-486C-A8C5-ECC9F3942E4B}">
                    <a14:imgProps xmlns:a14="http://schemas.microsoft.com/office/drawing/2010/main">
                      <a14:imgLayer r:embed="rId16">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11934824" y="996949"/>
                <a:ext cx="223838" cy="298450"/>
              </a:xfrm>
              <a:prstGeom prst="rect">
                <a:avLst/>
              </a:prstGeom>
            </xdr:spPr>
          </xdr:pic>
        </xdr:grpSp>
        <xdr:sp macro="" textlink="">
          <xdr:nvSpPr>
            <xdr:cNvPr id="18" name="TextBox 17">
              <a:extLst>
                <a:ext uri="{FF2B5EF4-FFF2-40B4-BE49-F238E27FC236}">
                  <a16:creationId xmlns:a16="http://schemas.microsoft.com/office/drawing/2014/main" id="{C40A623C-C494-3C1E-6855-559EC2204936}"/>
                </a:ext>
              </a:extLst>
            </xdr:cNvPr>
            <xdr:cNvSpPr txBox="1"/>
          </xdr:nvSpPr>
          <xdr:spPr>
            <a:xfrm>
              <a:off x="22097999" y="754591"/>
              <a:ext cx="1390650"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006BBC"/>
                  </a:solidFill>
                </a:rPr>
                <a:t>Idris |</a:t>
              </a:r>
              <a:r>
                <a:rPr lang="en-US" sz="1100" baseline="0">
                  <a:solidFill>
                    <a:srgbClr val="006BBC"/>
                  </a:solidFill>
                </a:rPr>
                <a:t> The Data Guy</a:t>
              </a:r>
              <a:endParaRPr lang="en-US" sz="1100">
                <a:solidFill>
                  <a:srgbClr val="006BBC"/>
                </a:solidFill>
              </a:endParaRPr>
            </a:p>
          </xdr:txBody>
        </xdr:sp>
        <xdr:sp macro="" textlink="">
          <xdr:nvSpPr>
            <xdr:cNvPr id="19" name="TextBox 18">
              <a:extLst>
                <a:ext uri="{FF2B5EF4-FFF2-40B4-BE49-F238E27FC236}">
                  <a16:creationId xmlns:a16="http://schemas.microsoft.com/office/drawing/2014/main" id="{4AD0EE33-ADF7-064F-0CBB-9BA7FB3258FC}"/>
                </a:ext>
              </a:extLst>
            </xdr:cNvPr>
            <xdr:cNvSpPr txBox="1"/>
          </xdr:nvSpPr>
          <xdr:spPr>
            <a:xfrm>
              <a:off x="12258674" y="5707591"/>
              <a:ext cx="13716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1"/>
                  </a:solidFill>
                  <a:latin typeface="Arial" panose="020B0604020202020204" pitchFamily="34" charset="0"/>
                  <a:cs typeface="Arial" panose="020B0604020202020204" pitchFamily="34" charset="0"/>
                </a:rPr>
                <a:t>Connect with me on</a:t>
              </a:r>
            </a:p>
          </xdr:txBody>
        </xdr:sp>
        <xdr:sp macro="" textlink="">
          <xdr:nvSpPr>
            <xdr:cNvPr id="20" name="TextBox 19">
              <a:extLst>
                <a:ext uri="{FF2B5EF4-FFF2-40B4-BE49-F238E27FC236}">
                  <a16:creationId xmlns:a16="http://schemas.microsoft.com/office/drawing/2014/main" id="{66AC31B5-575C-9C32-C3F7-345B41F82CD7}"/>
                </a:ext>
              </a:extLst>
            </xdr:cNvPr>
            <xdr:cNvSpPr txBox="1"/>
          </xdr:nvSpPr>
          <xdr:spPr>
            <a:xfrm>
              <a:off x="12458700" y="5936191"/>
              <a:ext cx="10668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1"/>
                  </a:solidFill>
                  <a:latin typeface="Arial" panose="020B0604020202020204" pitchFamily="34" charset="0"/>
                  <a:cs typeface="Arial" panose="020B0604020202020204" pitchFamily="34" charset="0"/>
                </a:rPr>
                <a:t>@im_classic24</a:t>
              </a:r>
            </a:p>
          </xdr:txBody>
        </xdr:sp>
        <xdr:sp macro="" textlink="">
          <xdr:nvSpPr>
            <xdr:cNvPr id="21" name="TextBox 20">
              <a:extLst>
                <a:ext uri="{FF2B5EF4-FFF2-40B4-BE49-F238E27FC236}">
                  <a16:creationId xmlns:a16="http://schemas.microsoft.com/office/drawing/2014/main" id="{1B50C0CE-04D1-14F1-B062-EEF0DD4472DC}"/>
                </a:ext>
              </a:extLst>
            </xdr:cNvPr>
            <xdr:cNvSpPr txBox="1"/>
          </xdr:nvSpPr>
          <xdr:spPr>
            <a:xfrm>
              <a:off x="12439650" y="6164791"/>
              <a:ext cx="11049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1"/>
                  </a:solidFill>
                  <a:latin typeface="Arial" panose="020B0604020202020204" pitchFamily="34" charset="0"/>
                  <a:cs typeface="Arial" panose="020B0604020202020204" pitchFamily="34" charset="0"/>
                </a:rPr>
                <a:t>@datamentor25</a:t>
              </a:r>
            </a:p>
          </xdr:txBody>
        </xdr:sp>
        <xdr:sp macro="" textlink="">
          <xdr:nvSpPr>
            <xdr:cNvPr id="22" name="TextBox 21">
              <a:extLst>
                <a:ext uri="{FF2B5EF4-FFF2-40B4-BE49-F238E27FC236}">
                  <a16:creationId xmlns:a16="http://schemas.microsoft.com/office/drawing/2014/main" id="{3C19FFC7-0F7B-5F58-E832-60FFCBF95C0E}"/>
                </a:ext>
              </a:extLst>
            </xdr:cNvPr>
            <xdr:cNvSpPr txBox="1"/>
          </xdr:nvSpPr>
          <xdr:spPr>
            <a:xfrm>
              <a:off x="12449174" y="6402916"/>
              <a:ext cx="1055019"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bg1"/>
                  </a:solidFill>
                  <a:latin typeface="Arial" panose="020B0604020202020204" pitchFamily="34" charset="0"/>
                  <a:cs typeface="Arial" panose="020B0604020202020204" pitchFamily="34" charset="0"/>
                </a:rPr>
                <a:t>oladejo</a:t>
              </a:r>
              <a:r>
                <a:rPr lang="en-US" sz="1000" baseline="0">
                  <a:solidFill>
                    <a:schemeClr val="bg1"/>
                  </a:solidFill>
                  <a:latin typeface="Arial" panose="020B0604020202020204" pitchFamily="34" charset="0"/>
                  <a:cs typeface="Arial" panose="020B0604020202020204" pitchFamily="34" charset="0"/>
                </a:rPr>
                <a:t> idris</a:t>
              </a:r>
              <a:endParaRPr lang="en-US" sz="1000">
                <a:solidFill>
                  <a:schemeClr val="bg1"/>
                </a:solidFill>
                <a:latin typeface="Arial" panose="020B0604020202020204" pitchFamily="34" charset="0"/>
                <a:cs typeface="Arial" panose="020B0604020202020204" pitchFamily="34" charset="0"/>
              </a:endParaRPr>
            </a:p>
          </xdr:txBody>
        </xdr:sp>
        <xdr:pic>
          <xdr:nvPicPr>
            <xdr:cNvPr id="23" name="Picture 22">
              <a:extLst>
                <a:ext uri="{FF2B5EF4-FFF2-40B4-BE49-F238E27FC236}">
                  <a16:creationId xmlns:a16="http://schemas.microsoft.com/office/drawing/2014/main" id="{29B945F9-73C2-0889-2A8A-7B0510D12B6A}"/>
                </a:ext>
              </a:extLst>
            </xdr:cNvPr>
            <xdr:cNvPicPr>
              <a:picLocks noChangeAspect="1"/>
            </xdr:cNvPicPr>
          </xdr:nvPicPr>
          <xdr:blipFill>
            <a:blip xmlns:r="http://schemas.openxmlformats.org/officeDocument/2006/relationships" r:embed="rId17">
              <a:extLst>
                <a:ext uri="{28A0092B-C50C-407E-A947-70E740481C1C}">
                  <a14:useLocalDpi xmlns:a14="http://schemas.microsoft.com/office/drawing/2010/main" val="0"/>
                </a:ext>
              </a:extLst>
            </a:blip>
            <a:stretch>
              <a:fillRect/>
            </a:stretch>
          </xdr:blipFill>
          <xdr:spPr>
            <a:xfrm>
              <a:off x="12334874" y="5983816"/>
              <a:ext cx="152421" cy="152421"/>
            </a:xfrm>
            <a:prstGeom prst="rect">
              <a:avLst/>
            </a:prstGeom>
          </xdr:spPr>
        </xdr:pic>
        <xdr:pic>
          <xdr:nvPicPr>
            <xdr:cNvPr id="24" name="Picture 23">
              <a:extLst>
                <a:ext uri="{FF2B5EF4-FFF2-40B4-BE49-F238E27FC236}">
                  <a16:creationId xmlns:a16="http://schemas.microsoft.com/office/drawing/2014/main" id="{C02A9D8C-A79C-D4D7-C502-284849139701}"/>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Lst>
            </a:blip>
            <a:stretch>
              <a:fillRect/>
            </a:stretch>
          </xdr:blipFill>
          <xdr:spPr>
            <a:xfrm>
              <a:off x="12334874" y="6240991"/>
              <a:ext cx="152421" cy="152421"/>
            </a:xfrm>
            <a:prstGeom prst="rect">
              <a:avLst/>
            </a:prstGeom>
          </xdr:spPr>
        </xdr:pic>
        <xdr:pic>
          <xdr:nvPicPr>
            <xdr:cNvPr id="25" name="Picture 24">
              <a:extLst>
                <a:ext uri="{FF2B5EF4-FFF2-40B4-BE49-F238E27FC236}">
                  <a16:creationId xmlns:a16="http://schemas.microsoft.com/office/drawing/2014/main" id="{2F50681C-B796-F4B6-A55E-0A78D29473D7}"/>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Lst>
            </a:blip>
            <a:stretch>
              <a:fillRect/>
            </a:stretch>
          </xdr:blipFill>
          <xdr:spPr>
            <a:xfrm>
              <a:off x="12334874" y="6469591"/>
              <a:ext cx="152421" cy="152421"/>
            </a:xfrm>
            <a:prstGeom prst="rect">
              <a:avLst/>
            </a:prstGeom>
          </xdr:spPr>
        </xdr:pic>
        <mc:AlternateContent xmlns:mc="http://schemas.openxmlformats.org/markup-compatibility/2006" xmlns:a14="http://schemas.microsoft.com/office/drawing/2010/main">
          <mc:Choice Requires="a14">
            <xdr:pic>
              <xdr:nvPicPr>
                <xdr:cNvPr id="84" name="Picture 83">
                  <a:extLst>
                    <a:ext uri="{FF2B5EF4-FFF2-40B4-BE49-F238E27FC236}">
                      <a16:creationId xmlns:a16="http://schemas.microsoft.com/office/drawing/2014/main" id="{E5949445-0002-C737-6630-AF08A3B7D5CB}"/>
                    </a:ext>
                  </a:extLst>
                </xdr:cNvPr>
                <xdr:cNvPicPr>
                  <a:picLocks noChangeAspect="1" noChangeArrowheads="1"/>
                  <a:extLst>
                    <a:ext uri="{84589F7E-364E-4C9E-8A38-B11213B215E9}">
                      <a14:cameraTool cellRange="'Pivot Table'!$D$24:$H$31" spid="_x0000_s4119"/>
                    </a:ext>
                  </a:extLst>
                </xdr:cNvPicPr>
              </xdr:nvPicPr>
              <xdr:blipFill>
                <a:blip xmlns:r="http://schemas.openxmlformats.org/officeDocument/2006/relationships" r:embed="rId20"/>
                <a:srcRect/>
                <a:stretch>
                  <a:fillRect/>
                </a:stretch>
              </xdr:blipFill>
              <xdr:spPr bwMode="auto">
                <a:xfrm>
                  <a:off x="18150417" y="1227667"/>
                  <a:ext cx="5185833" cy="2338917"/>
                </a:xfrm>
                <a:prstGeom prst="rect">
                  <a:avLst/>
                </a:prstGeom>
                <a:solidFill>
                  <a:srgbClr val="FFFFFF" mc:Ignorable="a14" a14:legacySpreadsheetColorIndex="9"/>
                </a:solidFill>
                <a:ln w="9525">
                  <a:solidFill>
                    <a:srgbClr val="000000" mc:Ignorable="a14" a14:legacySpreadsheetColorIndex="64"/>
                  </a:solidFill>
                  <a:miter lim="800000"/>
                  <a:headEnd/>
                  <a:tailEnd/>
                </a:ln>
              </xdr:spPr>
            </xdr:pic>
          </mc:Choice>
          <mc:Fallback xmlns=""/>
        </mc:AlternateContent>
        <xdr:graphicFrame macro="">
          <xdr:nvGraphicFramePr>
            <xdr:cNvPr id="86" name="Chart 85">
              <a:extLst>
                <a:ext uri="{FF2B5EF4-FFF2-40B4-BE49-F238E27FC236}">
                  <a16:creationId xmlns:a16="http://schemas.microsoft.com/office/drawing/2014/main" id="{1133840A-5B53-417C-A75C-AA137C457356}"/>
                </a:ext>
              </a:extLst>
            </xdr:cNvPr>
            <xdr:cNvGraphicFramePr>
              <a:graphicFrameLocks/>
            </xdr:cNvGraphicFramePr>
          </xdr:nvGraphicFramePr>
          <xdr:xfrm>
            <a:off x="18182168" y="3884083"/>
            <a:ext cx="5185832" cy="3026833"/>
          </xdr:xfrm>
          <a:graphic>
            <a:graphicData uri="http://schemas.openxmlformats.org/drawingml/2006/chart">
              <c:chart xmlns:c="http://schemas.openxmlformats.org/drawingml/2006/chart" xmlns:r="http://schemas.openxmlformats.org/officeDocument/2006/relationships" r:id="rId21"/>
            </a:graphicData>
          </a:graphic>
        </xdr:graphicFrame>
        <xdr:graphicFrame macro="">
          <xdr:nvGraphicFramePr>
            <xdr:cNvPr id="87" name="Chart 86">
              <a:extLst>
                <a:ext uri="{FF2B5EF4-FFF2-40B4-BE49-F238E27FC236}">
                  <a16:creationId xmlns:a16="http://schemas.microsoft.com/office/drawing/2014/main" id="{43020A04-7D7C-4CD2-92EF-BE4F6E0F72E4}"/>
                </a:ext>
              </a:extLst>
            </xdr:cNvPr>
            <xdr:cNvGraphicFramePr>
              <a:graphicFrameLocks/>
            </xdr:cNvGraphicFramePr>
          </xdr:nvGraphicFramePr>
          <xdr:xfrm>
            <a:off x="13959416" y="3862917"/>
            <a:ext cx="3979333" cy="3069166"/>
          </xdr:xfrm>
          <a:graphic>
            <a:graphicData uri="http://schemas.openxmlformats.org/drawingml/2006/chart">
              <c:chart xmlns:c="http://schemas.openxmlformats.org/drawingml/2006/chart" xmlns:r="http://schemas.openxmlformats.org/officeDocument/2006/relationships" r:id="rId22"/>
            </a:graphicData>
          </a:graphic>
        </xdr:graphicFrame>
      </xdr:grpSp>
      <xdr:sp macro="" textlink="'Pivot Table'!B3">
        <xdr:nvSpPr>
          <xdr:cNvPr id="89" name="TextBox 88">
            <a:extLst>
              <a:ext uri="{FF2B5EF4-FFF2-40B4-BE49-F238E27FC236}">
                <a16:creationId xmlns:a16="http://schemas.microsoft.com/office/drawing/2014/main" id="{1F49612B-020E-4D39-8BDC-9B068E9D767B}"/>
              </a:ext>
            </a:extLst>
          </xdr:cNvPr>
          <xdr:cNvSpPr txBox="1"/>
        </xdr:nvSpPr>
        <xdr:spPr>
          <a:xfrm>
            <a:off x="4017433" y="2016124"/>
            <a:ext cx="13620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AA30706-C5B1-4765-8D33-E3B08FE96434}" type="TxLink">
              <a:rPr lang="en-US" sz="1100" b="0" i="0" u="none" strike="noStrike">
                <a:solidFill>
                  <a:schemeClr val="bg1"/>
                </a:solidFill>
                <a:latin typeface="Calibri"/>
                <a:ea typeface="+mn-ea"/>
                <a:cs typeface="Calibri"/>
              </a:rPr>
              <a:pPr marL="0" indent="0"/>
              <a:t>Items</a:t>
            </a:fld>
            <a:endParaRPr lang="en-US" sz="1100" b="0" i="0" u="none" strike="noStrike">
              <a:solidFill>
                <a:schemeClr val="bg1"/>
              </a:solidFill>
              <a:latin typeface="Calibri"/>
              <a:ea typeface="+mn-ea"/>
              <a:cs typeface="Calibri"/>
            </a:endParaRPr>
          </a:p>
        </xdr:txBody>
      </xdr:sp>
      <xdr:sp macro="" textlink="'Pivot Table'!B4">
        <xdr:nvSpPr>
          <xdr:cNvPr id="90" name="TextBox 89">
            <a:extLst>
              <a:ext uri="{FF2B5EF4-FFF2-40B4-BE49-F238E27FC236}">
                <a16:creationId xmlns:a16="http://schemas.microsoft.com/office/drawing/2014/main" id="{E1E642FF-6D8D-478B-9394-6C392B4BB30E}"/>
              </a:ext>
            </a:extLst>
          </xdr:cNvPr>
          <xdr:cNvSpPr txBox="1"/>
        </xdr:nvSpPr>
        <xdr:spPr>
          <a:xfrm>
            <a:off x="3937000" y="2216149"/>
            <a:ext cx="1362075"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F06A5B50-91FF-4920-8DC3-8E9DEC417F5A}" type="TxLink">
              <a:rPr lang="en-US" sz="1600" b="0" i="0" u="none" strike="noStrike">
                <a:solidFill>
                  <a:schemeClr val="bg1"/>
                </a:solidFill>
                <a:latin typeface="Calibri"/>
                <a:ea typeface="+mn-ea"/>
                <a:cs typeface="Calibri"/>
              </a:rPr>
              <a:pPr marL="0" indent="0"/>
              <a:t> 1,000 </a:t>
            </a:fld>
            <a:endParaRPr lang="en-US" sz="1600" b="0" i="0" u="none" strike="noStrike">
              <a:solidFill>
                <a:schemeClr val="bg1"/>
              </a:solidFill>
              <a:latin typeface="Calibri"/>
              <a:ea typeface="+mn-ea"/>
              <a:cs typeface="Calibri"/>
            </a:endParaRPr>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266700</xdr:colOff>
      <xdr:row>1</xdr:row>
      <xdr:rowOff>38100</xdr:rowOff>
    </xdr:from>
    <xdr:to>
      <xdr:col>22</xdr:col>
      <xdr:colOff>408515</xdr:colOff>
      <xdr:row>39</xdr:row>
      <xdr:rowOff>9525</xdr:rowOff>
    </xdr:to>
    <xdr:grpSp>
      <xdr:nvGrpSpPr>
        <xdr:cNvPr id="18" name="Group 17">
          <a:extLst>
            <a:ext uri="{FF2B5EF4-FFF2-40B4-BE49-F238E27FC236}">
              <a16:creationId xmlns:a16="http://schemas.microsoft.com/office/drawing/2014/main" id="{266974FA-9761-074C-1770-40DBC70AA825}"/>
            </a:ext>
          </a:extLst>
        </xdr:cNvPr>
        <xdr:cNvGrpSpPr/>
      </xdr:nvGrpSpPr>
      <xdr:grpSpPr>
        <a:xfrm>
          <a:off x="1485900" y="228600"/>
          <a:ext cx="12333815" cy="7210425"/>
          <a:chOff x="1485900" y="228600"/>
          <a:chExt cx="12333815" cy="7210425"/>
        </a:xfrm>
      </xdr:grpSpPr>
      <xdr:grpSp>
        <xdr:nvGrpSpPr>
          <xdr:cNvPr id="2" name="Group 1">
            <a:extLst>
              <a:ext uri="{FF2B5EF4-FFF2-40B4-BE49-F238E27FC236}">
                <a16:creationId xmlns:a16="http://schemas.microsoft.com/office/drawing/2014/main" id="{E6300ACA-6551-4EF8-B683-6F6161611B41}"/>
              </a:ext>
            </a:extLst>
          </xdr:cNvPr>
          <xdr:cNvGrpSpPr/>
        </xdr:nvGrpSpPr>
        <xdr:grpSpPr>
          <a:xfrm>
            <a:off x="1485900" y="228600"/>
            <a:ext cx="12333815" cy="7210425"/>
            <a:chOff x="0" y="0"/>
            <a:chExt cx="12249149" cy="7210425"/>
          </a:xfrm>
        </xdr:grpSpPr>
        <xdr:sp macro="" textlink="">
          <xdr:nvSpPr>
            <xdr:cNvPr id="3" name="Rectangle: Rounded Corners 2">
              <a:extLst>
                <a:ext uri="{FF2B5EF4-FFF2-40B4-BE49-F238E27FC236}">
                  <a16:creationId xmlns:a16="http://schemas.microsoft.com/office/drawing/2014/main" id="{507088EE-E319-B194-20F4-94EB2C87909C}"/>
                </a:ext>
              </a:extLst>
            </xdr:cNvPr>
            <xdr:cNvSpPr/>
          </xdr:nvSpPr>
          <xdr:spPr>
            <a:xfrm>
              <a:off x="0" y="0"/>
              <a:ext cx="12249149" cy="7210425"/>
            </a:xfrm>
            <a:prstGeom prst="roundRect">
              <a:avLst>
                <a:gd name="adj" fmla="val 2231"/>
              </a:avLst>
            </a:prstGeom>
            <a:solidFill>
              <a:srgbClr val="CDD1DA"/>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Rectangle: Rounded Corners 3">
              <a:extLst>
                <a:ext uri="{FF2B5EF4-FFF2-40B4-BE49-F238E27FC236}">
                  <a16:creationId xmlns:a16="http://schemas.microsoft.com/office/drawing/2014/main" id="{12450B2C-6E67-8A6E-19AB-DDE5B9BF7E74}"/>
                </a:ext>
              </a:extLst>
            </xdr:cNvPr>
            <xdr:cNvSpPr/>
          </xdr:nvSpPr>
          <xdr:spPr>
            <a:xfrm>
              <a:off x="257174" y="238126"/>
              <a:ext cx="11696700" cy="6724650"/>
            </a:xfrm>
            <a:prstGeom prst="roundRect">
              <a:avLst>
                <a:gd name="adj" fmla="val 2231"/>
              </a:avLst>
            </a:prstGeom>
            <a:solidFill>
              <a:srgbClr val="EDEDF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Rectangle: Rounded Corners 4">
              <a:extLst>
                <a:ext uri="{FF2B5EF4-FFF2-40B4-BE49-F238E27FC236}">
                  <a16:creationId xmlns:a16="http://schemas.microsoft.com/office/drawing/2014/main" id="{7D775BC1-0BC4-BC16-C78C-F7A19802C0DB}"/>
                </a:ext>
              </a:extLst>
            </xdr:cNvPr>
            <xdr:cNvSpPr/>
          </xdr:nvSpPr>
          <xdr:spPr>
            <a:xfrm>
              <a:off x="514350" y="428626"/>
              <a:ext cx="1562099" cy="6410325"/>
            </a:xfrm>
            <a:prstGeom prst="roundRect">
              <a:avLst>
                <a:gd name="adj" fmla="val 2231"/>
              </a:avLst>
            </a:prstGeom>
            <a:solidFill>
              <a:srgbClr val="F7F8F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 name="Rectangle: Rounded Corners 5">
              <a:extLst>
                <a:ext uri="{FF2B5EF4-FFF2-40B4-BE49-F238E27FC236}">
                  <a16:creationId xmlns:a16="http://schemas.microsoft.com/office/drawing/2014/main" id="{25F963C3-0404-3160-CF3A-AF8407812738}"/>
                </a:ext>
              </a:extLst>
            </xdr:cNvPr>
            <xdr:cNvSpPr/>
          </xdr:nvSpPr>
          <xdr:spPr>
            <a:xfrm>
              <a:off x="2305049" y="1114427"/>
              <a:ext cx="1838325" cy="1123950"/>
            </a:xfrm>
            <a:prstGeom prst="roundRect">
              <a:avLst>
                <a:gd name="adj" fmla="val 9011"/>
              </a:avLst>
            </a:prstGeom>
            <a:solidFill>
              <a:srgbClr val="4856F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Rectangle: Rounded Corners 6">
              <a:extLst>
                <a:ext uri="{FF2B5EF4-FFF2-40B4-BE49-F238E27FC236}">
                  <a16:creationId xmlns:a16="http://schemas.microsoft.com/office/drawing/2014/main" id="{43910722-DF6F-6609-E9A8-BB86905E12C0}"/>
                </a:ext>
              </a:extLst>
            </xdr:cNvPr>
            <xdr:cNvSpPr/>
          </xdr:nvSpPr>
          <xdr:spPr>
            <a:xfrm>
              <a:off x="2324101" y="2409827"/>
              <a:ext cx="1876423" cy="1123950"/>
            </a:xfrm>
            <a:prstGeom prst="roundRect">
              <a:avLst>
                <a:gd name="adj" fmla="val 901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ectangle: Rounded Corners 7">
              <a:extLst>
                <a:ext uri="{FF2B5EF4-FFF2-40B4-BE49-F238E27FC236}">
                  <a16:creationId xmlns:a16="http://schemas.microsoft.com/office/drawing/2014/main" id="{63CAC9B4-99A9-961E-0BAF-1CCA79ACEC1C}"/>
                </a:ext>
              </a:extLst>
            </xdr:cNvPr>
            <xdr:cNvSpPr/>
          </xdr:nvSpPr>
          <xdr:spPr>
            <a:xfrm>
              <a:off x="4371976" y="1066802"/>
              <a:ext cx="1876423" cy="1123950"/>
            </a:xfrm>
            <a:prstGeom prst="roundRect">
              <a:avLst>
                <a:gd name="adj" fmla="val 901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Rounded Corners 8">
              <a:extLst>
                <a:ext uri="{FF2B5EF4-FFF2-40B4-BE49-F238E27FC236}">
                  <a16:creationId xmlns:a16="http://schemas.microsoft.com/office/drawing/2014/main" id="{5667AB9C-4152-96E6-5A6E-5D33EBE8A058}"/>
                </a:ext>
              </a:extLst>
            </xdr:cNvPr>
            <xdr:cNvSpPr/>
          </xdr:nvSpPr>
          <xdr:spPr>
            <a:xfrm>
              <a:off x="4371976" y="2362202"/>
              <a:ext cx="1876423" cy="1123950"/>
            </a:xfrm>
            <a:prstGeom prst="roundRect">
              <a:avLst>
                <a:gd name="adj" fmla="val 9011"/>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ectangle: Rounded Corners 9">
              <a:extLst>
                <a:ext uri="{FF2B5EF4-FFF2-40B4-BE49-F238E27FC236}">
                  <a16:creationId xmlns:a16="http://schemas.microsoft.com/office/drawing/2014/main" id="{4C3E1ECF-DCDE-EE2E-0DBB-34B23A91B41A}"/>
                </a:ext>
              </a:extLst>
            </xdr:cNvPr>
            <xdr:cNvSpPr/>
          </xdr:nvSpPr>
          <xdr:spPr>
            <a:xfrm>
              <a:off x="2295524" y="3724276"/>
              <a:ext cx="4067175" cy="3124200"/>
            </a:xfrm>
            <a:prstGeom prst="roundRect">
              <a:avLst>
                <a:gd name="adj" fmla="val 2231"/>
              </a:avLst>
            </a:prstGeom>
            <a:solidFill>
              <a:srgbClr val="F7F8F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Rounded Corners 10">
              <a:extLst>
                <a:ext uri="{FF2B5EF4-FFF2-40B4-BE49-F238E27FC236}">
                  <a16:creationId xmlns:a16="http://schemas.microsoft.com/office/drawing/2014/main" id="{DD3F3D82-A88D-345D-0488-DDFC2A3544F2}"/>
                </a:ext>
              </a:extLst>
            </xdr:cNvPr>
            <xdr:cNvSpPr/>
          </xdr:nvSpPr>
          <xdr:spPr>
            <a:xfrm>
              <a:off x="6467473" y="1066801"/>
              <a:ext cx="5353051" cy="2486025"/>
            </a:xfrm>
            <a:prstGeom prst="roundRect">
              <a:avLst>
                <a:gd name="adj" fmla="val 2231"/>
              </a:avLst>
            </a:prstGeom>
            <a:solidFill>
              <a:srgbClr val="F7F8F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ectangle: Rounded Corners 11">
              <a:extLst>
                <a:ext uri="{FF2B5EF4-FFF2-40B4-BE49-F238E27FC236}">
                  <a16:creationId xmlns:a16="http://schemas.microsoft.com/office/drawing/2014/main" id="{20497D73-E443-0988-3918-FBFA0F242027}"/>
                </a:ext>
              </a:extLst>
            </xdr:cNvPr>
            <xdr:cNvSpPr/>
          </xdr:nvSpPr>
          <xdr:spPr>
            <a:xfrm>
              <a:off x="6515099" y="3724276"/>
              <a:ext cx="5286375" cy="3124200"/>
            </a:xfrm>
            <a:prstGeom prst="roundRect">
              <a:avLst>
                <a:gd name="adj" fmla="val 2231"/>
              </a:avLst>
            </a:prstGeom>
            <a:solidFill>
              <a:srgbClr val="F7F8FC"/>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3" name="Rectangle: Rounded Corners 12">
              <a:extLst>
                <a:ext uri="{FF2B5EF4-FFF2-40B4-BE49-F238E27FC236}">
                  <a16:creationId xmlns:a16="http://schemas.microsoft.com/office/drawing/2014/main" id="{F9D64DCC-9DFE-5693-4490-2A3C4FEF9D6E}"/>
                </a:ext>
              </a:extLst>
            </xdr:cNvPr>
            <xdr:cNvSpPr/>
          </xdr:nvSpPr>
          <xdr:spPr>
            <a:xfrm>
              <a:off x="628649" y="5610227"/>
              <a:ext cx="1314450" cy="1123950"/>
            </a:xfrm>
            <a:prstGeom prst="roundRect">
              <a:avLst>
                <a:gd name="adj" fmla="val 9011"/>
              </a:avLst>
            </a:prstGeom>
            <a:solidFill>
              <a:srgbClr val="1B1B1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sp macro="" textlink="">
        <xdr:nvSpPr>
          <xdr:cNvPr id="15" name="TextBox 14">
            <a:extLst>
              <a:ext uri="{FF2B5EF4-FFF2-40B4-BE49-F238E27FC236}">
                <a16:creationId xmlns:a16="http://schemas.microsoft.com/office/drawing/2014/main" id="{303A0F25-509B-43E8-B7F7-39BA09C704AE}"/>
              </a:ext>
            </a:extLst>
          </xdr:cNvPr>
          <xdr:cNvSpPr txBox="1"/>
        </xdr:nvSpPr>
        <xdr:spPr>
          <a:xfrm>
            <a:off x="12141356" y="631825"/>
            <a:ext cx="1378727" cy="238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rgbClr val="006BBC"/>
                </a:solidFill>
              </a:rPr>
              <a:t>Idris |</a:t>
            </a:r>
            <a:r>
              <a:rPr lang="en-US" sz="1100" baseline="0">
                <a:solidFill>
                  <a:srgbClr val="006BBC"/>
                </a:solidFill>
              </a:rPr>
              <a:t> The Data Guy</a:t>
            </a:r>
            <a:endParaRPr lang="en-US" sz="1100">
              <a:solidFill>
                <a:srgbClr val="006BBC"/>
              </a:solidFill>
            </a:endParaRPr>
          </a:p>
        </xdr:txBody>
      </xdr:sp>
      <xdr:grpSp>
        <xdr:nvGrpSpPr>
          <xdr:cNvPr id="17" name="Group 16">
            <a:extLst>
              <a:ext uri="{FF2B5EF4-FFF2-40B4-BE49-F238E27FC236}">
                <a16:creationId xmlns:a16="http://schemas.microsoft.com/office/drawing/2014/main" id="{A9262B08-39B7-2112-390C-8EFB30764D04}"/>
              </a:ext>
            </a:extLst>
          </xdr:cNvPr>
          <xdr:cNvGrpSpPr/>
        </xdr:nvGrpSpPr>
        <xdr:grpSpPr>
          <a:xfrm>
            <a:off x="11839575" y="600075"/>
            <a:ext cx="283300" cy="298450"/>
            <a:chOff x="11353800" y="561975"/>
            <a:chExt cx="283300" cy="298450"/>
          </a:xfrm>
        </xdr:grpSpPr>
        <xdr:sp macro="" textlink="">
          <xdr:nvSpPr>
            <xdr:cNvPr id="16" name="Oval 15">
              <a:extLst>
                <a:ext uri="{FF2B5EF4-FFF2-40B4-BE49-F238E27FC236}">
                  <a16:creationId xmlns:a16="http://schemas.microsoft.com/office/drawing/2014/main" id="{8CFAEEDC-53FE-4932-9814-8BFBBD890F31}"/>
                </a:ext>
              </a:extLst>
            </xdr:cNvPr>
            <xdr:cNvSpPr/>
          </xdr:nvSpPr>
          <xdr:spPr>
            <a:xfrm>
              <a:off x="11353800" y="590550"/>
              <a:ext cx="283300" cy="266700"/>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4" name="Picture 13">
              <a:extLst>
                <a:ext uri="{FF2B5EF4-FFF2-40B4-BE49-F238E27FC236}">
                  <a16:creationId xmlns:a16="http://schemas.microsoft.com/office/drawing/2014/main" id="{086FC032-E361-467B-8330-0DAAA473818F}"/>
                </a:ext>
              </a:extLst>
            </xdr:cNvPr>
            <xdr:cNvPicPr>
              <a:picLocks noChangeAspect="1"/>
            </xdr:cNvPicPr>
          </xdr:nvPicPr>
          <xdr:blipFill>
            <a:blip xmlns:r="http://schemas.openxmlformats.org/officeDocument/2006/relationships" r:embed="rId1" cstate="print">
              <a:extLst>
                <a:ext uri="{BEBA8EAE-BF5A-486C-A8C5-ECC9F3942E4B}">
                  <a14:imgProps xmlns:a14="http://schemas.microsoft.com/office/drawing/2010/main">
                    <a14:imgLayer r:embed="rId2">
                      <a14:imgEffect>
                        <a14:backgroundRemoval t="10000" b="90000" l="10000" r="90000"/>
                      </a14:imgEffect>
                    </a14:imgLayer>
                  </a14:imgProps>
                </a:ext>
                <a:ext uri="{28A0092B-C50C-407E-A947-70E740481C1C}">
                  <a14:useLocalDpi xmlns:a14="http://schemas.microsoft.com/office/drawing/2010/main" val="0"/>
                </a:ext>
              </a:extLst>
            </a:blip>
            <a:stretch>
              <a:fillRect/>
            </a:stretch>
          </xdr:blipFill>
          <xdr:spPr>
            <a:xfrm>
              <a:off x="11382375" y="561975"/>
              <a:ext cx="229571" cy="298450"/>
            </a:xfrm>
            <a:prstGeom prst="rect">
              <a:avLst/>
            </a:prstGeom>
          </xdr:spPr>
        </xdr:pic>
      </xdr:grpSp>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68.684447337961" backgroundQuery="1" createdVersion="8" refreshedVersion="8" minRefreshableVersion="3" recordCount="0" supportSubquery="1" supportAdvancedDrill="1" xr:uid="{4C46A3AE-5C29-4A34-AA49-EB3465675270}">
  <cacheSource type="external" connectionId="1"/>
  <cacheFields count="3">
    <cacheField name="[Table1].[Status].[Status]" caption="Status" numFmtId="0" hierarchy="10" level="1">
      <sharedItems count="2">
        <s v="Reorder Needed"/>
        <s v="Sufficient"/>
      </sharedItems>
    </cacheField>
    <cacheField name="[Measures].[Total Items]" caption="Total Items" numFmtId="0" hierarchy="22" level="32767"/>
    <cacheField name="[Table1].[Year].[Year]" caption="Year" numFmtId="0" hierarchy="14" level="1">
      <sharedItems containsSemiMixedTypes="0" containsNonDate="0" containsString="0"/>
    </cacheField>
  </cacheFields>
  <cacheHierarchies count="31">
    <cacheHierarchy uniqueName="[Table1].[Item_ID]" caption="Item_ID" attribute="1" defaultMemberUniqueName="[Table1].[Item_ID].[All]" allUniqueName="[Table1].[Item_ID].[All]" dimensionUniqueName="[Table1]" displayFolder="" count="0" memberValueDatatype="20" unbalanced="0"/>
    <cacheHierarchy uniqueName="[Table1].[Item_Name]" caption="Item_Name" attribute="1" defaultMemberUniqueName="[Table1].[Item_Name].[All]" allUniqueName="[Table1].[Item_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Warehouse]" caption="Warehouse" attribute="1" defaultMemberUniqueName="[Table1].[Warehouse].[All]" allUniqueName="[Table1].[Warehouse].[All]" dimensionUniqueName="[Table1]" displayFolder="" count="0" memberValueDatatype="130" unbalanced="0"/>
    <cacheHierarchy uniqueName="[Table1].[Supplier]" caption="Supplier" attribute="1" defaultMemberUniqueName="[Table1].[Supplier].[All]" allUniqueName="[Table1].[Supplier].[All]" dimensionUniqueName="[Table1]" displayFolder="" count="0" memberValueDatatype="130" unbalanced="0"/>
    <cacheHierarchy uniqueName="[Table1].[Stock_Quantity]" caption="Stock_Quantity" attribute="1" defaultMemberUniqueName="[Table1].[Stock_Quantity].[All]" allUniqueName="[Table1].[Stock_Quantity].[All]" dimensionUniqueName="[Table1]" displayFolder="" count="0" memberValueDatatype="20" unbalanced="0"/>
    <cacheHierarchy uniqueName="[Table1].[Unit_Cost]" caption="Unit_Cost" attribute="1" defaultMemberUniqueName="[Table1].[Unit_Cost].[All]" allUniqueName="[Table1].[Unit_Cost].[All]" dimensionUniqueName="[Table1]" displayFolder="" count="0" memberValueDatatype="5" unbalanced="0"/>
    <cacheHierarchy uniqueName="[Table1].[Reorder_Level]" caption="Reorder_Level" attribute="1" defaultMemberUniqueName="[Table1].[Reorder_Level].[All]" allUniqueName="[Table1].[Reorder_Level].[All]" dimensionUniqueName="[Table1]" displayFolder="" count="0" memberValueDatatype="20" unbalanced="0"/>
    <cacheHierarchy uniqueName="[Table1].[Estimated_Restocked_Qty]" caption="Estimated_Restocked_Qty" attribute="1" defaultMemberUniqueName="[Table1].[Estimated_Restocked_Qty].[All]" allUniqueName="[Table1].[Estimated_Restocked_Qty].[All]" dimensionUniqueName="[Table1]" displayFolder="" count="0" memberValueDatatype="20" unbalanced="0"/>
    <cacheHierarchy uniqueName="[Table1].[Last_Restock_Date]" caption="Last_Restock_Date" attribute="1" time="1" defaultMemberUniqueName="[Table1].[Last_Restock_Date].[All]" allUniqueName="[Table1].[Last_Restock_Date].[All]" dimensionUniqueName="[Table1]" displayFolder="" count="0" memberValueDatatype="7" unbalanced="0"/>
    <cacheHierarchy uniqueName="[Table1].[Status]" caption="Status" attribute="1" defaultMemberUniqueName="[Table1].[Status].[All]" allUniqueName="[Table1].[Status].[All]" dimensionUniqueName="[Table1]" displayFolder="" count="2" memberValueDatatype="130" unbalanced="0">
      <fieldsUsage count="2">
        <fieldUsage x="-1"/>
        <fieldUsage x="0"/>
      </fieldsUsage>
    </cacheHierarchy>
    <cacheHierarchy uniqueName="[Table1].[Last_Restock_Date (Year)]" caption="Last_Restock_Date (Year)" attribute="1" defaultMemberUniqueName="[Table1].[Last_Restock_Date (Year)].[All]" allUniqueName="[Table1].[Last_Restock_Date (Year)].[All]" dimensionUniqueName="[Table1]" displayFolder="" count="0" memberValueDatatype="130" unbalanced="0"/>
    <cacheHierarchy uniqueName="[Table1].[Last_Restock_Date (Quarter)]" caption="Last_Restock_Date (Quarter)" attribute="1" defaultMemberUniqueName="[Table1].[Last_Restock_Date (Quarter)].[All]" allUniqueName="[Table1].[Last_Restock_Date (Quarter)].[All]" dimensionUniqueName="[Table1]" displayFolder="" count="0" memberValueDatatype="130" unbalanced="0"/>
    <cacheHierarchy uniqueName="[Table1].[Last_Restock_Date (Month)]" caption="Last_Restock_Date (Month)" attribute="1" defaultMemberUniqueName="[Table1].[Last_Restock_Date (Month)].[All]" allUniqueName="[Table1].[Last_Restock_Date (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fieldsUsage count="2">
        <fieldUsage x="-1"/>
        <fieldUsage x="2"/>
      </fieldsUsage>
    </cacheHierarchy>
    <cacheHierarchy uniqueName="[Table1].[Month_Year]" caption="Month_Year" attribute="1" defaultMemberUniqueName="[Table1].[Month_Year].[All]" allUniqueName="[Table1].[Month_Year].[All]" dimensionUniqueName="[Table1]" displayFolder="" count="0" memberValueDatatype="130" unbalanced="0"/>
    <cacheHierarchy uniqueName="[Table1].[Month_Number]" caption="Month_Number" attribute="1" defaultMemberUniqueName="[Table1].[Month_Number].[All]" allUniqueName="[Table1].[Month_Number].[All]" dimensionUniqueName="[Table1]" displayFolder="" count="0" memberValueDatatype="20" unbalanced="0"/>
    <cacheHierarchy uniqueName="[Table1].[Quarter]" caption="Quarter" attribute="1" defaultMemberUniqueName="[Table1].[Quarter].[All]" allUniqueName="[Table1].[Quarter].[All]" dimensionUniqueName="[Table1]" displayFolder="" count="2" memberValueDatatype="130" unbalanced="0"/>
    <cacheHierarchy uniqueName="[Table1].[Month_Label]" caption="Month_Label" attribute="1" defaultMemberUniqueName="[Table1].[Month_Label].[All]" allUniqueName="[Table1].[Month_Label].[All]" dimensionUniqueName="[Table1]" displayFolder="" count="0" memberValueDatatype="130" unbalanced="0"/>
    <cacheHierarchy uniqueName="[Table1].[Last_Restock_Date (Month Index)]" caption="Last_Restock_Date (Month Index)" attribute="1" defaultMemberUniqueName="[Table1].[Last_Restock_Date (Month Index)].[All]" allUniqueName="[Table1].[Last_Restock_Date (Month Index)].[All]" dimensionUniqueName="[Table1]" displayFolder="" count="0" memberValueDatatype="20" unbalanced="0" hidden="1"/>
    <cacheHierarchy uniqueName="[Measures].[Total Stock Quantity]" caption="Total Stock Quantity" measure="1" displayFolder="" measureGroup="Table1" count="0"/>
    <cacheHierarchy uniqueName="[Measures].[Total Investory Value]" caption="Total Investory Value" measure="1" displayFolder="" measureGroup="Table1" count="0"/>
    <cacheHierarchy uniqueName="[Measures].[Total Items]" caption="Total Items" measure="1" displayFolder="" measureGroup="Table1" count="0" oneField="1">
      <fieldsUsage count="1">
        <fieldUsage x="1"/>
      </fieldsUsage>
    </cacheHierarchy>
    <cacheHierarchy uniqueName="[Measures].[Average Unit Cost ($)]" caption="Average Unit Cost ($)" measure="1" displayFolder="" measureGroup="Table1" count="0"/>
    <cacheHierarchy uniqueName="[Measures].[Reorder Required Items]" caption="Reorder Required Items" measure="1" displayFolder="" measureGroup="Table1" count="0"/>
    <cacheHierarchy uniqueName="[Measures].[Reorder Rate (%)]" caption="Reorder Rate (%)" measure="1" displayFolder="" measureGroup="Table1" count="0"/>
    <cacheHierarchy uniqueName="[Measures].[Expected Restocked Qty]" caption="Expected Restocked Qty"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tock_Quantity]" caption="Sum of Stock_Quantity" measure="1" displayFolder="" measureGroup="Table1" count="0" hidden="1">
      <extLst>
        <ext xmlns:x15="http://schemas.microsoft.com/office/spreadsheetml/2010/11/main" uri="{B97F6D7D-B522-45F9-BDA1-12C45D357490}">
          <x15:cacheHierarchy aggregatedColumn="5"/>
        </ext>
      </extLst>
    </cacheHierarchy>
    <cacheHierarchy uniqueName="[Measures].[Sum of Estimated_Restocked_Qty]" caption="Sum of Estimated_Restocked_Qty" measure="1" displayFolder="" measureGroup="Table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68.68444837963" backgroundQuery="1" createdVersion="8" refreshedVersion="8" minRefreshableVersion="3" recordCount="0" supportSubquery="1" supportAdvancedDrill="1" xr:uid="{4121580F-1E46-4364-86EF-5A2ACA1924D8}">
  <cacheSource type="external" connectionId="1"/>
  <cacheFields count="6">
    <cacheField name="[Measures].[Total Stock Quantity]" caption="Total Stock Quantity" numFmtId="0" hierarchy="20" level="32767"/>
    <cacheField name="[Measures].[Total Items]" caption="Total Items" numFmtId="0" hierarchy="22" level="32767"/>
    <cacheField name="[Measures].[Average Unit Cost ($)]" caption="Average Unit Cost ($)" numFmtId="0" hierarchy="23" level="32767"/>
    <cacheField name="[Table1].[Status].[Status]" caption="Status" numFmtId="0" hierarchy="10" level="1">
      <sharedItems containsSemiMixedTypes="0" containsNonDate="0" containsString="0"/>
    </cacheField>
    <cacheField name="[Measures].[Sum of Estimated_Restocked_Qty]" caption="Sum of Estimated_Restocked_Qty" numFmtId="0" hierarchy="30" level="32767"/>
    <cacheField name="[Table1].[Year].[Year]" caption="Year" numFmtId="0" hierarchy="14" level="1">
      <sharedItems containsSemiMixedTypes="0" containsNonDate="0" containsString="0"/>
    </cacheField>
  </cacheFields>
  <cacheHierarchies count="31">
    <cacheHierarchy uniqueName="[Table1].[Item_ID]" caption="Item_ID" attribute="1" defaultMemberUniqueName="[Table1].[Item_ID].[All]" allUniqueName="[Table1].[Item_ID].[All]" dimensionUniqueName="[Table1]" displayFolder="" count="0" memberValueDatatype="20" unbalanced="0"/>
    <cacheHierarchy uniqueName="[Table1].[Item_Name]" caption="Item_Name" attribute="1" defaultMemberUniqueName="[Table1].[Item_Name].[All]" allUniqueName="[Table1].[Item_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Warehouse]" caption="Warehouse" attribute="1" defaultMemberUniqueName="[Table1].[Warehouse].[All]" allUniqueName="[Table1].[Warehouse].[All]" dimensionUniqueName="[Table1]" displayFolder="" count="0" memberValueDatatype="130" unbalanced="0"/>
    <cacheHierarchy uniqueName="[Table1].[Supplier]" caption="Supplier" attribute="1" defaultMemberUniqueName="[Table1].[Supplier].[All]" allUniqueName="[Table1].[Supplier].[All]" dimensionUniqueName="[Table1]" displayFolder="" count="0" memberValueDatatype="130" unbalanced="0"/>
    <cacheHierarchy uniqueName="[Table1].[Stock_Quantity]" caption="Stock_Quantity" attribute="1" defaultMemberUniqueName="[Table1].[Stock_Quantity].[All]" allUniqueName="[Table1].[Stock_Quantity].[All]" dimensionUniqueName="[Table1]" displayFolder="" count="0" memberValueDatatype="20" unbalanced="0"/>
    <cacheHierarchy uniqueName="[Table1].[Unit_Cost]" caption="Unit_Cost" attribute="1" defaultMemberUniqueName="[Table1].[Unit_Cost].[All]" allUniqueName="[Table1].[Unit_Cost].[All]" dimensionUniqueName="[Table1]" displayFolder="" count="0" memberValueDatatype="5" unbalanced="0"/>
    <cacheHierarchy uniqueName="[Table1].[Reorder_Level]" caption="Reorder_Level" attribute="1" defaultMemberUniqueName="[Table1].[Reorder_Level].[All]" allUniqueName="[Table1].[Reorder_Level].[All]" dimensionUniqueName="[Table1]" displayFolder="" count="0" memberValueDatatype="20" unbalanced="0"/>
    <cacheHierarchy uniqueName="[Table1].[Estimated_Restocked_Qty]" caption="Estimated_Restocked_Qty" attribute="1" defaultMemberUniqueName="[Table1].[Estimated_Restocked_Qty].[All]" allUniqueName="[Table1].[Estimated_Restocked_Qty].[All]" dimensionUniqueName="[Table1]" displayFolder="" count="0" memberValueDatatype="20" unbalanced="0"/>
    <cacheHierarchy uniqueName="[Table1].[Last_Restock_Date]" caption="Last_Restock_Date" attribute="1" time="1" defaultMemberUniqueName="[Table1].[Last_Restock_Date].[All]" allUniqueName="[Table1].[Last_Restock_Date].[All]" dimensionUniqueName="[Table1]" displayFolder="" count="0" memberValueDatatype="7" unbalanced="0"/>
    <cacheHierarchy uniqueName="[Table1].[Status]" caption="Status" attribute="1" defaultMemberUniqueName="[Table1].[Status].[All]" allUniqueName="[Table1].[Status].[All]" dimensionUniqueName="[Table1]" displayFolder="" count="2" memberValueDatatype="130" unbalanced="0">
      <fieldsUsage count="2">
        <fieldUsage x="-1"/>
        <fieldUsage x="3"/>
      </fieldsUsage>
    </cacheHierarchy>
    <cacheHierarchy uniqueName="[Table1].[Last_Restock_Date (Year)]" caption="Last_Restock_Date (Year)" attribute="1" defaultMemberUniqueName="[Table1].[Last_Restock_Date (Year)].[All]" allUniqueName="[Table1].[Last_Restock_Date (Year)].[All]" dimensionUniqueName="[Table1]" displayFolder="" count="0" memberValueDatatype="130" unbalanced="0"/>
    <cacheHierarchy uniqueName="[Table1].[Last_Restock_Date (Quarter)]" caption="Last_Restock_Date (Quarter)" attribute="1" defaultMemberUniqueName="[Table1].[Last_Restock_Date (Quarter)].[All]" allUniqueName="[Table1].[Last_Restock_Date (Quarter)].[All]" dimensionUniqueName="[Table1]" displayFolder="" count="0" memberValueDatatype="130" unbalanced="0"/>
    <cacheHierarchy uniqueName="[Table1].[Last_Restock_Date (Month)]" caption="Last_Restock_Date (Month)" attribute="1" defaultMemberUniqueName="[Table1].[Last_Restock_Date (Month)].[All]" allUniqueName="[Table1].[Last_Restock_Date (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fieldsUsage count="2">
        <fieldUsage x="-1"/>
        <fieldUsage x="5"/>
      </fieldsUsage>
    </cacheHierarchy>
    <cacheHierarchy uniqueName="[Table1].[Month_Year]" caption="Month_Year" attribute="1" defaultMemberUniqueName="[Table1].[Month_Year].[All]" allUniqueName="[Table1].[Month_Year].[All]" dimensionUniqueName="[Table1]" displayFolder="" count="0" memberValueDatatype="130" unbalanced="0"/>
    <cacheHierarchy uniqueName="[Table1].[Month_Number]" caption="Month_Number" attribute="1" defaultMemberUniqueName="[Table1].[Month_Number].[All]" allUniqueName="[Table1].[Month_Number].[All]" dimensionUniqueName="[Table1]" displayFolder="" count="0" memberValueDatatype="20" unbalanced="0"/>
    <cacheHierarchy uniqueName="[Table1].[Quarter]" caption="Quarter" attribute="1" defaultMemberUniqueName="[Table1].[Quarter].[All]" allUniqueName="[Table1].[Quarter].[All]" dimensionUniqueName="[Table1]" displayFolder="" count="2" memberValueDatatype="130" unbalanced="0"/>
    <cacheHierarchy uniqueName="[Table1].[Month_Label]" caption="Month_Label" attribute="1" defaultMemberUniqueName="[Table1].[Month_Label].[All]" allUniqueName="[Table1].[Month_Label].[All]" dimensionUniqueName="[Table1]" displayFolder="" count="0" memberValueDatatype="130" unbalanced="0"/>
    <cacheHierarchy uniqueName="[Table1].[Last_Restock_Date (Month Index)]" caption="Last_Restock_Date (Month Index)" attribute="1" defaultMemberUniqueName="[Table1].[Last_Restock_Date (Month Index)].[All]" allUniqueName="[Table1].[Last_Restock_Date (Month Index)].[All]" dimensionUniqueName="[Table1]" displayFolder="" count="0" memberValueDatatype="20" unbalanced="0" hidden="1"/>
    <cacheHierarchy uniqueName="[Measures].[Total Stock Quantity]" caption="Total Stock Quantity" measure="1" displayFolder="" measureGroup="Table1" count="0" oneField="1">
      <fieldsUsage count="1">
        <fieldUsage x="0"/>
      </fieldsUsage>
    </cacheHierarchy>
    <cacheHierarchy uniqueName="[Measures].[Total Investory Value]" caption="Total Investory Value" measure="1" displayFolder="" measureGroup="Table1" count="0"/>
    <cacheHierarchy uniqueName="[Measures].[Total Items]" caption="Total Items" measure="1" displayFolder="" measureGroup="Table1" count="0" oneField="1">
      <fieldsUsage count="1">
        <fieldUsage x="1"/>
      </fieldsUsage>
    </cacheHierarchy>
    <cacheHierarchy uniqueName="[Measures].[Average Unit Cost ($)]" caption="Average Unit Cost ($)" measure="1" displayFolder="" measureGroup="Table1" count="0" oneField="1">
      <fieldsUsage count="1">
        <fieldUsage x="2"/>
      </fieldsUsage>
    </cacheHierarchy>
    <cacheHierarchy uniqueName="[Measures].[Reorder Required Items]" caption="Reorder Required Items" measure="1" displayFolder="" measureGroup="Table1" count="0"/>
    <cacheHierarchy uniqueName="[Measures].[Reorder Rate (%)]" caption="Reorder Rate (%)" measure="1" displayFolder="" measureGroup="Table1" count="0"/>
    <cacheHierarchy uniqueName="[Measures].[Expected Restocked Qty]" caption="Expected Restocked Qty"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tock_Quantity]" caption="Sum of Stock_Quantity" measure="1" displayFolder="" measureGroup="Table1" count="0" hidden="1">
      <extLst>
        <ext xmlns:x15="http://schemas.microsoft.com/office/spreadsheetml/2010/11/main" uri="{B97F6D7D-B522-45F9-BDA1-12C45D357490}">
          <x15:cacheHierarchy aggregatedColumn="5"/>
        </ext>
      </extLst>
    </cacheHierarchy>
    <cacheHierarchy uniqueName="[Measures].[Sum of Estimated_Restocked_Qty]" caption="Sum of Estimated_Restocked_Qty" measure="1" displayFolder="" measureGroup="Table1" count="0" oneField="1" hidden="1">
      <fieldsUsage count="1">
        <fieldUsage x="4"/>
      </fieldsUsage>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68.684449305554" backgroundQuery="1" createdVersion="8" refreshedVersion="8" minRefreshableVersion="3" recordCount="0" supportSubquery="1" supportAdvancedDrill="1" xr:uid="{5F503A91-833C-4392-BF67-0819E42833FF}">
  <cacheSource type="external" connectionId="1"/>
  <cacheFields count="4">
    <cacheField name="[Measures].[Total Stock Quantity]" caption="Total Stock Quantity" numFmtId="0" hierarchy="20" level="32767"/>
    <cacheField name="[Table1].[Status].[Status]" caption="Status" numFmtId="0" hierarchy="10" level="1">
      <sharedItems containsSemiMixedTypes="0" containsNonDate="0" containsString="0"/>
    </cacheField>
    <cacheField name="[Table1].[Category].[Category]" caption="Category" numFmtId="0" hierarchy="2" level="1">
      <sharedItems count="5">
        <s v="Clothing"/>
        <s v="Electronics"/>
        <s v="Furniture"/>
        <s v="Groceries"/>
        <s v="Stationery"/>
      </sharedItems>
    </cacheField>
    <cacheField name="[Table1].[Year].[Year]" caption="Year" numFmtId="0" hierarchy="14" level="1">
      <sharedItems containsSemiMixedTypes="0" containsNonDate="0" containsString="0"/>
    </cacheField>
  </cacheFields>
  <cacheHierarchies count="31">
    <cacheHierarchy uniqueName="[Table1].[Item_ID]" caption="Item_ID" attribute="1" defaultMemberUniqueName="[Table1].[Item_ID].[All]" allUniqueName="[Table1].[Item_ID].[All]" dimensionUniqueName="[Table1]" displayFolder="" count="0" memberValueDatatype="20" unbalanced="0"/>
    <cacheHierarchy uniqueName="[Table1].[Item_Name]" caption="Item_Name" attribute="1" defaultMemberUniqueName="[Table1].[Item_Name].[All]" allUniqueName="[Table1].[Item_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2"/>
      </fieldsUsage>
    </cacheHierarchy>
    <cacheHierarchy uniqueName="[Table1].[Warehouse]" caption="Warehouse" attribute="1" defaultMemberUniqueName="[Table1].[Warehouse].[All]" allUniqueName="[Table1].[Warehouse].[All]" dimensionUniqueName="[Table1]" displayFolder="" count="0" memberValueDatatype="130" unbalanced="0"/>
    <cacheHierarchy uniqueName="[Table1].[Supplier]" caption="Supplier" attribute="1" defaultMemberUniqueName="[Table1].[Supplier].[All]" allUniqueName="[Table1].[Supplier].[All]" dimensionUniqueName="[Table1]" displayFolder="" count="0" memberValueDatatype="130" unbalanced="0"/>
    <cacheHierarchy uniqueName="[Table1].[Stock_Quantity]" caption="Stock_Quantity" attribute="1" defaultMemberUniqueName="[Table1].[Stock_Quantity].[All]" allUniqueName="[Table1].[Stock_Quantity].[All]" dimensionUniqueName="[Table1]" displayFolder="" count="0" memberValueDatatype="20" unbalanced="0"/>
    <cacheHierarchy uniqueName="[Table1].[Unit_Cost]" caption="Unit_Cost" attribute="1" defaultMemberUniqueName="[Table1].[Unit_Cost].[All]" allUniqueName="[Table1].[Unit_Cost].[All]" dimensionUniqueName="[Table1]" displayFolder="" count="0" memberValueDatatype="5" unbalanced="0"/>
    <cacheHierarchy uniqueName="[Table1].[Reorder_Level]" caption="Reorder_Level" attribute="1" defaultMemberUniqueName="[Table1].[Reorder_Level].[All]" allUniqueName="[Table1].[Reorder_Level].[All]" dimensionUniqueName="[Table1]" displayFolder="" count="0" memberValueDatatype="20" unbalanced="0"/>
    <cacheHierarchy uniqueName="[Table1].[Estimated_Restocked_Qty]" caption="Estimated_Restocked_Qty" attribute="1" defaultMemberUniqueName="[Table1].[Estimated_Restocked_Qty].[All]" allUniqueName="[Table1].[Estimated_Restocked_Qty].[All]" dimensionUniqueName="[Table1]" displayFolder="" count="0" memberValueDatatype="20" unbalanced="0"/>
    <cacheHierarchy uniqueName="[Table1].[Last_Restock_Date]" caption="Last_Restock_Date" attribute="1" time="1" defaultMemberUniqueName="[Table1].[Last_Restock_Date].[All]" allUniqueName="[Table1].[Last_Restock_Date].[All]" dimensionUniqueName="[Table1]" displayFolder="" count="0" memberValueDatatype="7" unbalanced="0"/>
    <cacheHierarchy uniqueName="[Table1].[Status]" caption="Status" attribute="1" defaultMemberUniqueName="[Table1].[Status].[All]" allUniqueName="[Table1].[Status].[All]" dimensionUniqueName="[Table1]" displayFolder="" count="2" memberValueDatatype="130" unbalanced="0">
      <fieldsUsage count="2">
        <fieldUsage x="-1"/>
        <fieldUsage x="1"/>
      </fieldsUsage>
    </cacheHierarchy>
    <cacheHierarchy uniqueName="[Table1].[Last_Restock_Date (Year)]" caption="Last_Restock_Date (Year)" attribute="1" defaultMemberUniqueName="[Table1].[Last_Restock_Date (Year)].[All]" allUniqueName="[Table1].[Last_Restock_Date (Year)].[All]" dimensionUniqueName="[Table1]" displayFolder="" count="0" memberValueDatatype="130" unbalanced="0"/>
    <cacheHierarchy uniqueName="[Table1].[Last_Restock_Date (Quarter)]" caption="Last_Restock_Date (Quarter)" attribute="1" defaultMemberUniqueName="[Table1].[Last_Restock_Date (Quarter)].[All]" allUniqueName="[Table1].[Last_Restock_Date (Quarter)].[All]" dimensionUniqueName="[Table1]" displayFolder="" count="0" memberValueDatatype="130" unbalanced="0"/>
    <cacheHierarchy uniqueName="[Table1].[Last_Restock_Date (Month)]" caption="Last_Restock_Date (Month)" attribute="1" defaultMemberUniqueName="[Table1].[Last_Restock_Date (Month)].[All]" allUniqueName="[Table1].[Last_Restock_Date (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fieldsUsage count="2">
        <fieldUsage x="-1"/>
        <fieldUsage x="3"/>
      </fieldsUsage>
    </cacheHierarchy>
    <cacheHierarchy uniqueName="[Table1].[Month_Year]" caption="Month_Year" attribute="1" defaultMemberUniqueName="[Table1].[Month_Year].[All]" allUniqueName="[Table1].[Month_Year].[All]" dimensionUniqueName="[Table1]" displayFolder="" count="0" memberValueDatatype="130" unbalanced="0"/>
    <cacheHierarchy uniqueName="[Table1].[Month_Number]" caption="Month_Number" attribute="1" defaultMemberUniqueName="[Table1].[Month_Number].[All]" allUniqueName="[Table1].[Month_Number].[All]" dimensionUniqueName="[Table1]" displayFolder="" count="0" memberValueDatatype="20" unbalanced="0"/>
    <cacheHierarchy uniqueName="[Table1].[Quarter]" caption="Quarter" attribute="1" defaultMemberUniqueName="[Table1].[Quarter].[All]" allUniqueName="[Table1].[Quarter].[All]" dimensionUniqueName="[Table1]" displayFolder="" count="2" memberValueDatatype="130" unbalanced="0"/>
    <cacheHierarchy uniqueName="[Table1].[Month_Label]" caption="Month_Label" attribute="1" defaultMemberUniqueName="[Table1].[Month_Label].[All]" allUniqueName="[Table1].[Month_Label].[All]" dimensionUniqueName="[Table1]" displayFolder="" count="0" memberValueDatatype="130" unbalanced="0"/>
    <cacheHierarchy uniqueName="[Table1].[Last_Restock_Date (Month Index)]" caption="Last_Restock_Date (Month Index)" attribute="1" defaultMemberUniqueName="[Table1].[Last_Restock_Date (Month Index)].[All]" allUniqueName="[Table1].[Last_Restock_Date (Month Index)].[All]" dimensionUniqueName="[Table1]" displayFolder="" count="0" memberValueDatatype="20" unbalanced="0" hidden="1"/>
    <cacheHierarchy uniqueName="[Measures].[Total Stock Quantity]" caption="Total Stock Quantity" measure="1" displayFolder="" measureGroup="Table1" count="0" oneField="1">
      <fieldsUsage count="1">
        <fieldUsage x="0"/>
      </fieldsUsage>
    </cacheHierarchy>
    <cacheHierarchy uniqueName="[Measures].[Total Investory Value]" caption="Total Investory Value" measure="1" displayFolder="" measureGroup="Table1" count="0"/>
    <cacheHierarchy uniqueName="[Measures].[Total Items]" caption="Total Items" measure="1" displayFolder="" measureGroup="Table1" count="0"/>
    <cacheHierarchy uniqueName="[Measures].[Average Unit Cost ($)]" caption="Average Unit Cost ($)" measure="1" displayFolder="" measureGroup="Table1" count="0"/>
    <cacheHierarchy uniqueName="[Measures].[Reorder Required Items]" caption="Reorder Required Items" measure="1" displayFolder="" measureGroup="Table1" count="0"/>
    <cacheHierarchy uniqueName="[Measures].[Reorder Rate (%)]" caption="Reorder Rate (%)" measure="1" displayFolder="" measureGroup="Table1" count="0"/>
    <cacheHierarchy uniqueName="[Measures].[Expected Restocked Qty]" caption="Expected Restocked Qty"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tock_Quantity]" caption="Sum of Stock_Quantity" measure="1" displayFolder="" measureGroup="Table1" count="0" hidden="1">
      <extLst>
        <ext xmlns:x15="http://schemas.microsoft.com/office/spreadsheetml/2010/11/main" uri="{B97F6D7D-B522-45F9-BDA1-12C45D357490}">
          <x15:cacheHierarchy aggregatedColumn="5"/>
        </ext>
      </extLst>
    </cacheHierarchy>
    <cacheHierarchy uniqueName="[Measures].[Sum of Estimated_Restocked_Qty]" caption="Sum of Estimated_Restocked_Qty" measure="1" displayFolder="" measureGroup="Table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68.684450231478" backgroundQuery="1" createdVersion="8" refreshedVersion="8" minRefreshableVersion="3" recordCount="0" supportSubquery="1" supportAdvancedDrill="1" xr:uid="{DB69FCEF-6703-45D7-BDEB-BE5159F3D0B4}">
  <cacheSource type="external" connectionId="1"/>
  <cacheFields count="4">
    <cacheField name="[Table1].[Status].[Status]" caption="Status" numFmtId="0" hierarchy="10" level="1">
      <sharedItems containsSemiMixedTypes="0" containsNonDate="0" containsString="0"/>
    </cacheField>
    <cacheField name="[Table1].[Warehouse].[Warehouse]" caption="Warehouse" numFmtId="0" hierarchy="3" level="1">
      <sharedItems count="5">
        <s v="California"/>
        <s v="Florida"/>
        <s v="Illinois"/>
        <s v="New York"/>
        <s v="Texas"/>
      </sharedItems>
    </cacheField>
    <cacheField name="[Measures].[Expected Restocked Qty]" caption="Expected Restocked Qty" numFmtId="0" hierarchy="26" level="32767"/>
    <cacheField name="[Table1].[Year].[Year]" caption="Year" numFmtId="0" hierarchy="14" level="1">
      <sharedItems containsSemiMixedTypes="0" containsNonDate="0" containsString="0"/>
    </cacheField>
  </cacheFields>
  <cacheHierarchies count="31">
    <cacheHierarchy uniqueName="[Table1].[Item_ID]" caption="Item_ID" attribute="1" defaultMemberUniqueName="[Table1].[Item_ID].[All]" allUniqueName="[Table1].[Item_ID].[All]" dimensionUniqueName="[Table1]" displayFolder="" count="0" memberValueDatatype="20" unbalanced="0"/>
    <cacheHierarchy uniqueName="[Table1].[Item_Name]" caption="Item_Name" attribute="1" defaultMemberUniqueName="[Table1].[Item_Name].[All]" allUniqueName="[Table1].[Item_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Warehouse]" caption="Warehouse" attribute="1" defaultMemberUniqueName="[Table1].[Warehouse].[All]" allUniqueName="[Table1].[Warehouse].[All]" dimensionUniqueName="[Table1]" displayFolder="" count="2" memberValueDatatype="130" unbalanced="0">
      <fieldsUsage count="2">
        <fieldUsage x="-1"/>
        <fieldUsage x="1"/>
      </fieldsUsage>
    </cacheHierarchy>
    <cacheHierarchy uniqueName="[Table1].[Supplier]" caption="Supplier" attribute="1" defaultMemberUniqueName="[Table1].[Supplier].[All]" allUniqueName="[Table1].[Supplier].[All]" dimensionUniqueName="[Table1]" displayFolder="" count="0" memberValueDatatype="130" unbalanced="0"/>
    <cacheHierarchy uniqueName="[Table1].[Stock_Quantity]" caption="Stock_Quantity" attribute="1" defaultMemberUniqueName="[Table1].[Stock_Quantity].[All]" allUniqueName="[Table1].[Stock_Quantity].[All]" dimensionUniqueName="[Table1]" displayFolder="" count="0" memberValueDatatype="20" unbalanced="0"/>
    <cacheHierarchy uniqueName="[Table1].[Unit_Cost]" caption="Unit_Cost" attribute="1" defaultMemberUniqueName="[Table1].[Unit_Cost].[All]" allUniqueName="[Table1].[Unit_Cost].[All]" dimensionUniqueName="[Table1]" displayFolder="" count="0" memberValueDatatype="5" unbalanced="0"/>
    <cacheHierarchy uniqueName="[Table1].[Reorder_Level]" caption="Reorder_Level" attribute="1" defaultMemberUniqueName="[Table1].[Reorder_Level].[All]" allUniqueName="[Table1].[Reorder_Level].[All]" dimensionUniqueName="[Table1]" displayFolder="" count="0" memberValueDatatype="20" unbalanced="0"/>
    <cacheHierarchy uniqueName="[Table1].[Estimated_Restocked_Qty]" caption="Estimated_Restocked_Qty" attribute="1" defaultMemberUniqueName="[Table1].[Estimated_Restocked_Qty].[All]" allUniqueName="[Table1].[Estimated_Restocked_Qty].[All]" dimensionUniqueName="[Table1]" displayFolder="" count="0" memberValueDatatype="20" unbalanced="0"/>
    <cacheHierarchy uniqueName="[Table1].[Last_Restock_Date]" caption="Last_Restock_Date" attribute="1" time="1" defaultMemberUniqueName="[Table1].[Last_Restock_Date].[All]" allUniqueName="[Table1].[Last_Restock_Date].[All]" dimensionUniqueName="[Table1]" displayFolder="" count="0" memberValueDatatype="7" unbalanced="0"/>
    <cacheHierarchy uniqueName="[Table1].[Status]" caption="Status" attribute="1" defaultMemberUniqueName="[Table1].[Status].[All]" allUniqueName="[Table1].[Status].[All]" dimensionUniqueName="[Table1]" displayFolder="" count="2" memberValueDatatype="130" unbalanced="0">
      <fieldsUsage count="2">
        <fieldUsage x="-1"/>
        <fieldUsage x="0"/>
      </fieldsUsage>
    </cacheHierarchy>
    <cacheHierarchy uniqueName="[Table1].[Last_Restock_Date (Year)]" caption="Last_Restock_Date (Year)" attribute="1" defaultMemberUniqueName="[Table1].[Last_Restock_Date (Year)].[All]" allUniqueName="[Table1].[Last_Restock_Date (Year)].[All]" dimensionUniqueName="[Table1]" displayFolder="" count="0" memberValueDatatype="130" unbalanced="0"/>
    <cacheHierarchy uniqueName="[Table1].[Last_Restock_Date (Quarter)]" caption="Last_Restock_Date (Quarter)" attribute="1" defaultMemberUniqueName="[Table1].[Last_Restock_Date (Quarter)].[All]" allUniqueName="[Table1].[Last_Restock_Date (Quarter)].[All]" dimensionUniqueName="[Table1]" displayFolder="" count="0" memberValueDatatype="130" unbalanced="0"/>
    <cacheHierarchy uniqueName="[Table1].[Last_Restock_Date (Month)]" caption="Last_Restock_Date (Month)" attribute="1" defaultMemberUniqueName="[Table1].[Last_Restock_Date (Month)].[All]" allUniqueName="[Table1].[Last_Restock_Date (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fieldsUsage count="2">
        <fieldUsage x="-1"/>
        <fieldUsage x="3"/>
      </fieldsUsage>
    </cacheHierarchy>
    <cacheHierarchy uniqueName="[Table1].[Month_Year]" caption="Month_Year" attribute="1" defaultMemberUniqueName="[Table1].[Month_Year].[All]" allUniqueName="[Table1].[Month_Year].[All]" dimensionUniqueName="[Table1]" displayFolder="" count="0" memberValueDatatype="130" unbalanced="0"/>
    <cacheHierarchy uniqueName="[Table1].[Month_Number]" caption="Month_Number" attribute="1" defaultMemberUniqueName="[Table1].[Month_Number].[All]" allUniqueName="[Table1].[Month_Number].[All]" dimensionUniqueName="[Table1]" displayFolder="" count="0" memberValueDatatype="20" unbalanced="0"/>
    <cacheHierarchy uniqueName="[Table1].[Quarter]" caption="Quarter" attribute="1" defaultMemberUniqueName="[Table1].[Quarter].[All]" allUniqueName="[Table1].[Quarter].[All]" dimensionUniqueName="[Table1]" displayFolder="" count="2" memberValueDatatype="130" unbalanced="0"/>
    <cacheHierarchy uniqueName="[Table1].[Month_Label]" caption="Month_Label" attribute="1" defaultMemberUniqueName="[Table1].[Month_Label].[All]" allUniqueName="[Table1].[Month_Label].[All]" dimensionUniqueName="[Table1]" displayFolder="" count="0" memberValueDatatype="130" unbalanced="0"/>
    <cacheHierarchy uniqueName="[Table1].[Last_Restock_Date (Month Index)]" caption="Last_Restock_Date (Month Index)" attribute="1" defaultMemberUniqueName="[Table1].[Last_Restock_Date (Month Index)].[All]" allUniqueName="[Table1].[Last_Restock_Date (Month Index)].[All]" dimensionUniqueName="[Table1]" displayFolder="" count="0" memberValueDatatype="20" unbalanced="0" hidden="1"/>
    <cacheHierarchy uniqueName="[Measures].[Total Stock Quantity]" caption="Total Stock Quantity" measure="1" displayFolder="" measureGroup="Table1" count="0"/>
    <cacheHierarchy uniqueName="[Measures].[Total Investory Value]" caption="Total Investory Value" measure="1" displayFolder="" measureGroup="Table1" count="0"/>
    <cacheHierarchy uniqueName="[Measures].[Total Items]" caption="Total Items" measure="1" displayFolder="" measureGroup="Table1" count="0"/>
    <cacheHierarchy uniqueName="[Measures].[Average Unit Cost ($)]" caption="Average Unit Cost ($)" measure="1" displayFolder="" measureGroup="Table1" count="0"/>
    <cacheHierarchy uniqueName="[Measures].[Reorder Required Items]" caption="Reorder Required Items" measure="1" displayFolder="" measureGroup="Table1" count="0"/>
    <cacheHierarchy uniqueName="[Measures].[Reorder Rate (%)]" caption="Reorder Rate (%)" measure="1" displayFolder="" measureGroup="Table1" count="0"/>
    <cacheHierarchy uniqueName="[Measures].[Expected Restocked Qty]" caption="Expected Restocked Qty" measure="1" displayFolder="" measureGroup="Table1" count="0" oneField="1">
      <fieldsUsage count="1">
        <fieldUsage x="2"/>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tock_Quantity]" caption="Sum of Stock_Quantity" measure="1" displayFolder="" measureGroup="Table1" count="0" hidden="1">
      <extLst>
        <ext xmlns:x15="http://schemas.microsoft.com/office/spreadsheetml/2010/11/main" uri="{B97F6D7D-B522-45F9-BDA1-12C45D357490}">
          <x15:cacheHierarchy aggregatedColumn="5"/>
        </ext>
      </extLst>
    </cacheHierarchy>
    <cacheHierarchy uniqueName="[Measures].[Sum of Estimated_Restocked_Qty]" caption="Sum of Estimated_Restocked_Qty" measure="1" displayFolder="" measureGroup="Table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68.684451157409" backgroundQuery="1" createdVersion="8" refreshedVersion="8" minRefreshableVersion="3" recordCount="0" supportSubquery="1" supportAdvancedDrill="1" xr:uid="{CAD2AF98-37FD-4D90-B9F1-1ED3008A1760}">
  <cacheSource type="external" connectionId="1"/>
  <cacheFields count="4">
    <cacheField name="[Table1].[Status].[Status]" caption="Status" numFmtId="0" hierarchy="10" level="1">
      <sharedItems containsSemiMixedTypes="0" containsNonDate="0" containsString="0"/>
    </cacheField>
    <cacheField name="[Measures].[Expected Restocked Qty]" caption="Expected Restocked Qty" numFmtId="0" hierarchy="26" level="32767"/>
    <cacheField name="[Table1].[Month_Label].[Month_Label]" caption="Month_Label" numFmtId="0" hierarchy="18" level="1">
      <sharedItems count="12">
        <s v="Apr"/>
        <s v="Aug"/>
        <s v="Dec"/>
        <s v="Feb"/>
        <s v="Jan"/>
        <s v="Jul"/>
        <s v="Jun"/>
        <s v="Mar"/>
        <s v="May"/>
        <s v="Nov"/>
        <s v="Oct"/>
        <s v="Sep"/>
      </sharedItems>
    </cacheField>
    <cacheField name="[Table1].[Year].[Year]" caption="Year" numFmtId="0" hierarchy="14" level="1">
      <sharedItems containsSemiMixedTypes="0" containsNonDate="0" containsString="0"/>
    </cacheField>
  </cacheFields>
  <cacheHierarchies count="31">
    <cacheHierarchy uniqueName="[Table1].[Item_ID]" caption="Item_ID" attribute="1" defaultMemberUniqueName="[Table1].[Item_ID].[All]" allUniqueName="[Table1].[Item_ID].[All]" dimensionUniqueName="[Table1]" displayFolder="" count="0" memberValueDatatype="20" unbalanced="0"/>
    <cacheHierarchy uniqueName="[Table1].[Item_Name]" caption="Item_Name" attribute="1" defaultMemberUniqueName="[Table1].[Item_Name].[All]" allUniqueName="[Table1].[Item_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Warehouse]" caption="Warehouse" attribute="1" defaultMemberUniqueName="[Table1].[Warehouse].[All]" allUniqueName="[Table1].[Warehouse].[All]" dimensionUniqueName="[Table1]" displayFolder="" count="2" memberValueDatatype="130" unbalanced="0"/>
    <cacheHierarchy uniqueName="[Table1].[Supplier]" caption="Supplier" attribute="1" defaultMemberUniqueName="[Table1].[Supplier].[All]" allUniqueName="[Table1].[Supplier].[All]" dimensionUniqueName="[Table1]" displayFolder="" count="0" memberValueDatatype="130" unbalanced="0"/>
    <cacheHierarchy uniqueName="[Table1].[Stock_Quantity]" caption="Stock_Quantity" attribute="1" defaultMemberUniqueName="[Table1].[Stock_Quantity].[All]" allUniqueName="[Table1].[Stock_Quantity].[All]" dimensionUniqueName="[Table1]" displayFolder="" count="0" memberValueDatatype="20" unbalanced="0"/>
    <cacheHierarchy uniqueName="[Table1].[Unit_Cost]" caption="Unit_Cost" attribute="1" defaultMemberUniqueName="[Table1].[Unit_Cost].[All]" allUniqueName="[Table1].[Unit_Cost].[All]" dimensionUniqueName="[Table1]" displayFolder="" count="0" memberValueDatatype="5" unbalanced="0"/>
    <cacheHierarchy uniqueName="[Table1].[Reorder_Level]" caption="Reorder_Level" attribute="1" defaultMemberUniqueName="[Table1].[Reorder_Level].[All]" allUniqueName="[Table1].[Reorder_Level].[All]" dimensionUniqueName="[Table1]" displayFolder="" count="0" memberValueDatatype="20" unbalanced="0"/>
    <cacheHierarchy uniqueName="[Table1].[Estimated_Restocked_Qty]" caption="Estimated_Restocked_Qty" attribute="1" defaultMemberUniqueName="[Table1].[Estimated_Restocked_Qty].[All]" allUniqueName="[Table1].[Estimated_Restocked_Qty].[All]" dimensionUniqueName="[Table1]" displayFolder="" count="0" memberValueDatatype="20" unbalanced="0"/>
    <cacheHierarchy uniqueName="[Table1].[Last_Restock_Date]" caption="Last_Restock_Date" attribute="1" time="1" defaultMemberUniqueName="[Table1].[Last_Restock_Date].[All]" allUniqueName="[Table1].[Last_Restock_Date].[All]" dimensionUniqueName="[Table1]" displayFolder="" count="0" memberValueDatatype="7" unbalanced="0"/>
    <cacheHierarchy uniqueName="[Table1].[Status]" caption="Status" attribute="1" defaultMemberUniqueName="[Table1].[Status].[All]" allUniqueName="[Table1].[Status].[All]" dimensionUniqueName="[Table1]" displayFolder="" count="2" memberValueDatatype="130" unbalanced="0">
      <fieldsUsage count="2">
        <fieldUsage x="-1"/>
        <fieldUsage x="0"/>
      </fieldsUsage>
    </cacheHierarchy>
    <cacheHierarchy uniqueName="[Table1].[Last_Restock_Date (Year)]" caption="Last_Restock_Date (Year)" attribute="1" defaultMemberUniqueName="[Table1].[Last_Restock_Date (Year)].[All]" allUniqueName="[Table1].[Last_Restock_Date (Year)].[All]" dimensionUniqueName="[Table1]" displayFolder="" count="0" memberValueDatatype="130" unbalanced="0"/>
    <cacheHierarchy uniqueName="[Table1].[Last_Restock_Date (Quarter)]" caption="Last_Restock_Date (Quarter)" attribute="1" defaultMemberUniqueName="[Table1].[Last_Restock_Date (Quarter)].[All]" allUniqueName="[Table1].[Last_Restock_Date (Quarter)].[All]" dimensionUniqueName="[Table1]" displayFolder="" count="0" memberValueDatatype="130" unbalanced="0"/>
    <cacheHierarchy uniqueName="[Table1].[Last_Restock_Date (Month)]" caption="Last_Restock_Date (Month)" attribute="1" defaultMemberUniqueName="[Table1].[Last_Restock_Date (Month)].[All]" allUniqueName="[Table1].[Last_Restock_Date (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fieldsUsage count="2">
        <fieldUsage x="-1"/>
        <fieldUsage x="3"/>
      </fieldsUsage>
    </cacheHierarchy>
    <cacheHierarchy uniqueName="[Table1].[Month_Year]" caption="Month_Year" attribute="1" defaultMemberUniqueName="[Table1].[Month_Year].[All]" allUniqueName="[Table1].[Month_Year].[All]" dimensionUniqueName="[Table1]" displayFolder="" count="0" memberValueDatatype="130" unbalanced="0"/>
    <cacheHierarchy uniqueName="[Table1].[Month_Number]" caption="Month_Number" attribute="1" defaultMemberUniqueName="[Table1].[Month_Number].[All]" allUniqueName="[Table1].[Month_Number].[All]" dimensionUniqueName="[Table1]" displayFolder="" count="0" memberValueDatatype="20" unbalanced="0"/>
    <cacheHierarchy uniqueName="[Table1].[Quarter]" caption="Quarter" attribute="1" defaultMemberUniqueName="[Table1].[Quarter].[All]" allUniqueName="[Table1].[Quarter].[All]" dimensionUniqueName="[Table1]" displayFolder="" count="2" memberValueDatatype="130" unbalanced="0"/>
    <cacheHierarchy uniqueName="[Table1].[Month_Label]" caption="Month_Label" attribute="1" defaultMemberUniqueName="[Table1].[Month_Label].[All]" allUniqueName="[Table1].[Month_Label].[All]" dimensionUniqueName="[Table1]" displayFolder="" count="2" memberValueDatatype="130" unbalanced="0">
      <fieldsUsage count="2">
        <fieldUsage x="-1"/>
        <fieldUsage x="2"/>
      </fieldsUsage>
    </cacheHierarchy>
    <cacheHierarchy uniqueName="[Table1].[Last_Restock_Date (Month Index)]" caption="Last_Restock_Date (Month Index)" attribute="1" defaultMemberUniqueName="[Table1].[Last_Restock_Date (Month Index)].[All]" allUniqueName="[Table1].[Last_Restock_Date (Month Index)].[All]" dimensionUniqueName="[Table1]" displayFolder="" count="0" memberValueDatatype="20" unbalanced="0" hidden="1"/>
    <cacheHierarchy uniqueName="[Measures].[Total Stock Quantity]" caption="Total Stock Quantity" measure="1" displayFolder="" measureGroup="Table1" count="0"/>
    <cacheHierarchy uniqueName="[Measures].[Total Investory Value]" caption="Total Investory Value" measure="1" displayFolder="" measureGroup="Table1" count="0"/>
    <cacheHierarchy uniqueName="[Measures].[Total Items]" caption="Total Items" measure="1" displayFolder="" measureGroup="Table1" count="0"/>
    <cacheHierarchy uniqueName="[Measures].[Average Unit Cost ($)]" caption="Average Unit Cost ($)" measure="1" displayFolder="" measureGroup="Table1" count="0"/>
    <cacheHierarchy uniqueName="[Measures].[Reorder Required Items]" caption="Reorder Required Items" measure="1" displayFolder="" measureGroup="Table1" count="0"/>
    <cacheHierarchy uniqueName="[Measures].[Reorder Rate (%)]" caption="Reorder Rate (%)" measure="1" displayFolder="" measureGroup="Table1" count="0"/>
    <cacheHierarchy uniqueName="[Measures].[Expected Restocked Qty]" caption="Expected Restocked Qty" measure="1" displayFolder="" measureGroup="Table1" count="0" oneField="1">
      <fieldsUsage count="1">
        <fieldUsage x="1"/>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tock_Quantity]" caption="Sum of Stock_Quantity" measure="1" displayFolder="" measureGroup="Table1" count="0" hidden="1">
      <extLst>
        <ext xmlns:x15="http://schemas.microsoft.com/office/spreadsheetml/2010/11/main" uri="{B97F6D7D-B522-45F9-BDA1-12C45D357490}">
          <x15:cacheHierarchy aggregatedColumn="5"/>
        </ext>
      </extLst>
    </cacheHierarchy>
    <cacheHierarchy uniqueName="[Measures].[Sum of Estimated_Restocked_Qty]" caption="Sum of Estimated_Restocked_Qty" measure="1" displayFolder="" measureGroup="Table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68.684451967594" backgroundQuery="1" createdVersion="8" refreshedVersion="8" minRefreshableVersion="3" recordCount="0" supportSubquery="1" supportAdvancedDrill="1" xr:uid="{A6ECB44A-4D72-4F8F-B40F-50B1365D5D7E}">
  <cacheSource type="external" connectionId="1"/>
  <cacheFields count="7">
    <cacheField name="[Table1].[Status].[Status]" caption="Status" numFmtId="0" hierarchy="10" level="1">
      <sharedItems containsSemiMixedTypes="0" containsNonDate="0" containsString="0"/>
    </cacheField>
    <cacheField name="[Table1].[Supplier].[Supplier]" caption="Supplier" numFmtId="0" hierarchy="4" level="1">
      <sharedItems count="6">
        <s v="Elite Traders Group"/>
        <s v="Global Supplies Ltd."/>
        <s v="National Distribution LLC"/>
        <s v="Prime Wholesale Co."/>
        <s v="TechSource Inc."/>
        <s v="Urban Retail Partners"/>
      </sharedItems>
    </cacheField>
    <cacheField name="[Measures].[Total Items]" caption="Total Items" numFmtId="0" hierarchy="22" level="32767"/>
    <cacheField name="[Measures].[Total Stock Quantity]" caption="Total Stock Quantity" numFmtId="0" hierarchy="20" level="32767"/>
    <cacheField name="[Measures].[Expected Restocked Qty]" caption="Expected Restocked Qty" numFmtId="0" hierarchy="26" level="32767"/>
    <cacheField name="[Measures].[Average Unit Cost ($)]" caption="Average Unit Cost ($)" numFmtId="0" hierarchy="23" level="32767"/>
    <cacheField name="[Table1].[Year].[Year]" caption="Year" numFmtId="0" hierarchy="14" level="1">
      <sharedItems containsSemiMixedTypes="0" containsNonDate="0" containsString="0"/>
    </cacheField>
  </cacheFields>
  <cacheHierarchies count="31">
    <cacheHierarchy uniqueName="[Table1].[Item_ID]" caption="Item_ID" attribute="1" defaultMemberUniqueName="[Table1].[Item_ID].[All]" allUniqueName="[Table1].[Item_ID].[All]" dimensionUniqueName="[Table1]" displayFolder="" count="0" memberValueDatatype="20" unbalanced="0"/>
    <cacheHierarchy uniqueName="[Table1].[Item_Name]" caption="Item_Name" attribute="1" defaultMemberUniqueName="[Table1].[Item_Name].[All]" allUniqueName="[Table1].[Item_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Warehouse]" caption="Warehouse" attribute="1" defaultMemberUniqueName="[Table1].[Warehouse].[All]" allUniqueName="[Table1].[Warehouse].[All]" dimensionUniqueName="[Table1]" displayFolder="" count="2" memberValueDatatype="130" unbalanced="0"/>
    <cacheHierarchy uniqueName="[Table1].[Supplier]" caption="Supplier" attribute="1" defaultMemberUniqueName="[Table1].[Supplier].[All]" allUniqueName="[Table1].[Supplier].[All]" dimensionUniqueName="[Table1]" displayFolder="" count="2" memberValueDatatype="130" unbalanced="0">
      <fieldsUsage count="2">
        <fieldUsage x="-1"/>
        <fieldUsage x="1"/>
      </fieldsUsage>
    </cacheHierarchy>
    <cacheHierarchy uniqueName="[Table1].[Stock_Quantity]" caption="Stock_Quantity" attribute="1" defaultMemberUniqueName="[Table1].[Stock_Quantity].[All]" allUniqueName="[Table1].[Stock_Quantity].[All]" dimensionUniqueName="[Table1]" displayFolder="" count="0" memberValueDatatype="20" unbalanced="0"/>
    <cacheHierarchy uniqueName="[Table1].[Unit_Cost]" caption="Unit_Cost" attribute="1" defaultMemberUniqueName="[Table1].[Unit_Cost].[All]" allUniqueName="[Table1].[Unit_Cost].[All]" dimensionUniqueName="[Table1]" displayFolder="" count="0" memberValueDatatype="5" unbalanced="0"/>
    <cacheHierarchy uniqueName="[Table1].[Reorder_Level]" caption="Reorder_Level" attribute="1" defaultMemberUniqueName="[Table1].[Reorder_Level].[All]" allUniqueName="[Table1].[Reorder_Level].[All]" dimensionUniqueName="[Table1]" displayFolder="" count="0" memberValueDatatype="20" unbalanced="0"/>
    <cacheHierarchy uniqueName="[Table1].[Estimated_Restocked_Qty]" caption="Estimated_Restocked_Qty" attribute="1" defaultMemberUniqueName="[Table1].[Estimated_Restocked_Qty].[All]" allUniqueName="[Table1].[Estimated_Restocked_Qty].[All]" dimensionUniqueName="[Table1]" displayFolder="" count="0" memberValueDatatype="20" unbalanced="0"/>
    <cacheHierarchy uniqueName="[Table1].[Last_Restock_Date]" caption="Last_Restock_Date" attribute="1" time="1" defaultMemberUniqueName="[Table1].[Last_Restock_Date].[All]" allUniqueName="[Table1].[Last_Restock_Date].[All]" dimensionUniqueName="[Table1]" displayFolder="" count="0" memberValueDatatype="7" unbalanced="0"/>
    <cacheHierarchy uniqueName="[Table1].[Status]" caption="Status" attribute="1" defaultMemberUniqueName="[Table1].[Status].[All]" allUniqueName="[Table1].[Status].[All]" dimensionUniqueName="[Table1]" displayFolder="" count="2" memberValueDatatype="130" unbalanced="0">
      <fieldsUsage count="2">
        <fieldUsage x="-1"/>
        <fieldUsage x="0"/>
      </fieldsUsage>
    </cacheHierarchy>
    <cacheHierarchy uniqueName="[Table1].[Last_Restock_Date (Year)]" caption="Last_Restock_Date (Year)" attribute="1" defaultMemberUniqueName="[Table1].[Last_Restock_Date (Year)].[All]" allUniqueName="[Table1].[Last_Restock_Date (Year)].[All]" dimensionUniqueName="[Table1]" displayFolder="" count="0" memberValueDatatype="130" unbalanced="0"/>
    <cacheHierarchy uniqueName="[Table1].[Last_Restock_Date (Quarter)]" caption="Last_Restock_Date (Quarter)" attribute="1" defaultMemberUniqueName="[Table1].[Last_Restock_Date (Quarter)].[All]" allUniqueName="[Table1].[Last_Restock_Date (Quarter)].[All]" dimensionUniqueName="[Table1]" displayFolder="" count="0" memberValueDatatype="130" unbalanced="0"/>
    <cacheHierarchy uniqueName="[Table1].[Last_Restock_Date (Month)]" caption="Last_Restock_Date (Month)" attribute="1" defaultMemberUniqueName="[Table1].[Last_Restock_Date (Month)].[All]" allUniqueName="[Table1].[Last_Restock_Date (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fieldsUsage count="2">
        <fieldUsage x="-1"/>
        <fieldUsage x="6"/>
      </fieldsUsage>
    </cacheHierarchy>
    <cacheHierarchy uniqueName="[Table1].[Month_Year]" caption="Month_Year" attribute="1" defaultMemberUniqueName="[Table1].[Month_Year].[All]" allUniqueName="[Table1].[Month_Year].[All]" dimensionUniqueName="[Table1]" displayFolder="" count="0" memberValueDatatype="130" unbalanced="0"/>
    <cacheHierarchy uniqueName="[Table1].[Month_Number]" caption="Month_Number" attribute="1" defaultMemberUniqueName="[Table1].[Month_Number].[All]" allUniqueName="[Table1].[Month_Number].[All]" dimensionUniqueName="[Table1]" displayFolder="" count="0" memberValueDatatype="20" unbalanced="0"/>
    <cacheHierarchy uniqueName="[Table1].[Quarter]" caption="Quarter" attribute="1" defaultMemberUniqueName="[Table1].[Quarter].[All]" allUniqueName="[Table1].[Quarter].[All]" dimensionUniqueName="[Table1]" displayFolder="" count="2" memberValueDatatype="130" unbalanced="0"/>
    <cacheHierarchy uniqueName="[Table1].[Month_Label]" caption="Month_Label" attribute="1" defaultMemberUniqueName="[Table1].[Month_Label].[All]" allUniqueName="[Table1].[Month_Label].[All]" dimensionUniqueName="[Table1]" displayFolder="" count="0" memberValueDatatype="130" unbalanced="0"/>
    <cacheHierarchy uniqueName="[Table1].[Last_Restock_Date (Month Index)]" caption="Last_Restock_Date (Month Index)" attribute="1" defaultMemberUniqueName="[Table1].[Last_Restock_Date (Month Index)].[All]" allUniqueName="[Table1].[Last_Restock_Date (Month Index)].[All]" dimensionUniqueName="[Table1]" displayFolder="" count="0" memberValueDatatype="20" unbalanced="0" hidden="1"/>
    <cacheHierarchy uniqueName="[Measures].[Total Stock Quantity]" caption="Total Stock Quantity" measure="1" displayFolder="" measureGroup="Table1" count="0" oneField="1">
      <fieldsUsage count="1">
        <fieldUsage x="3"/>
      </fieldsUsage>
    </cacheHierarchy>
    <cacheHierarchy uniqueName="[Measures].[Total Investory Value]" caption="Total Investory Value" measure="1" displayFolder="" measureGroup="Table1" count="0"/>
    <cacheHierarchy uniqueName="[Measures].[Total Items]" caption="Total Items" measure="1" displayFolder="" measureGroup="Table1" count="0" oneField="1">
      <fieldsUsage count="1">
        <fieldUsage x="2"/>
      </fieldsUsage>
    </cacheHierarchy>
    <cacheHierarchy uniqueName="[Measures].[Average Unit Cost ($)]" caption="Average Unit Cost ($)" measure="1" displayFolder="" measureGroup="Table1" count="0" oneField="1">
      <fieldsUsage count="1">
        <fieldUsage x="5"/>
      </fieldsUsage>
    </cacheHierarchy>
    <cacheHierarchy uniqueName="[Measures].[Reorder Required Items]" caption="Reorder Required Items" measure="1" displayFolder="" measureGroup="Table1" count="0"/>
    <cacheHierarchy uniqueName="[Measures].[Reorder Rate (%)]" caption="Reorder Rate (%)" measure="1" displayFolder="" measureGroup="Table1" count="0"/>
    <cacheHierarchy uniqueName="[Measures].[Expected Restocked Qty]" caption="Expected Restocked Qty" measure="1" displayFolder="" measureGroup="Table1" count="0" oneField="1">
      <fieldsUsage count="1">
        <fieldUsage x="4"/>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tock_Quantity]" caption="Sum of Stock_Quantity" measure="1" displayFolder="" measureGroup="Table1" count="0" hidden="1">
      <extLst>
        <ext xmlns:x15="http://schemas.microsoft.com/office/spreadsheetml/2010/11/main" uri="{B97F6D7D-B522-45F9-BDA1-12C45D357490}">
          <x15:cacheHierarchy aggregatedColumn="5"/>
        </ext>
      </extLst>
    </cacheHierarchy>
    <cacheHierarchy uniqueName="[Measures].[Sum of Estimated_Restocked_Qty]" caption="Sum of Estimated_Restocked_Qty" measure="1" displayFolder="" measureGroup="Table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68.684452893518" backgroundQuery="1" createdVersion="8" refreshedVersion="8" minRefreshableVersion="3" recordCount="0" supportSubquery="1" supportAdvancedDrill="1" xr:uid="{F5E64B4D-E166-4D0F-9648-3004C7A91B4C}">
  <cacheSource type="external" connectionId="1"/>
  <cacheFields count="5">
    <cacheField name="[Measures].[Total Stock Quantity]" caption="Total Stock Quantity" numFmtId="0" hierarchy="20" level="32767"/>
    <cacheField name="[Table1].[Status].[Status]" caption="Status" numFmtId="0" hierarchy="10" level="1">
      <sharedItems containsSemiMixedTypes="0" containsNonDate="0" containsString="0"/>
    </cacheField>
    <cacheField name="[Table1].[Category].[Category]" caption="Category" numFmtId="0" hierarchy="2" level="1">
      <sharedItems count="5">
        <s v="Clothing"/>
        <s v="Electronics"/>
        <s v="Furniture"/>
        <s v="Groceries"/>
        <s v="Stationery"/>
      </sharedItems>
    </cacheField>
    <cacheField name="[Measures].[Expected Restocked Qty]" caption="Expected Restocked Qty" numFmtId="0" hierarchy="26" level="32767"/>
    <cacheField name="[Table1].[Year].[Year]" caption="Year" numFmtId="0" hierarchy="14" level="1">
      <sharedItems containsSemiMixedTypes="0" containsNonDate="0" containsString="0"/>
    </cacheField>
  </cacheFields>
  <cacheHierarchies count="31">
    <cacheHierarchy uniqueName="[Table1].[Item_ID]" caption="Item_ID" attribute="1" defaultMemberUniqueName="[Table1].[Item_ID].[All]" allUniqueName="[Table1].[Item_ID].[All]" dimensionUniqueName="[Table1]" displayFolder="" count="0" memberValueDatatype="20" unbalanced="0"/>
    <cacheHierarchy uniqueName="[Table1].[Item_Name]" caption="Item_Name" attribute="1" defaultMemberUniqueName="[Table1].[Item_Name].[All]" allUniqueName="[Table1].[Item_Name].[All]" dimensionUniqueName="[Table1]" displayFolder="" count="0" memberValueDatatype="130" unbalanced="0"/>
    <cacheHierarchy uniqueName="[Table1].[Category]" caption="Category" attribute="1" defaultMemberUniqueName="[Table1].[Category].[All]" allUniqueName="[Table1].[Category].[All]" dimensionUniqueName="[Table1]" displayFolder="" count="2" memberValueDatatype="130" unbalanced="0">
      <fieldsUsage count="2">
        <fieldUsage x="-1"/>
        <fieldUsage x="2"/>
      </fieldsUsage>
    </cacheHierarchy>
    <cacheHierarchy uniqueName="[Table1].[Warehouse]" caption="Warehouse" attribute="1" defaultMemberUniqueName="[Table1].[Warehouse].[All]" allUniqueName="[Table1].[Warehouse].[All]" dimensionUniqueName="[Table1]" displayFolder="" count="0" memberValueDatatype="130" unbalanced="0"/>
    <cacheHierarchy uniqueName="[Table1].[Supplier]" caption="Supplier" attribute="1" defaultMemberUniqueName="[Table1].[Supplier].[All]" allUniqueName="[Table1].[Supplier].[All]" dimensionUniqueName="[Table1]" displayFolder="" count="0" memberValueDatatype="130" unbalanced="0"/>
    <cacheHierarchy uniqueName="[Table1].[Stock_Quantity]" caption="Stock_Quantity" attribute="1" defaultMemberUniqueName="[Table1].[Stock_Quantity].[All]" allUniqueName="[Table1].[Stock_Quantity].[All]" dimensionUniqueName="[Table1]" displayFolder="" count="0" memberValueDatatype="20" unbalanced="0"/>
    <cacheHierarchy uniqueName="[Table1].[Unit_Cost]" caption="Unit_Cost" attribute="1" defaultMemberUniqueName="[Table1].[Unit_Cost].[All]" allUniqueName="[Table1].[Unit_Cost].[All]" dimensionUniqueName="[Table1]" displayFolder="" count="0" memberValueDatatype="5" unbalanced="0"/>
    <cacheHierarchy uniqueName="[Table1].[Reorder_Level]" caption="Reorder_Level" attribute="1" defaultMemberUniqueName="[Table1].[Reorder_Level].[All]" allUniqueName="[Table1].[Reorder_Level].[All]" dimensionUniqueName="[Table1]" displayFolder="" count="0" memberValueDatatype="20" unbalanced="0"/>
    <cacheHierarchy uniqueName="[Table1].[Estimated_Restocked_Qty]" caption="Estimated_Restocked_Qty" attribute="1" defaultMemberUniqueName="[Table1].[Estimated_Restocked_Qty].[All]" allUniqueName="[Table1].[Estimated_Restocked_Qty].[All]" dimensionUniqueName="[Table1]" displayFolder="" count="0" memberValueDatatype="20" unbalanced="0"/>
    <cacheHierarchy uniqueName="[Table1].[Last_Restock_Date]" caption="Last_Restock_Date" attribute="1" time="1" defaultMemberUniqueName="[Table1].[Last_Restock_Date].[All]" allUniqueName="[Table1].[Last_Restock_Date].[All]" dimensionUniqueName="[Table1]" displayFolder="" count="0" memberValueDatatype="7" unbalanced="0"/>
    <cacheHierarchy uniqueName="[Table1].[Status]" caption="Status" attribute="1" defaultMemberUniqueName="[Table1].[Status].[All]" allUniqueName="[Table1].[Status].[All]" dimensionUniqueName="[Table1]" displayFolder="" count="2" memberValueDatatype="130" unbalanced="0">
      <fieldsUsage count="2">
        <fieldUsage x="-1"/>
        <fieldUsage x="1"/>
      </fieldsUsage>
    </cacheHierarchy>
    <cacheHierarchy uniqueName="[Table1].[Last_Restock_Date (Year)]" caption="Last_Restock_Date (Year)" attribute="1" defaultMemberUniqueName="[Table1].[Last_Restock_Date (Year)].[All]" allUniqueName="[Table1].[Last_Restock_Date (Year)].[All]" dimensionUniqueName="[Table1]" displayFolder="" count="0" memberValueDatatype="130" unbalanced="0"/>
    <cacheHierarchy uniqueName="[Table1].[Last_Restock_Date (Quarter)]" caption="Last_Restock_Date (Quarter)" attribute="1" defaultMemberUniqueName="[Table1].[Last_Restock_Date (Quarter)].[All]" allUniqueName="[Table1].[Last_Restock_Date (Quarter)].[All]" dimensionUniqueName="[Table1]" displayFolder="" count="0" memberValueDatatype="130" unbalanced="0"/>
    <cacheHierarchy uniqueName="[Table1].[Last_Restock_Date (Month)]" caption="Last_Restock_Date (Month)" attribute="1" defaultMemberUniqueName="[Table1].[Last_Restock_Date (Month)].[All]" allUniqueName="[Table1].[Last_Restock_Date (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fieldsUsage count="2">
        <fieldUsage x="-1"/>
        <fieldUsage x="4"/>
      </fieldsUsage>
    </cacheHierarchy>
    <cacheHierarchy uniqueName="[Table1].[Month_Year]" caption="Month_Year" attribute="1" defaultMemberUniqueName="[Table1].[Month_Year].[All]" allUniqueName="[Table1].[Month_Year].[All]" dimensionUniqueName="[Table1]" displayFolder="" count="0" memberValueDatatype="130" unbalanced="0"/>
    <cacheHierarchy uniqueName="[Table1].[Month_Number]" caption="Month_Number" attribute="1" defaultMemberUniqueName="[Table1].[Month_Number].[All]" allUniqueName="[Table1].[Month_Number].[All]" dimensionUniqueName="[Table1]" displayFolder="" count="0" memberValueDatatype="20" unbalanced="0"/>
    <cacheHierarchy uniqueName="[Table1].[Quarter]" caption="Quarter" attribute="1" defaultMemberUniqueName="[Table1].[Quarter].[All]" allUniqueName="[Table1].[Quarter].[All]" dimensionUniqueName="[Table1]" displayFolder="" count="2" memberValueDatatype="130" unbalanced="0"/>
    <cacheHierarchy uniqueName="[Table1].[Month_Label]" caption="Month_Label" attribute="1" defaultMemberUniqueName="[Table1].[Month_Label].[All]" allUniqueName="[Table1].[Month_Label].[All]" dimensionUniqueName="[Table1]" displayFolder="" count="0" memberValueDatatype="130" unbalanced="0"/>
    <cacheHierarchy uniqueName="[Table1].[Last_Restock_Date (Month Index)]" caption="Last_Restock_Date (Month Index)" attribute="1" defaultMemberUniqueName="[Table1].[Last_Restock_Date (Month Index)].[All]" allUniqueName="[Table1].[Last_Restock_Date (Month Index)].[All]" dimensionUniqueName="[Table1]" displayFolder="" count="0" memberValueDatatype="20" unbalanced="0" hidden="1"/>
    <cacheHierarchy uniqueName="[Measures].[Total Stock Quantity]" caption="Total Stock Quantity" measure="1" displayFolder="" measureGroup="Table1" count="0" oneField="1">
      <fieldsUsage count="1">
        <fieldUsage x="0"/>
      </fieldsUsage>
    </cacheHierarchy>
    <cacheHierarchy uniqueName="[Measures].[Total Investory Value]" caption="Total Investory Value" measure="1" displayFolder="" measureGroup="Table1" count="0"/>
    <cacheHierarchy uniqueName="[Measures].[Total Items]" caption="Total Items" measure="1" displayFolder="" measureGroup="Table1" count="0"/>
    <cacheHierarchy uniqueName="[Measures].[Average Unit Cost ($)]" caption="Average Unit Cost ($)" measure="1" displayFolder="" measureGroup="Table1" count="0"/>
    <cacheHierarchy uniqueName="[Measures].[Reorder Required Items]" caption="Reorder Required Items" measure="1" displayFolder="" measureGroup="Table1" count="0"/>
    <cacheHierarchy uniqueName="[Measures].[Reorder Rate (%)]" caption="Reorder Rate (%)" measure="1" displayFolder="" measureGroup="Table1" count="0"/>
    <cacheHierarchy uniqueName="[Measures].[Expected Restocked Qty]" caption="Expected Restocked Qty" measure="1" displayFolder="" measureGroup="Table1" count="0" oneField="1">
      <fieldsUsage count="1">
        <fieldUsage x="3"/>
      </fieldsUsage>
    </cacheHierarchy>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Stock_Quantity]" caption="Sum of Stock_Quantity" measure="1" displayFolder="" measureGroup="Table1" count="0" hidden="1">
      <extLst>
        <ext xmlns:x15="http://schemas.microsoft.com/office/spreadsheetml/2010/11/main" uri="{B97F6D7D-B522-45F9-BDA1-12C45D357490}">
          <x15:cacheHierarchy aggregatedColumn="5"/>
        </ext>
      </extLst>
    </cacheHierarchy>
    <cacheHierarchy uniqueName="[Measures].[Sum of Estimated_Restocked_Qty]" caption="Sum of Estimated_Restocked_Qty" measure="1" displayFolder="" measureGroup="Table1" count="0" hidden="1">
      <extLst>
        <ext xmlns:x15="http://schemas.microsoft.com/office/spreadsheetml/2010/11/main" uri="{B97F6D7D-B522-45F9-BDA1-12C45D357490}">
          <x15:cacheHierarchy aggregatedColumn="8"/>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64.785732523145" backgroundQuery="1" createdVersion="3" refreshedVersion="8" minRefreshableVersion="3" recordCount="0" supportSubquery="1" supportAdvancedDrill="1" xr:uid="{66C242A1-DE83-4BF0-9E09-E2C4F3804ACC}">
  <cacheSource type="external" connectionId="1">
    <extLst>
      <ext xmlns:x14="http://schemas.microsoft.com/office/spreadsheetml/2009/9/main" uri="{F057638F-6D5F-4e77-A914-E7F072B9BCA8}">
        <x14:sourceConnection name="ThisWorkbookDataModel"/>
      </ext>
    </extLst>
  </cacheSource>
  <cacheFields count="0"/>
  <cacheHierarchies count="30">
    <cacheHierarchy uniqueName="[Table1].[Item_ID]" caption="Item_ID" attribute="1" defaultMemberUniqueName="[Table1].[Item_ID].[All]" allUniqueName="[Table1].[Item_ID].[All]" dimensionUniqueName="[Table1]" displayFolder="" count="0" memberValueDatatype="20" unbalanced="0"/>
    <cacheHierarchy uniqueName="[Table1].[Item_Name]" caption="Item_Name" attribute="1" defaultMemberUniqueName="[Table1].[Item_Name].[All]" allUniqueName="[Table1].[Item_Name].[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Warehouse]" caption="Warehouse" attribute="1" defaultMemberUniqueName="[Table1].[Warehouse].[All]" allUniqueName="[Table1].[Warehouse].[All]" dimensionUniqueName="[Table1]" displayFolder="" count="0" memberValueDatatype="130" unbalanced="0"/>
    <cacheHierarchy uniqueName="[Table1].[Supplier]" caption="Supplier" attribute="1" defaultMemberUniqueName="[Table1].[Supplier].[All]" allUniqueName="[Table1].[Supplier].[All]" dimensionUniqueName="[Table1]" displayFolder="" count="0" memberValueDatatype="130" unbalanced="0"/>
    <cacheHierarchy uniqueName="[Table1].[Stock_Quantity]" caption="Stock_Quantity" attribute="1" defaultMemberUniqueName="[Table1].[Stock_Quantity].[All]" allUniqueName="[Table1].[Stock_Quantity].[All]" dimensionUniqueName="[Table1]" displayFolder="" count="0" memberValueDatatype="20" unbalanced="0"/>
    <cacheHierarchy uniqueName="[Table1].[Unit_Cost]" caption="Unit_Cost" attribute="1" defaultMemberUniqueName="[Table1].[Unit_Cost].[All]" allUniqueName="[Table1].[Unit_Cost].[All]" dimensionUniqueName="[Table1]" displayFolder="" count="0" memberValueDatatype="5" unbalanced="0"/>
    <cacheHierarchy uniqueName="[Table1].[Reorder_Level]" caption="Reorder_Level" attribute="1" defaultMemberUniqueName="[Table1].[Reorder_Level].[All]" allUniqueName="[Table1].[Reorder_Level].[All]" dimensionUniqueName="[Table1]" displayFolder="" count="0" memberValueDatatype="20" unbalanced="0"/>
    <cacheHierarchy uniqueName="[Table1].[Estimated_Restocked_Qty]" caption="Estimated_Restocked_Qty" attribute="1" defaultMemberUniqueName="[Table1].[Estimated_Restocked_Qty].[All]" allUniqueName="[Table1].[Estimated_Restocked_Qty].[All]" dimensionUniqueName="[Table1]" displayFolder="" count="0" memberValueDatatype="20" unbalanced="0"/>
    <cacheHierarchy uniqueName="[Table1].[Last_Restock_Date]" caption="Last_Restock_Date" attribute="1" time="1" defaultMemberUniqueName="[Table1].[Last_Restock_Date].[All]" allUniqueName="[Table1].[Last_Restock_Date].[All]" dimensionUniqueName="[Table1]" displayFolder="" count="0" memberValueDatatype="7" unbalanced="0"/>
    <cacheHierarchy uniqueName="[Table1].[Status]" caption="Status" attribute="1" defaultMemberUniqueName="[Table1].[Status].[All]" allUniqueName="[Table1].[Status].[All]" dimensionUniqueName="[Table1]" displayFolder="" count="0" memberValueDatatype="130" unbalanced="0"/>
    <cacheHierarchy uniqueName="[Table1].[Last_Restock_Date (Year)]" caption="Last_Restock_Date (Year)" attribute="1" defaultMemberUniqueName="[Table1].[Last_Restock_Date (Year)].[All]" allUniqueName="[Table1].[Last_Restock_Date (Year)].[All]" dimensionUniqueName="[Table1]" displayFolder="" count="0" memberValueDatatype="130" unbalanced="0"/>
    <cacheHierarchy uniqueName="[Table1].[Last_Restock_Date (Quarter)]" caption="Last_Restock_Date (Quarter)" attribute="1" defaultMemberUniqueName="[Table1].[Last_Restock_Date (Quarter)].[All]" allUniqueName="[Table1].[Last_Restock_Date (Quarter)].[All]" dimensionUniqueName="[Table1]" displayFolder="" count="0" memberValueDatatype="130" unbalanced="0"/>
    <cacheHierarchy uniqueName="[Table1].[Last_Restock_Date (Month)]" caption="Last_Restock_Date (Month)" attribute="1" defaultMemberUniqueName="[Table1].[Last_Restock_Date (Month)].[All]" allUniqueName="[Table1].[Last_Restock_Date (Month)].[All]" dimensionUniqueName="[Table1]" displayFolder="" count="0" memberValueDatatype="130" unbalanced="0"/>
    <cacheHierarchy uniqueName="[Table1].[Year]" caption="Year" attribute="1" defaultMemberUniqueName="[Table1].[Year].[All]" allUniqueName="[Table1].[Year].[All]" dimensionUniqueName="[Table1]" displayFolder="" count="2" memberValueDatatype="20" unbalanced="0"/>
    <cacheHierarchy uniqueName="[Table1].[Month_Year]" caption="Month_Year" attribute="1" defaultMemberUniqueName="[Table1].[Month_Year].[All]" allUniqueName="[Table1].[Month_Year].[All]" dimensionUniqueName="[Table1]" displayFolder="" count="0" memberValueDatatype="130" unbalanced="0"/>
    <cacheHierarchy uniqueName="[Table1].[Month_Number]" caption="Month_Number" attribute="1" defaultMemberUniqueName="[Table1].[Month_Number].[All]" allUniqueName="[Table1].[Month_Number].[All]" dimensionUniqueName="[Table1]" displayFolder="" count="0" memberValueDatatype="20" unbalanced="0"/>
    <cacheHierarchy uniqueName="[Table1].[Quarter]" caption="Quarter" attribute="1" defaultMemberUniqueName="[Table1].[Quarter].[All]" allUniqueName="[Table1].[Quarter].[All]" dimensionUniqueName="[Table1]" displayFolder="" count="2" memberValueDatatype="130" unbalanced="0"/>
    <cacheHierarchy uniqueName="[Table1].[Month_Label]" caption="Month_Label" attribute="1" defaultMemberUniqueName="[Table1].[Month_Label].[All]" allUniqueName="[Table1].[Month_Label].[All]" dimensionUniqueName="[Table1]" displayFolder="" count="0" memberValueDatatype="130" unbalanced="0"/>
    <cacheHierarchy uniqueName="[Table1].[Last_Restock_Date (Month Index)]" caption="Last_Restock_Date (Month Index)" attribute="1" defaultMemberUniqueName="[Table1].[Last_Restock_Date (Month Index)].[All]" allUniqueName="[Table1].[Last_Restock_Date (Month Index)].[All]" dimensionUniqueName="[Table1]" displayFolder="" count="0" memberValueDatatype="20" unbalanced="0" hidden="1"/>
    <cacheHierarchy uniqueName="[Measures].[Sum of Stock_Quantity]" caption="Sum of Stock_Quantity" measure="1" displayFolder="" measureGroup="Table1" count="0">
      <extLst>
        <ext xmlns:x15="http://schemas.microsoft.com/office/spreadsheetml/2010/11/main" uri="{B97F6D7D-B522-45F9-BDA1-12C45D357490}">
          <x15:cacheHierarchy aggregatedColumn="5"/>
        </ext>
      </extLst>
    </cacheHierarchy>
    <cacheHierarchy uniqueName="[Measures].[Total Stock Quantity]" caption="Total Stock Quantity" measure="1" displayFolder="" measureGroup="Table1" count="0"/>
    <cacheHierarchy uniqueName="[Measures].[Total Investory Value]" caption="Total Investory Value" measure="1" displayFolder="" measureGroup="Table1" count="0"/>
    <cacheHierarchy uniqueName="[Measures].[Total Items]" caption="Total Items" measure="1" displayFolder="" measureGroup="Table1" count="0"/>
    <cacheHierarchy uniqueName="[Measures].[Average Unit Cost ($)]" caption="Average Unit Cost ($)" measure="1" displayFolder="" measureGroup="Table1" count="0"/>
    <cacheHierarchy uniqueName="[Measures].[Reorder Required Items]" caption="Reorder Required Items" measure="1" displayFolder="" measureGroup="Table1" count="0"/>
    <cacheHierarchy uniqueName="[Measures].[Reorder Rate (%)]" caption="Reorder Rate (%)" measure="1" displayFolder="" measureGroup="Table1" count="0"/>
    <cacheHierarchy uniqueName="[Measures].[Expected Restocked Qty]" caption="Expected Restocked Qty" measure="1" displayFolder="" measureGroup="Table1" count="0"/>
    <cacheHierarchy uniqueName="[Measures].[__XL_Count Table1]" caption="__XL_Count Table1" measure="1" displayFolder="" measureGroup="Table1"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3981455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DF6BD9-C57B-46E9-A778-D8BD31D476EC}" name="PivotTable7" cacheId="6" applyNumberFormats="0" applyBorderFormats="0" applyFontFormats="0" applyPatternFormats="0" applyAlignmentFormats="0" applyWidthHeightFormats="1" dataCaption="Values" tag="d4cc0ed6-8dea-4302-9833-3c0d4dd10395" updatedVersion="8" minRefreshableVersion="3" useAutoFormatting="1" itemPrintTitles="1" createdVersion="8" indent="0" outline="1" outlineData="1" multipleFieldFilters="0" chartFormat="30" rowHeaderCaption="Category">
  <location ref="E16:G22" firstHeaderRow="0" firstDataRow="1" firstDataCol="1"/>
  <pivotFields count="5">
    <pivotField dataField="1" subtotalTop="0" showAll="0" defaultSubtotal="0"/>
    <pivotField allDrilled="1" subtotalTop="0" showAll="0" dataSourceSort="1" defaultSubtotal="0" defaultAttributeDrillState="1"/>
    <pivotField axis="axisRow" allDrilled="1" subtotalTop="0" showAll="0" sortType="ascending" dataSourceSort="1" defaultSubtotal="0" defaultAttributeDrillState="1">
      <items count="5">
        <item x="0"/>
        <item x="1"/>
        <item x="2"/>
        <item x="3"/>
        <item x="4"/>
      </items>
      <autoSortScope>
        <pivotArea dataOnly="0" outline="0" fieldPosition="0">
          <references count="1">
            <reference field="4294967294" count="1" selected="0">
              <x v="1"/>
            </reference>
          </references>
        </pivotArea>
      </autoSortScope>
    </pivotField>
    <pivotField dataField="1" subtotalTop="0" showAll="0" defaultSubtotal="0"/>
    <pivotField allDrilled="1" subtotalTop="0" showAll="0" dataSourceSort="1" defaultSubtotal="0" defaultAttributeDrillState="1"/>
  </pivotFields>
  <rowFields count="1">
    <field x="2"/>
  </rowFields>
  <rowItems count="6">
    <i>
      <x v="2"/>
    </i>
    <i>
      <x v="4"/>
    </i>
    <i>
      <x/>
    </i>
    <i>
      <x v="3"/>
    </i>
    <i>
      <x v="1"/>
    </i>
    <i t="grand">
      <x/>
    </i>
  </rowItems>
  <colFields count="1">
    <field x="-2"/>
  </colFields>
  <colItems count="2">
    <i>
      <x/>
    </i>
    <i i="1">
      <x v="1"/>
    </i>
  </colItems>
  <dataFields count="2">
    <dataField name="Stock Qty" fld="0" subtotal="count" baseField="2" baseItem="0" numFmtId="166"/>
    <dataField name="Restocked Qty" fld="3" subtotal="count" baseField="2" baseItem="0" numFmtId="166"/>
  </dataFields>
  <formats count="3">
    <format dxfId="2">
      <pivotArea outline="0" collapsedLevelsAreSubtotals="1" fieldPosition="0"/>
    </format>
    <format dxfId="1">
      <pivotArea outline="0" collapsedLevelsAreSubtotals="1" fieldPosition="0">
        <references count="1">
          <reference field="4294967294" count="1" selected="0">
            <x v="0"/>
          </reference>
        </references>
      </pivotArea>
    </format>
    <format dxfId="0">
      <pivotArea outline="0" collapsedLevelsAreSubtotals="1" fieldPosition="0">
        <references count="1">
          <reference field="4294967294" count="1" selected="0">
            <x v="1"/>
          </reference>
        </references>
      </pivotArea>
    </format>
  </formats>
  <chartFormats count="3">
    <chartFormat chart="6"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1"/>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Status].&amp;[Sufficient]"/>
      </members>
    </pivotHierarchy>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caption="Stock Qty"/>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caption="Restocked Qty"/>
    <pivotHierarchy dragToRow="0" dragToCol="0" dragToPage="0" dragToData="1"/>
    <pivotHierarchy dragToRow="0" dragToCol="0" dragToPage="0" dragToData="1"/>
    <pivotHierarchy dragToData="1" caption="Total Stock Quantity"/>
    <pivotHierarchy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ventory_Management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ECD6E8C-2DBB-476B-AF24-1A01286E13B9}" name="PivotTable6" cacheId="5" applyNumberFormats="0" applyBorderFormats="0" applyFontFormats="0" applyPatternFormats="0" applyAlignmentFormats="0" applyWidthHeightFormats="1" dataCaption="Values" tag="48bfe167-30cb-4347-b043-98ff5a427f33" updatedVersion="8" minRefreshableVersion="3" useAutoFormatting="1" subtotalHiddenItems="1" itemPrintTitles="1" createdVersion="8" indent="0" outline="1" outlineData="1" multipleFieldFilters="0" rowHeaderCaption="Suppliers">
  <location ref="D24:H31" firstHeaderRow="0" firstDataRow="1" firstDataCol="1"/>
  <pivotFields count="7">
    <pivotField allDrilled="1" subtotalTop="0" showAll="0" dataSourceSort="1" defaultSubtotal="0" defaultAttributeDrillState="1"/>
    <pivotField axis="axisRow" allDrilled="1" subtotalTop="0" showAll="0" dataSourceSort="1" defaultSubtotal="0" defaultAttributeDrillState="1">
      <items count="6">
        <item x="0"/>
        <item x="1"/>
        <item x="2"/>
        <item x="3"/>
        <item x="4"/>
        <item x="5"/>
      </items>
    </pivotField>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Fields count="1">
    <field x="1"/>
  </rowFields>
  <rowItems count="7">
    <i>
      <x/>
    </i>
    <i>
      <x v="1"/>
    </i>
    <i>
      <x v="2"/>
    </i>
    <i>
      <x v="3"/>
    </i>
    <i>
      <x v="4"/>
    </i>
    <i>
      <x v="5"/>
    </i>
    <i t="grand">
      <x/>
    </i>
  </rowItems>
  <colFields count="1">
    <field x="-2"/>
  </colFields>
  <colItems count="4">
    <i>
      <x/>
    </i>
    <i i="1">
      <x v="1"/>
    </i>
    <i i="2">
      <x v="2"/>
    </i>
    <i i="3">
      <x v="3"/>
    </i>
  </colItems>
  <dataFields count="4">
    <dataField name="Items" fld="2" subtotal="count" baseField="0" baseItem="0"/>
    <dataField name="Stocked Qty" fld="3" subtotal="count" baseField="1" baseItem="0" numFmtId="166"/>
    <dataField name="Restocked Qty" fld="4" subtotal="count" baseField="1" baseItem="0"/>
    <dataField name="Avg Cost" fld="5" subtotal="count" baseField="0" baseItem="0"/>
  </dataFields>
  <formats count="10">
    <format dxfId="12">
      <pivotArea outline="0" collapsedLevelsAreSubtotals="1" fieldPosition="0"/>
    </format>
    <format dxfId="11">
      <pivotArea collapsedLevelsAreSubtotals="1" fieldPosition="0">
        <references count="2">
          <reference field="4294967294" count="1" selected="0">
            <x v="3"/>
          </reference>
          <reference field="1" count="0"/>
        </references>
      </pivotArea>
    </format>
    <format dxfId="10">
      <pivotArea outline="0" collapsedLevelsAreSubtotals="1" fieldPosition="0">
        <references count="1">
          <reference field="4294967294" count="1" selected="0">
            <x v="1"/>
          </reference>
        </references>
      </pivotArea>
    </format>
    <format dxfId="9">
      <pivotArea collapsedLevelsAreSubtotals="1" fieldPosition="0">
        <references count="2">
          <reference field="4294967294" count="1" selected="0">
            <x v="2"/>
          </reference>
          <reference field="1" count="0"/>
        </references>
      </pivotArea>
    </format>
    <format dxfId="8">
      <pivotArea field="1" grandRow="1" outline="0" collapsedLevelsAreSubtotals="1" axis="axisRow" fieldPosition="0">
        <references count="1">
          <reference field="4294967294" count="1" selected="0">
            <x v="2"/>
          </reference>
        </references>
      </pivotArea>
    </format>
    <format dxfId="7">
      <pivotArea field="1" grandRow="1" outline="0" collapsedLevelsAreSubtotals="1" axis="axisRow" fieldPosition="0">
        <references count="1">
          <reference field="4294967294" count="1" selected="0">
            <x v="3"/>
          </reference>
        </references>
      </pivotArea>
    </format>
    <format dxfId="6">
      <pivotArea collapsedLevelsAreSubtotals="1" fieldPosition="0">
        <references count="1">
          <reference field="1" count="0"/>
        </references>
      </pivotArea>
    </format>
    <format dxfId="5">
      <pivotArea dataOnly="0" labelOnly="1" fieldPosition="0">
        <references count="1">
          <reference field="1" count="0"/>
        </references>
      </pivotArea>
    </format>
    <format dxfId="4">
      <pivotArea collapsedLevelsAreSubtotals="1" fieldPosition="0">
        <references count="1">
          <reference field="1" count="0"/>
        </references>
      </pivotArea>
    </format>
    <format dxfId="3">
      <pivotArea dataOnly="0" labelOnly="1" fieldPosition="0">
        <references count="1">
          <reference field="1" count="0"/>
        </references>
      </pivotArea>
    </format>
  </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Status].&amp;[Sufficient]"/>
      </members>
    </pivotHierarchy>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caption="Stocked Qty"/>
    <pivotHierarchy dragToRow="0" dragToCol="0" dragToPage="0" dragToData="1"/>
    <pivotHierarchy dragToRow="0" dragToCol="0" dragToPage="0" dragToData="1" caption="Items"/>
    <pivotHierarchy dragToRow="0" dragToCol="0" dragToPage="0" dragToData="1" caption="Avg Cost"/>
    <pivotHierarchy dragToRow="0" dragToCol="0" dragToPage="0" dragToData="1"/>
    <pivotHierarchy dragToRow="0" dragToCol="0" dragToPage="0" dragToData="1"/>
    <pivotHierarchy dragToRow="0" dragToCol="0" dragToPage="0" dragToData="1" caption="Restocked Qty"/>
    <pivotHierarchy dragToRow="0" dragToCol="0" dragToPage="0" dragToData="1"/>
    <pivotHierarchy dragToRow="0" dragToCol="0" dragToPage="0" dragToData="1"/>
    <pivotHierarchy dragToData="1" caption="Total Stock Quantity"/>
    <pivotHierarchy dragToData="1"/>
  </pivotHierarchies>
  <pivotTableStyleInfo name="PivotTable Style 2"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ventory_Management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582001-4008-4703-BF27-E60241252A2D}" name="PivotTable1" cacheId="1" applyNumberFormats="0" applyBorderFormats="0" applyFontFormats="0" applyPatternFormats="0" applyAlignmentFormats="0" applyWidthHeightFormats="1" dataCaption="Values" tag="75fa3f02-6787-4cb4-b9bc-5c2f18bbbb8d" updatedVersion="8" minRefreshableVersion="3" useAutoFormatting="1" itemPrintTitles="1" createdVersion="8" indent="0" outline="1" outlineData="1" multipleFieldFilters="0">
  <location ref="A3:D4" firstHeaderRow="0" firstDataRow="1" firstDataCol="0"/>
  <pivotFields count="6">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numFmtId="166"/>
    <dataField name="Items" fld="1" subtotal="count" baseField="0" baseItem="0"/>
    <dataField fld="2" subtotal="count" baseField="0" baseItem="0" numFmtId="167"/>
    <dataField name="Estimated Restocked Qty" fld="4" baseField="0" baseItem="6" numFmtId="166"/>
  </dataFields>
  <formats count="4">
    <format dxfId="16">
      <pivotArea outline="0" collapsedLevelsAreSubtotals="1" fieldPosition="0"/>
    </format>
    <format dxfId="15">
      <pivotArea outline="0" collapsedLevelsAreSubtotals="1" fieldPosition="0">
        <references count="1">
          <reference field="4294967294" count="1" selected="0">
            <x v="0"/>
          </reference>
        </references>
      </pivotArea>
    </format>
    <format dxfId="14">
      <pivotArea outline="0" collapsedLevelsAreSubtotals="1" fieldPosition="0">
        <references count="1">
          <reference field="4294967294" count="1" selected="0">
            <x v="3"/>
          </reference>
        </references>
      </pivotArea>
    </format>
    <format dxfId="13">
      <pivotArea outline="0" collapsedLevelsAreSubtotals="1" fieldPosition="0">
        <references count="1">
          <reference field="4294967294" count="1" selected="0">
            <x v="2"/>
          </reference>
        </references>
      </pivotArea>
    </format>
  </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Status].&amp;[Sufficient]"/>
      </members>
    </pivotHierarchy>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caption="Item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tock Quantity"/>
    <pivotHierarchy dragToData="1" caption="Estimated Restocked Qty"/>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ventory_Management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856734-8412-4743-B010-94B644C91EDF}" name="PivotTable2" cacheId="2" applyNumberFormats="0" applyBorderFormats="0" applyFontFormats="0" applyPatternFormats="0" applyAlignmentFormats="0" applyWidthHeightFormats="1" dataCaption="Values" tag="d4cc0ed6-8dea-4302-9833-3c0d4dd10395" updatedVersion="8" minRefreshableVersion="3" useAutoFormatting="1" itemPrintTitles="1" createdVersion="8" indent="0" outline="1" outlineData="1" multipleFieldFilters="0" chartFormat="15" rowHeaderCaption="Category">
  <location ref="A8:B14" firstHeaderRow="1" firstDataRow="1" firstDataCol="1"/>
  <pivotFields count="4">
    <pivotField dataField="1" subtotalTop="0" showAll="0" defaultSubtotal="0"/>
    <pivotField allDrilled="1" subtotalTop="0" showAll="0" dataSourceSort="1" defaultSubtotal="0" defaultAttributeDrillState="1"/>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fld="0" subtotal="count" baseField="0" baseItem="0" numFmtId="166"/>
  </dataFields>
  <formats count="2">
    <format dxfId="18">
      <pivotArea outline="0" collapsedLevelsAreSubtotals="1" fieldPosition="0"/>
    </format>
    <format dxfId="17">
      <pivotArea outline="0" collapsedLevelsAreSubtotals="1" fieldPosition="0">
        <references count="1">
          <reference field="4294967294" count="1" selected="0">
            <x v="0"/>
          </reference>
        </references>
      </pivotArea>
    </format>
  </formats>
  <chartFormats count="1">
    <chartFormat chart="6" format="2" series="1">
      <pivotArea type="data" outline="0" fieldPosition="0">
        <references count="1">
          <reference field="4294967294"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Status].&amp;[Sufficient]"/>
      </members>
    </pivotHierarchy>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tock Quantity"/>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ventory_Management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6894680-C59C-4B8D-8B33-4C32063ACB3A}" name="PivotTable4" cacheId="0" applyNumberFormats="0" applyBorderFormats="0" applyFontFormats="0" applyPatternFormats="0" applyAlignmentFormats="0" applyWidthHeightFormats="1" dataCaption="Values" tag="1b665344-42be-4034-84fa-96afecef8ad1" updatedVersion="8" minRefreshableVersion="3" useAutoFormatting="1" subtotalHiddenItems="1" itemPrintTitles="1" createdVersion="8" indent="0" outline="1" outlineData="1" multipleFieldFilters="0" chartFormat="23" rowHeaderCaption="Status">
  <location ref="D8:E11"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Items" fld="1" subtotal="count" showDataAs="percentOfTotal" baseField="0" baseItem="0" numFmtId="10"/>
  </dataFields>
  <formats count="2">
    <format dxfId="20">
      <pivotArea outline="0" collapsedLevelsAreSubtotals="1" fieldPosition="0"/>
    </format>
    <format dxfId="19">
      <pivotArea outline="0" fieldPosition="0">
        <references count="1">
          <reference field="4294967294" count="1">
            <x v="0"/>
          </reference>
        </references>
      </pivotArea>
    </format>
  </formats>
  <chartFormats count="6">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0" count="1" selected="0">
            <x v="0"/>
          </reference>
        </references>
      </pivotArea>
    </chartFormat>
    <chartFormat chart="5" format="8">
      <pivotArea type="data" outline="0" fieldPosition="0">
        <references count="2">
          <reference field="4294967294" count="1" selected="0">
            <x v="0"/>
          </reference>
          <reference field="0" count="1" selected="0">
            <x v="1"/>
          </reference>
        </references>
      </pivotArea>
    </chartFormat>
    <chartFormat chart="8" format="9" series="1">
      <pivotArea type="data" outline="0" fieldPosition="0">
        <references count="1">
          <reference field="4294967294" count="1" selected="0">
            <x v="0"/>
          </reference>
        </references>
      </pivotArea>
    </chartFormat>
    <chartFormat chart="8" format="10">
      <pivotArea type="data" outline="0" fieldPosition="0">
        <references count="2">
          <reference field="4294967294" count="1" selected="0">
            <x v="0"/>
          </reference>
          <reference field="0" count="1" selected="0">
            <x v="0"/>
          </reference>
        </references>
      </pivotArea>
    </chartFormat>
    <chartFormat chart="8" format="11">
      <pivotArea type="data" outline="0" fieldPosition="0">
        <references count="2">
          <reference field="4294967294" count="1" selected="0">
            <x v="0"/>
          </reference>
          <reference field="0" count="1" selected="0">
            <x v="1"/>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caption="Items"/>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tock Quantity"/>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ventory_Management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71D7192-BC7F-42B3-BC9D-559FB02C9211}" name="PivotTable5" cacheId="4" applyNumberFormats="0" applyBorderFormats="0" applyFontFormats="0" applyPatternFormats="0" applyAlignmentFormats="0" applyWidthHeightFormats="1" dataCaption="Values" tag="48bfe167-30cb-4347-b043-98ff5a427f33" updatedVersion="8" minRefreshableVersion="3" useAutoFormatting="1" subtotalHiddenItems="1" itemPrintTitles="1" createdVersion="8" indent="0" outline="1" outlineData="1" multipleFieldFilters="0" chartFormat="9" rowHeaderCaption="Month">
  <location ref="A24:B37"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Items count="1">
    <i/>
  </colItems>
  <dataFields count="1">
    <dataField fld="1" subtotal="count" baseField="0" baseItem="0" numFmtId="166"/>
  </dataFields>
  <formats count="1">
    <format dxfId="21">
      <pivotArea outline="0" collapsedLevelsAreSubtotals="1" fieldPosition="0"/>
    </format>
  </formats>
  <chartFormats count="10">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 count="1" selected="0">
            <x v="3"/>
          </reference>
        </references>
      </pivotArea>
    </chartFormat>
    <chartFormat chart="3" format="4">
      <pivotArea type="data" outline="0" fieldPosition="0">
        <references count="2">
          <reference field="4294967294" count="1" selected="0">
            <x v="0"/>
          </reference>
          <reference field="2" count="1" selected="0">
            <x v="1"/>
          </reference>
        </references>
      </pivotArea>
    </chartFormat>
    <chartFormat chart="3" format="5">
      <pivotArea type="data" outline="0" fieldPosition="0">
        <references count="2">
          <reference field="4294967294" count="1" selected="0">
            <x v="0"/>
          </reference>
          <reference field="2" count="1" selected="0">
            <x v="6"/>
          </reference>
        </references>
      </pivotArea>
    </chartFormat>
    <chartFormat chart="3" format="6">
      <pivotArea type="data" outline="0" fieldPosition="0">
        <references count="2">
          <reference field="4294967294" count="1" selected="0">
            <x v="0"/>
          </reference>
          <reference field="2" count="1" selected="0">
            <x v="5"/>
          </reference>
        </references>
      </pivotArea>
    </chartFormat>
    <chartFormat chart="3" format="7">
      <pivotArea type="data" outline="0" fieldPosition="0">
        <references count="2">
          <reference field="4294967294" count="1" selected="0">
            <x v="0"/>
          </reference>
          <reference field="2" count="1" selected="0">
            <x v="7"/>
          </reference>
        </references>
      </pivotArea>
    </chartFormat>
    <chartFormat chart="3" format="8">
      <pivotArea type="data" outline="0" fieldPosition="0">
        <references count="2">
          <reference field="4294967294" count="1" selected="0">
            <x v="0"/>
          </reference>
          <reference field="2" count="1" selected="0">
            <x v="8"/>
          </reference>
        </references>
      </pivotArea>
    </chartFormat>
    <chartFormat chart="3" format="9">
      <pivotArea type="data" outline="0" fieldPosition="0">
        <references count="2">
          <reference field="4294967294" count="1" selected="0">
            <x v="0"/>
          </reference>
          <reference field="2" count="1" selected="0">
            <x v="9"/>
          </reference>
        </references>
      </pivotArea>
    </chartFormat>
    <chartFormat chart="3" format="10">
      <pivotArea type="data" outline="0" fieldPosition="0">
        <references count="2">
          <reference field="4294967294" count="1" selected="0">
            <x v="0"/>
          </reference>
          <reference field="2" count="1" selected="0">
            <x v="10"/>
          </reference>
        </references>
      </pivotArea>
    </chartFormat>
    <chartFormat chart="3" format="11">
      <pivotArea type="data" outline="0" fieldPosition="0">
        <references count="2">
          <reference field="4294967294" count="1" selected="0">
            <x v="0"/>
          </reference>
          <reference field="2" count="1" selected="0">
            <x v="11"/>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Status].&amp;[Sufficient]"/>
      </members>
    </pivotHierarchy>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tock Quantity"/>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ventory_Management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2A1DAFC-3D9A-4DFF-9317-4E95F7FD7DEC}" name="PivotTable3" cacheId="3" applyNumberFormats="0" applyBorderFormats="0" applyFontFormats="0" applyPatternFormats="0" applyAlignmentFormats="0" applyWidthHeightFormats="1" dataCaption="Values" tag="48bfe167-30cb-4347-b043-98ff5a427f33" updatedVersion="8" minRefreshableVersion="3" useAutoFormatting="1" subtotalHiddenItems="1" itemPrintTitles="1" createdVersion="8" indent="0" outline="1" outlineData="1" multipleFieldFilters="0" rowHeaderCaption="Warehouse">
  <location ref="A16:B2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2" subtotal="count" baseField="0" baseItem="0"/>
  </dataFields>
  <formats count="1">
    <format dxfId="22">
      <pivotArea outline="0" collapsedLevelsAreSubtotals="1" fieldPosition="0"/>
    </format>
  </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1].[Status].&amp;[Sufficient]"/>
      </members>
    </pivotHierarchy>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Stock Quantity"/>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ventory_Management_Data.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3F9484A-C2FE-48A5-BA6F-DEDFB491BE7A}" sourceName="[Table1].[Year]">
  <pivotTables>
    <pivotTable tabId="3" name="PivotTable4"/>
    <pivotTable tabId="3" name="PivotTable1"/>
    <pivotTable tabId="3" name="PivotTable2"/>
    <pivotTable tabId="3" name="PivotTable3"/>
    <pivotTable tabId="3" name="PivotTable5"/>
    <pivotTable tabId="3" name="PivotTable6"/>
    <pivotTable tabId="3" name="PivotTable7"/>
  </pivotTables>
  <data>
    <olap pivotCacheId="139814559">
      <levels count="2">
        <level uniqueName="[Table1].[Year].[(All)]" sourceCaption="(All)" count="0"/>
        <level uniqueName="[Table1].[Year].[Year]" sourceCaption="Year" count="3">
          <ranges>
            <range startItem="0">
              <i n="[Table1].[Year].&amp;[2023]" c="2023"/>
              <i n="[Table1].[Year].&amp;[2024]" c="2024"/>
              <i n="[Table1].[Year].&amp;[2025]" c="2025"/>
            </range>
          </ranges>
        </level>
      </levels>
      <selections count="1">
        <selection n="[Table1].[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957DFD7C-AD7E-4E5C-B7E4-B4FD9C6A7280}" sourceName="[Table1].[Quarter]">
  <pivotTables>
    <pivotTable tabId="3" name="PivotTable4"/>
    <pivotTable tabId="3" name="PivotTable1"/>
    <pivotTable tabId="3" name="PivotTable2"/>
    <pivotTable tabId="3" name="PivotTable3"/>
    <pivotTable tabId="3" name="PivotTable5"/>
    <pivotTable tabId="3" name="PivotTable6"/>
    <pivotTable tabId="3" name="PivotTable7"/>
  </pivotTables>
  <data>
    <olap pivotCacheId="139814559">
      <levels count="2">
        <level uniqueName="[Table1].[Quarter].[(All)]" sourceCaption="(All)" count="0"/>
        <level uniqueName="[Table1].[Quarter].[Quarter]" sourceCaption="Quarter" count="4">
          <ranges>
            <range startItem="0">
              <i n="[Table1].[Quarter].&amp;[Q1]" c="Q1"/>
              <i n="[Table1].[Quarter].&amp;[Q2]" c="Q2"/>
              <i n="[Table1].[Quarter].&amp;[Q3]" c="Q3"/>
              <i n="[Table1].[Quarter].&amp;[Q4]" c="Q4"/>
            </range>
          </ranges>
        </level>
      </levels>
      <selections count="1">
        <selection n="[Table1].[Quart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C30B3775-DE66-461F-B66E-75A2C4660FFE}" cache="Slicer_Year" caption="Year" showCaption="0" level="1" style="Slicer Style 2" rowHeight="182880"/>
  <slicer name="Year 2" xr10:uid="{86837591-EED0-485C-BD28-1558D7F52E43}" cache="Slicer_Year" caption="Year" showCaption="0" level="1" style="Slicer Style 2" rowHeight="182880"/>
  <slicer name="Quarter" xr10:uid="{628F2880-E2C6-47A6-92F7-DA1AB744B94F}" cache="Slicer_Quarter" caption="Quarter" columnCount="2" showCaption="0" level="1" style="Slicer Style 2" rowHeight="241300"/>
  <slicer name="Quarter 2" xr10:uid="{0B797E11-608B-49E2-8B21-9D6012BBF520}" cache="Slicer_Quarter" caption="Quarter" columnCount="2" showCaption="0" level="1" style="Slicer Style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47B98C6D-B256-4005-AB75-8BA1363D983C}" cache="Slicer_Year" caption="Year" showCaption="0" level="1" style="Slicer Style 2" rowHeight="182880"/>
  <slicer name="Year 3" xr10:uid="{42D1607F-AEA8-46D8-AEC8-53FF7558DC78}" cache="Slicer_Year" caption="Year" showCaption="0" level="1" style="Slicer Style 2" rowHeight="182880"/>
  <slicer name="Quarter 1" xr10:uid="{56A14B57-B721-428F-9F30-C611CBCB5F9B}" cache="Slicer_Quarter" caption="Quarter" columnCount="2" showCaption="0" level="1" style="Slicer Style 2" rowHeight="241300"/>
  <slicer name="Quarter 3" xr10:uid="{1AB0467A-FFF4-4C30-B743-A2BF6DCF3C5F}" cache="Slicer_Quarter" caption="Quarter" columnCount="2" showCaption="0" level="1" style="Slicer Style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2B09DA-7D11-4028-972C-B794D1902DCA}" name="Table1" displayName="Table1" ref="A1:P1001" totalsRowShown="0">
  <autoFilter ref="A1:P1001" xr:uid="{972B09DA-7D11-4028-972C-B794D1902DCA}"/>
  <tableColumns count="16">
    <tableColumn id="1" xr3:uid="{F93CE8BC-0659-4B02-B8CD-CA33D618E565}" name="Item_ID"/>
    <tableColumn id="2" xr3:uid="{90BFC1CE-8D19-47E5-91BD-1C5FAB058912}" name="Item_Name" dataDxfId="35"/>
    <tableColumn id="3" xr3:uid="{BEC0826B-1B70-4528-ADC5-739F24087418}" name="Category" dataDxfId="34"/>
    <tableColumn id="4" xr3:uid="{8F6CC4FA-A78D-4EFF-9C6E-5F75AB99A53A}" name="Warehouse" dataDxfId="33"/>
    <tableColumn id="5" xr3:uid="{C5B95D45-6C8E-4FFF-A91C-4D752D23AA9E}" name="Supplier" dataDxfId="32"/>
    <tableColumn id="6" xr3:uid="{2552CF64-A8FC-421E-9878-4A946B3BE09E}" name="Stock_Quantity" dataDxfId="31"/>
    <tableColumn id="7" xr3:uid="{246692C2-5785-4190-A677-F201A406896C}" name="Unit_Cost" dataCellStyle="Currency"/>
    <tableColumn id="8" xr3:uid="{DEE36EDC-8C03-44DA-9F5F-E73352A56870}" name="Reorder_Level"/>
    <tableColumn id="16" xr3:uid="{A1E0B365-5D22-4B28-A2BF-95955A31572E}" name="Estimated_Restocked_Qty" dataDxfId="30">
      <calculatedColumnFormula>IF(Table1[[#This Row],[Status]]= "Sufficient",
     Table1[[#This Row],[Stock_Quantity]] - Table1[[#This Row],[Reorder_Level]],
     0)</calculatedColumnFormula>
    </tableColumn>
    <tableColumn id="9" xr3:uid="{DDEF1223-DAB7-4834-82DC-0D042AB655DD}" name="Last_Restock_Date" dataDxfId="29"/>
    <tableColumn id="10" xr3:uid="{948EB811-8B93-4F5E-AE5D-C89ACEFC50CB}" name="Status" dataDxfId="28"/>
    <tableColumn id="11" xr3:uid="{03DF1845-504B-42DF-8D21-1E9BD99A22BA}" name="Year" dataDxfId="27">
      <calculatedColumnFormula>YEAR(Table1[[#This Row],[Last_Restock_Date]])</calculatedColumnFormula>
    </tableColumn>
    <tableColumn id="12" xr3:uid="{54887CC3-2A84-49E5-B4FB-AF530B1AC199}" name="Month_Year" dataDxfId="26">
      <calculatedColumnFormula>_xlfn.CONCAT(TEXT(Table1[[#This Row],[Last_Restock_Date]],"mmm"), "-", YEAR(Table1[[#This Row],[Last_Restock_Date]]))</calculatedColumnFormula>
    </tableColumn>
    <tableColumn id="14" xr3:uid="{0E256153-468D-45CC-950B-B7AFFF3ACAE6}" name="Month_Number" dataDxfId="25">
      <calculatedColumnFormula>MONTH(Table1[[#This Row],[Last_Restock_Date]])</calculatedColumnFormula>
    </tableColumn>
    <tableColumn id="15" xr3:uid="{9C26F57F-0205-483E-B618-2E7FB8037263}" name="Quarter" dataDxfId="24">
      <calculatedColumnFormula array="1">_xlfn.SWITCH(Table1[[#This Row],[Month_Number]],
    1,"Q1",2,"Q1",3,"Q1",
    4,"Q2",5,"Q2",6,"Q2",
    7,"Q3",8,"Q3",9,"Q3",
    10,"Q4",11,"Q4",12,"Q4",
    "Invalid Month"
)</calculatedColumnFormula>
    </tableColumn>
    <tableColumn id="13" xr3:uid="{EFF6EBCF-3F02-40D5-AB8A-8EDEE09E9ACC}" name="Month_Label" dataDxfId="23">
      <calculatedColumnFormula>TEXT(Table1[[#This Row],[Last_Restock_Date]],"mmm")</calculatedColumnFormula>
    </tableColumn>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3.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030A0"/>
  </sheetPr>
  <dimension ref="A1:M1001"/>
  <sheetViews>
    <sheetView tabSelected="1" topLeftCell="A967" workbookViewId="0">
      <selection activeCell="M982" sqref="M982"/>
    </sheetView>
  </sheetViews>
  <sheetFormatPr defaultRowHeight="15" x14ac:dyDescent="0.25"/>
  <cols>
    <col min="2" max="2" width="16.7109375" bestFit="1" customWidth="1"/>
    <col min="3" max="3" width="10.5703125" bestFit="1" customWidth="1"/>
    <col min="4" max="4" width="11.140625" bestFit="1" customWidth="1"/>
    <col min="5" max="5" width="23.28515625" bestFit="1" customWidth="1"/>
    <col min="6" max="6" width="14.5703125" bestFit="1" customWidth="1"/>
    <col min="7" max="7" width="9.5703125" bestFit="1" customWidth="1"/>
    <col min="8" max="8" width="14" bestFit="1" customWidth="1"/>
    <col min="9" max="9" width="17.7109375" bestFit="1" customWidth="1"/>
    <col min="10" max="10" width="15.85546875" bestFit="1" customWidth="1"/>
  </cols>
  <sheetData>
    <row r="1" spans="1:10" x14ac:dyDescent="0.25">
      <c r="A1" t="s">
        <v>0</v>
      </c>
      <c r="B1" t="s">
        <v>1</v>
      </c>
      <c r="C1" t="s">
        <v>2</v>
      </c>
      <c r="D1" t="s">
        <v>3</v>
      </c>
      <c r="E1" t="s">
        <v>4</v>
      </c>
      <c r="F1" t="s">
        <v>5</v>
      </c>
      <c r="G1" t="s">
        <v>6</v>
      </c>
      <c r="H1" t="s">
        <v>7</v>
      </c>
      <c r="I1" t="s">
        <v>8</v>
      </c>
      <c r="J1" t="s">
        <v>9</v>
      </c>
    </row>
    <row r="2" spans="1:10" x14ac:dyDescent="0.25">
      <c r="A2">
        <v>1</v>
      </c>
      <c r="B2" t="s">
        <v>10</v>
      </c>
      <c r="C2" t="s">
        <v>11</v>
      </c>
      <c r="D2" t="s">
        <v>12</v>
      </c>
      <c r="E2" t="s">
        <v>13</v>
      </c>
      <c r="F2">
        <v>303</v>
      </c>
      <c r="G2">
        <v>679.85</v>
      </c>
      <c r="H2">
        <v>55</v>
      </c>
      <c r="I2" s="1">
        <v>46001</v>
      </c>
      <c r="J2" t="s">
        <v>14</v>
      </c>
    </row>
    <row r="3" spans="1:10" x14ac:dyDescent="0.25">
      <c r="A3">
        <v>2</v>
      </c>
      <c r="B3" t="s">
        <v>15</v>
      </c>
      <c r="C3" t="s">
        <v>16</v>
      </c>
      <c r="D3" t="s">
        <v>17</v>
      </c>
      <c r="E3" t="s">
        <v>18</v>
      </c>
      <c r="F3">
        <v>105</v>
      </c>
      <c r="G3">
        <v>433.78</v>
      </c>
      <c r="H3">
        <v>93</v>
      </c>
      <c r="I3" s="1">
        <v>45109</v>
      </c>
      <c r="J3" t="s">
        <v>14</v>
      </c>
    </row>
    <row r="4" spans="1:10" x14ac:dyDescent="0.25">
      <c r="A4">
        <v>3</v>
      </c>
      <c r="B4" t="s">
        <v>19</v>
      </c>
      <c r="C4" t="s">
        <v>20</v>
      </c>
      <c r="D4" t="s">
        <v>21</v>
      </c>
      <c r="E4" t="s">
        <v>18</v>
      </c>
      <c r="F4">
        <v>474</v>
      </c>
      <c r="G4">
        <v>743.62</v>
      </c>
      <c r="H4">
        <v>75</v>
      </c>
      <c r="I4" s="1">
        <v>45223</v>
      </c>
      <c r="J4" t="s">
        <v>14</v>
      </c>
    </row>
    <row r="5" spans="1:10" x14ac:dyDescent="0.25">
      <c r="A5">
        <v>4</v>
      </c>
      <c r="B5" t="s">
        <v>22</v>
      </c>
      <c r="C5" t="s">
        <v>11</v>
      </c>
      <c r="D5" t="s">
        <v>21</v>
      </c>
      <c r="E5" t="s">
        <v>13</v>
      </c>
      <c r="F5">
        <v>170</v>
      </c>
      <c r="G5">
        <v>129.43</v>
      </c>
      <c r="H5">
        <v>98</v>
      </c>
      <c r="I5" s="1">
        <v>45068</v>
      </c>
      <c r="J5" t="s">
        <v>14</v>
      </c>
    </row>
    <row r="6" spans="1:10" x14ac:dyDescent="0.25">
      <c r="A6">
        <v>5</v>
      </c>
      <c r="B6" t="s">
        <v>23</v>
      </c>
      <c r="C6" t="s">
        <v>20</v>
      </c>
      <c r="D6" t="s">
        <v>24</v>
      </c>
      <c r="E6" t="s">
        <v>13</v>
      </c>
      <c r="F6">
        <v>150</v>
      </c>
      <c r="G6">
        <v>573.22</v>
      </c>
      <c r="H6">
        <v>101</v>
      </c>
      <c r="I6" s="1">
        <v>44995</v>
      </c>
      <c r="J6" t="s">
        <v>14</v>
      </c>
    </row>
    <row r="7" spans="1:10" x14ac:dyDescent="0.25">
      <c r="A7">
        <v>6</v>
      </c>
      <c r="B7" t="s">
        <v>25</v>
      </c>
      <c r="C7" t="s">
        <v>26</v>
      </c>
      <c r="D7" t="s">
        <v>17</v>
      </c>
      <c r="E7" t="s">
        <v>18</v>
      </c>
      <c r="F7">
        <v>157</v>
      </c>
      <c r="G7">
        <v>700.2</v>
      </c>
      <c r="H7">
        <v>97</v>
      </c>
      <c r="I7" s="1">
        <v>45419</v>
      </c>
      <c r="J7" t="s">
        <v>14</v>
      </c>
    </row>
    <row r="8" spans="1:10" x14ac:dyDescent="0.25">
      <c r="A8">
        <v>7</v>
      </c>
      <c r="B8" t="s">
        <v>25</v>
      </c>
      <c r="C8" t="s">
        <v>26</v>
      </c>
      <c r="D8" t="s">
        <v>24</v>
      </c>
      <c r="E8" t="s">
        <v>27</v>
      </c>
      <c r="F8">
        <v>30</v>
      </c>
      <c r="G8">
        <v>322.36</v>
      </c>
      <c r="H8">
        <v>109</v>
      </c>
      <c r="I8" s="1">
        <v>45704</v>
      </c>
      <c r="J8" t="s">
        <v>28</v>
      </c>
    </row>
    <row r="9" spans="1:10" x14ac:dyDescent="0.25">
      <c r="A9">
        <v>8</v>
      </c>
      <c r="B9" t="s">
        <v>29</v>
      </c>
      <c r="C9" t="s">
        <v>16</v>
      </c>
      <c r="D9" t="s">
        <v>30</v>
      </c>
      <c r="E9" t="s">
        <v>13</v>
      </c>
      <c r="F9">
        <v>339</v>
      </c>
      <c r="G9">
        <v>388.9</v>
      </c>
      <c r="H9">
        <v>116</v>
      </c>
      <c r="I9" s="1">
        <v>45789</v>
      </c>
      <c r="J9" t="s">
        <v>14</v>
      </c>
    </row>
    <row r="10" spans="1:10" x14ac:dyDescent="0.25">
      <c r="A10">
        <v>9</v>
      </c>
      <c r="B10" t="s">
        <v>31</v>
      </c>
      <c r="C10" t="s">
        <v>20</v>
      </c>
      <c r="D10" t="s">
        <v>30</v>
      </c>
      <c r="E10" t="s">
        <v>18</v>
      </c>
      <c r="F10">
        <v>54</v>
      </c>
      <c r="G10">
        <v>418.72</v>
      </c>
      <c r="H10">
        <v>62</v>
      </c>
      <c r="I10" s="1">
        <v>45543</v>
      </c>
      <c r="J10" t="s">
        <v>28</v>
      </c>
    </row>
    <row r="11" spans="1:10" x14ac:dyDescent="0.25">
      <c r="A11">
        <v>10</v>
      </c>
      <c r="B11" t="s">
        <v>29</v>
      </c>
      <c r="C11" t="s">
        <v>16</v>
      </c>
      <c r="D11" t="s">
        <v>17</v>
      </c>
      <c r="E11" t="s">
        <v>13</v>
      </c>
      <c r="F11">
        <v>267</v>
      </c>
      <c r="G11">
        <v>499.21</v>
      </c>
      <c r="H11">
        <v>84</v>
      </c>
      <c r="I11" s="1">
        <v>45490</v>
      </c>
      <c r="J11" t="s">
        <v>14</v>
      </c>
    </row>
    <row r="12" spans="1:10" x14ac:dyDescent="0.25">
      <c r="A12">
        <v>11</v>
      </c>
      <c r="B12" t="s">
        <v>29</v>
      </c>
      <c r="C12" t="s">
        <v>16</v>
      </c>
      <c r="D12" t="s">
        <v>21</v>
      </c>
      <c r="E12" t="s">
        <v>32</v>
      </c>
      <c r="F12">
        <v>382</v>
      </c>
      <c r="G12">
        <v>515.82000000000005</v>
      </c>
      <c r="H12">
        <v>59</v>
      </c>
      <c r="I12" s="1">
        <v>45699</v>
      </c>
      <c r="J12" t="s">
        <v>14</v>
      </c>
    </row>
    <row r="13" spans="1:10" x14ac:dyDescent="0.25">
      <c r="A13">
        <v>12</v>
      </c>
      <c r="B13" t="s">
        <v>33</v>
      </c>
      <c r="C13" t="s">
        <v>34</v>
      </c>
      <c r="D13" t="s">
        <v>12</v>
      </c>
      <c r="E13" t="s">
        <v>27</v>
      </c>
      <c r="F13">
        <v>265</v>
      </c>
      <c r="G13">
        <v>449.21</v>
      </c>
      <c r="H13">
        <v>129</v>
      </c>
      <c r="I13" s="1">
        <v>45504</v>
      </c>
      <c r="J13" t="s">
        <v>14</v>
      </c>
    </row>
    <row r="14" spans="1:10" x14ac:dyDescent="0.25">
      <c r="A14">
        <v>13</v>
      </c>
      <c r="B14" t="s">
        <v>35</v>
      </c>
      <c r="C14" t="s">
        <v>11</v>
      </c>
      <c r="D14" t="s">
        <v>21</v>
      </c>
      <c r="E14" t="s">
        <v>18</v>
      </c>
      <c r="F14">
        <v>254</v>
      </c>
      <c r="G14">
        <v>324.76</v>
      </c>
      <c r="H14">
        <v>93</v>
      </c>
      <c r="I14" s="1">
        <v>45168</v>
      </c>
      <c r="J14" t="s">
        <v>14</v>
      </c>
    </row>
    <row r="15" spans="1:10" x14ac:dyDescent="0.25">
      <c r="A15">
        <v>14</v>
      </c>
      <c r="B15" t="s">
        <v>36</v>
      </c>
      <c r="C15" t="s">
        <v>11</v>
      </c>
      <c r="D15" t="s">
        <v>30</v>
      </c>
      <c r="E15" t="s">
        <v>37</v>
      </c>
      <c r="F15">
        <v>48</v>
      </c>
      <c r="G15">
        <v>197.87</v>
      </c>
      <c r="H15">
        <v>121</v>
      </c>
      <c r="I15" s="1">
        <v>45297</v>
      </c>
      <c r="J15" t="s">
        <v>28</v>
      </c>
    </row>
    <row r="16" spans="1:10" x14ac:dyDescent="0.25">
      <c r="A16">
        <v>15</v>
      </c>
      <c r="B16" t="s">
        <v>38</v>
      </c>
      <c r="C16" t="s">
        <v>26</v>
      </c>
      <c r="D16" t="s">
        <v>30</v>
      </c>
      <c r="E16" t="s">
        <v>39</v>
      </c>
      <c r="F16">
        <v>232</v>
      </c>
      <c r="G16">
        <v>644.76</v>
      </c>
      <c r="H16">
        <v>85</v>
      </c>
      <c r="I16" s="1">
        <v>45086</v>
      </c>
      <c r="J16" t="s">
        <v>14</v>
      </c>
    </row>
    <row r="17" spans="1:10" x14ac:dyDescent="0.25">
      <c r="A17">
        <v>16</v>
      </c>
      <c r="B17" t="s">
        <v>10</v>
      </c>
      <c r="C17" t="s">
        <v>11</v>
      </c>
      <c r="D17" t="s">
        <v>21</v>
      </c>
      <c r="E17" t="s">
        <v>27</v>
      </c>
      <c r="F17">
        <v>270</v>
      </c>
      <c r="G17">
        <v>650.41</v>
      </c>
      <c r="H17">
        <v>61</v>
      </c>
      <c r="I17" s="1">
        <v>45146</v>
      </c>
      <c r="J17" t="s">
        <v>14</v>
      </c>
    </row>
    <row r="18" spans="1:10" x14ac:dyDescent="0.25">
      <c r="A18">
        <v>17</v>
      </c>
      <c r="B18" t="s">
        <v>35</v>
      </c>
      <c r="C18" t="s">
        <v>11</v>
      </c>
      <c r="D18" t="s">
        <v>30</v>
      </c>
      <c r="E18" t="s">
        <v>18</v>
      </c>
      <c r="F18">
        <v>218</v>
      </c>
      <c r="G18">
        <v>499.94</v>
      </c>
      <c r="H18">
        <v>93</v>
      </c>
      <c r="I18" s="1">
        <v>45634</v>
      </c>
      <c r="J18" t="s">
        <v>14</v>
      </c>
    </row>
    <row r="19" spans="1:10" x14ac:dyDescent="0.25">
      <c r="A19">
        <v>18</v>
      </c>
      <c r="B19" t="s">
        <v>40</v>
      </c>
      <c r="C19" t="s">
        <v>34</v>
      </c>
      <c r="D19" t="s">
        <v>21</v>
      </c>
      <c r="E19" t="s">
        <v>32</v>
      </c>
      <c r="F19">
        <v>369</v>
      </c>
      <c r="G19">
        <v>361</v>
      </c>
      <c r="H19">
        <v>103</v>
      </c>
      <c r="I19" s="1">
        <v>45592</v>
      </c>
      <c r="J19" t="s">
        <v>14</v>
      </c>
    </row>
    <row r="20" spans="1:10" x14ac:dyDescent="0.25">
      <c r="A20">
        <v>19</v>
      </c>
      <c r="B20" t="s">
        <v>15</v>
      </c>
      <c r="C20" t="s">
        <v>16</v>
      </c>
      <c r="D20" t="s">
        <v>17</v>
      </c>
      <c r="E20" t="s">
        <v>32</v>
      </c>
      <c r="F20">
        <v>361</v>
      </c>
      <c r="G20">
        <v>204.88</v>
      </c>
      <c r="H20">
        <v>147</v>
      </c>
      <c r="I20" s="1">
        <v>45955</v>
      </c>
      <c r="J20" t="s">
        <v>14</v>
      </c>
    </row>
    <row r="21" spans="1:10" x14ac:dyDescent="0.25">
      <c r="A21">
        <v>20</v>
      </c>
      <c r="B21" t="s">
        <v>15</v>
      </c>
      <c r="C21" t="s">
        <v>16</v>
      </c>
      <c r="D21" t="s">
        <v>12</v>
      </c>
      <c r="E21" t="s">
        <v>13</v>
      </c>
      <c r="F21">
        <v>215</v>
      </c>
      <c r="G21">
        <v>64.790000000000006</v>
      </c>
      <c r="H21">
        <v>118</v>
      </c>
      <c r="I21" s="1">
        <v>45833</v>
      </c>
      <c r="J21" t="s">
        <v>14</v>
      </c>
    </row>
    <row r="22" spans="1:10" x14ac:dyDescent="0.25">
      <c r="A22">
        <v>21</v>
      </c>
      <c r="B22" t="s">
        <v>40</v>
      </c>
      <c r="C22" t="s">
        <v>34</v>
      </c>
      <c r="D22" t="s">
        <v>24</v>
      </c>
      <c r="E22" t="s">
        <v>27</v>
      </c>
      <c r="F22">
        <v>135</v>
      </c>
      <c r="G22">
        <v>643.14</v>
      </c>
      <c r="H22">
        <v>72</v>
      </c>
      <c r="I22" s="1">
        <v>45031</v>
      </c>
      <c r="J22" t="s">
        <v>14</v>
      </c>
    </row>
    <row r="23" spans="1:10" x14ac:dyDescent="0.25">
      <c r="A23">
        <v>22</v>
      </c>
      <c r="B23" t="s">
        <v>19</v>
      </c>
      <c r="C23" t="s">
        <v>20</v>
      </c>
      <c r="D23" t="s">
        <v>17</v>
      </c>
      <c r="E23" t="s">
        <v>37</v>
      </c>
      <c r="F23">
        <v>55</v>
      </c>
      <c r="G23">
        <v>476.7</v>
      </c>
      <c r="H23">
        <v>91</v>
      </c>
      <c r="I23" s="1">
        <v>45717</v>
      </c>
      <c r="J23" t="s">
        <v>28</v>
      </c>
    </row>
    <row r="24" spans="1:10" x14ac:dyDescent="0.25">
      <c r="A24">
        <v>23</v>
      </c>
      <c r="B24" t="s">
        <v>41</v>
      </c>
      <c r="C24" t="s">
        <v>16</v>
      </c>
      <c r="D24" t="s">
        <v>12</v>
      </c>
      <c r="E24" t="s">
        <v>27</v>
      </c>
      <c r="F24">
        <v>452</v>
      </c>
      <c r="G24">
        <v>61.66</v>
      </c>
      <c r="H24">
        <v>55</v>
      </c>
      <c r="I24" s="1">
        <v>45740</v>
      </c>
      <c r="J24" t="s">
        <v>14</v>
      </c>
    </row>
    <row r="25" spans="1:10" x14ac:dyDescent="0.25">
      <c r="A25">
        <v>24</v>
      </c>
      <c r="B25" t="s">
        <v>42</v>
      </c>
      <c r="C25" t="s">
        <v>16</v>
      </c>
      <c r="D25" t="s">
        <v>12</v>
      </c>
      <c r="E25" t="s">
        <v>39</v>
      </c>
      <c r="F25">
        <v>452</v>
      </c>
      <c r="G25">
        <v>379.74</v>
      </c>
      <c r="H25">
        <v>50</v>
      </c>
      <c r="I25" s="1">
        <v>45720</v>
      </c>
      <c r="J25" t="s">
        <v>14</v>
      </c>
    </row>
    <row r="26" spans="1:10" x14ac:dyDescent="0.25">
      <c r="A26">
        <v>25</v>
      </c>
      <c r="B26" t="s">
        <v>43</v>
      </c>
      <c r="C26" t="s">
        <v>26</v>
      </c>
      <c r="D26" t="s">
        <v>24</v>
      </c>
      <c r="E26" t="s">
        <v>13</v>
      </c>
      <c r="F26">
        <v>147</v>
      </c>
      <c r="G26">
        <v>629.4</v>
      </c>
      <c r="H26">
        <v>76</v>
      </c>
      <c r="I26" s="1">
        <v>45120</v>
      </c>
      <c r="J26" t="s">
        <v>14</v>
      </c>
    </row>
    <row r="27" spans="1:10" x14ac:dyDescent="0.25">
      <c r="A27">
        <v>26</v>
      </c>
      <c r="B27" t="s">
        <v>40</v>
      </c>
      <c r="C27" t="s">
        <v>34</v>
      </c>
      <c r="D27" t="s">
        <v>21</v>
      </c>
      <c r="E27" t="s">
        <v>27</v>
      </c>
      <c r="F27">
        <v>407</v>
      </c>
      <c r="G27">
        <v>607.5</v>
      </c>
      <c r="H27">
        <v>107</v>
      </c>
      <c r="I27" s="1">
        <v>45124</v>
      </c>
      <c r="J27" t="s">
        <v>14</v>
      </c>
    </row>
    <row r="28" spans="1:10" x14ac:dyDescent="0.25">
      <c r="A28">
        <v>27</v>
      </c>
      <c r="B28" t="s">
        <v>15</v>
      </c>
      <c r="C28" t="s">
        <v>16</v>
      </c>
      <c r="D28" t="s">
        <v>24</v>
      </c>
      <c r="E28" t="s">
        <v>13</v>
      </c>
      <c r="F28">
        <v>421</v>
      </c>
      <c r="G28">
        <v>23.94</v>
      </c>
      <c r="H28">
        <v>61</v>
      </c>
      <c r="I28" s="1">
        <v>45974</v>
      </c>
      <c r="J28" t="s">
        <v>14</v>
      </c>
    </row>
    <row r="29" spans="1:10" x14ac:dyDescent="0.25">
      <c r="A29">
        <v>28</v>
      </c>
      <c r="B29" t="s">
        <v>44</v>
      </c>
      <c r="C29" t="s">
        <v>34</v>
      </c>
      <c r="D29" t="s">
        <v>30</v>
      </c>
      <c r="E29" t="s">
        <v>39</v>
      </c>
      <c r="F29">
        <v>335</v>
      </c>
      <c r="G29">
        <v>639.07000000000005</v>
      </c>
      <c r="H29">
        <v>148</v>
      </c>
      <c r="I29" s="1">
        <v>45404</v>
      </c>
      <c r="J29" t="s">
        <v>14</v>
      </c>
    </row>
    <row r="30" spans="1:10" x14ac:dyDescent="0.25">
      <c r="A30">
        <v>29</v>
      </c>
      <c r="B30" t="s">
        <v>45</v>
      </c>
      <c r="C30" t="s">
        <v>26</v>
      </c>
      <c r="D30" t="s">
        <v>24</v>
      </c>
      <c r="E30" t="s">
        <v>32</v>
      </c>
      <c r="F30">
        <v>148</v>
      </c>
      <c r="G30">
        <v>470.15</v>
      </c>
      <c r="H30">
        <v>67</v>
      </c>
      <c r="I30" s="1">
        <v>45664</v>
      </c>
      <c r="J30" t="s">
        <v>14</v>
      </c>
    </row>
    <row r="31" spans="1:10" x14ac:dyDescent="0.25">
      <c r="A31">
        <v>30</v>
      </c>
      <c r="B31" t="s">
        <v>33</v>
      </c>
      <c r="C31" t="s">
        <v>34</v>
      </c>
      <c r="D31" t="s">
        <v>24</v>
      </c>
      <c r="E31" t="s">
        <v>37</v>
      </c>
      <c r="F31">
        <v>481</v>
      </c>
      <c r="G31">
        <v>534.69000000000005</v>
      </c>
      <c r="H31">
        <v>144</v>
      </c>
      <c r="I31" s="1">
        <v>45529</v>
      </c>
      <c r="J31" t="s">
        <v>14</v>
      </c>
    </row>
    <row r="32" spans="1:10" x14ac:dyDescent="0.25">
      <c r="A32">
        <v>31</v>
      </c>
      <c r="B32" t="s">
        <v>42</v>
      </c>
      <c r="C32" t="s">
        <v>16</v>
      </c>
      <c r="D32" t="s">
        <v>21</v>
      </c>
      <c r="E32" t="s">
        <v>13</v>
      </c>
      <c r="F32">
        <v>228</v>
      </c>
      <c r="G32">
        <v>705.95</v>
      </c>
      <c r="H32">
        <v>146</v>
      </c>
      <c r="I32" s="1">
        <v>45159</v>
      </c>
      <c r="J32" t="s">
        <v>14</v>
      </c>
    </row>
    <row r="33" spans="1:10" x14ac:dyDescent="0.25">
      <c r="A33">
        <v>32</v>
      </c>
      <c r="B33" t="s">
        <v>19</v>
      </c>
      <c r="C33" t="s">
        <v>20</v>
      </c>
      <c r="D33" t="s">
        <v>17</v>
      </c>
      <c r="E33" t="s">
        <v>37</v>
      </c>
      <c r="F33">
        <v>39</v>
      </c>
      <c r="G33">
        <v>52.51</v>
      </c>
      <c r="H33">
        <v>115</v>
      </c>
      <c r="I33" s="1">
        <v>45028</v>
      </c>
      <c r="J33" t="s">
        <v>28</v>
      </c>
    </row>
    <row r="34" spans="1:10" x14ac:dyDescent="0.25">
      <c r="A34">
        <v>33</v>
      </c>
      <c r="B34" t="s">
        <v>33</v>
      </c>
      <c r="C34" t="s">
        <v>34</v>
      </c>
      <c r="D34" t="s">
        <v>21</v>
      </c>
      <c r="E34" t="s">
        <v>39</v>
      </c>
      <c r="F34">
        <v>461</v>
      </c>
      <c r="G34">
        <v>377.13</v>
      </c>
      <c r="H34">
        <v>98</v>
      </c>
      <c r="I34" s="1">
        <v>45001</v>
      </c>
      <c r="J34" t="s">
        <v>14</v>
      </c>
    </row>
    <row r="35" spans="1:10" x14ac:dyDescent="0.25">
      <c r="A35">
        <v>34</v>
      </c>
      <c r="B35" t="s">
        <v>46</v>
      </c>
      <c r="C35" t="s">
        <v>34</v>
      </c>
      <c r="D35" t="s">
        <v>17</v>
      </c>
      <c r="E35" t="s">
        <v>32</v>
      </c>
      <c r="F35">
        <v>301</v>
      </c>
      <c r="G35">
        <v>726.88</v>
      </c>
      <c r="H35">
        <v>83</v>
      </c>
      <c r="I35" s="1">
        <v>45665</v>
      </c>
      <c r="J35" t="s">
        <v>14</v>
      </c>
    </row>
    <row r="36" spans="1:10" x14ac:dyDescent="0.25">
      <c r="A36">
        <v>35</v>
      </c>
      <c r="B36" t="s">
        <v>23</v>
      </c>
      <c r="C36" t="s">
        <v>20</v>
      </c>
      <c r="D36" t="s">
        <v>30</v>
      </c>
      <c r="E36" t="s">
        <v>13</v>
      </c>
      <c r="F36">
        <v>385</v>
      </c>
      <c r="G36">
        <v>448.22</v>
      </c>
      <c r="H36">
        <v>79</v>
      </c>
      <c r="I36" s="1">
        <v>45722</v>
      </c>
      <c r="J36" t="s">
        <v>14</v>
      </c>
    </row>
    <row r="37" spans="1:10" x14ac:dyDescent="0.25">
      <c r="A37">
        <v>36</v>
      </c>
      <c r="B37" t="s">
        <v>33</v>
      </c>
      <c r="C37" t="s">
        <v>34</v>
      </c>
      <c r="D37" t="s">
        <v>21</v>
      </c>
      <c r="E37" t="s">
        <v>32</v>
      </c>
      <c r="F37">
        <v>14</v>
      </c>
      <c r="G37">
        <v>98.35</v>
      </c>
      <c r="H37">
        <v>64</v>
      </c>
      <c r="I37" s="1">
        <v>45365</v>
      </c>
      <c r="J37" t="s">
        <v>28</v>
      </c>
    </row>
    <row r="38" spans="1:10" x14ac:dyDescent="0.25">
      <c r="A38">
        <v>37</v>
      </c>
      <c r="B38" t="s">
        <v>41</v>
      </c>
      <c r="C38" t="s">
        <v>16</v>
      </c>
      <c r="D38" t="s">
        <v>30</v>
      </c>
      <c r="E38" t="s">
        <v>13</v>
      </c>
      <c r="F38">
        <v>72</v>
      </c>
      <c r="G38">
        <v>337.55</v>
      </c>
      <c r="H38">
        <v>55</v>
      </c>
      <c r="I38" s="1">
        <v>45474</v>
      </c>
      <c r="J38" t="s">
        <v>14</v>
      </c>
    </row>
    <row r="39" spans="1:10" x14ac:dyDescent="0.25">
      <c r="A39">
        <v>38</v>
      </c>
      <c r="B39" t="s">
        <v>22</v>
      </c>
      <c r="C39" t="s">
        <v>11</v>
      </c>
      <c r="D39" t="s">
        <v>24</v>
      </c>
      <c r="E39" t="s">
        <v>27</v>
      </c>
      <c r="F39">
        <v>39</v>
      </c>
      <c r="G39">
        <v>137.32</v>
      </c>
      <c r="H39">
        <v>100</v>
      </c>
      <c r="I39" s="1">
        <v>45085</v>
      </c>
      <c r="J39" t="s">
        <v>28</v>
      </c>
    </row>
    <row r="40" spans="1:10" x14ac:dyDescent="0.25">
      <c r="A40">
        <v>39</v>
      </c>
      <c r="B40" t="s">
        <v>47</v>
      </c>
      <c r="C40" t="s">
        <v>20</v>
      </c>
      <c r="D40" t="s">
        <v>17</v>
      </c>
      <c r="E40" t="s">
        <v>39</v>
      </c>
      <c r="F40">
        <v>440</v>
      </c>
      <c r="G40">
        <v>627.38</v>
      </c>
      <c r="H40">
        <v>78</v>
      </c>
      <c r="I40" s="1">
        <v>45103</v>
      </c>
      <c r="J40" t="s">
        <v>14</v>
      </c>
    </row>
    <row r="41" spans="1:10" x14ac:dyDescent="0.25">
      <c r="A41">
        <v>40</v>
      </c>
      <c r="B41" t="s">
        <v>46</v>
      </c>
      <c r="C41" t="s">
        <v>34</v>
      </c>
      <c r="D41" t="s">
        <v>12</v>
      </c>
      <c r="E41" t="s">
        <v>32</v>
      </c>
      <c r="F41">
        <v>72</v>
      </c>
      <c r="G41">
        <v>411.29</v>
      </c>
      <c r="H41">
        <v>139</v>
      </c>
      <c r="I41" s="1">
        <v>45316</v>
      </c>
      <c r="J41" t="s">
        <v>28</v>
      </c>
    </row>
    <row r="42" spans="1:10" x14ac:dyDescent="0.25">
      <c r="A42">
        <v>41</v>
      </c>
      <c r="B42" t="s">
        <v>43</v>
      </c>
      <c r="C42" t="s">
        <v>26</v>
      </c>
      <c r="D42" t="s">
        <v>21</v>
      </c>
      <c r="E42" t="s">
        <v>39</v>
      </c>
      <c r="F42">
        <v>373</v>
      </c>
      <c r="G42">
        <v>27.79</v>
      </c>
      <c r="H42">
        <v>143</v>
      </c>
      <c r="I42" s="1">
        <v>45789</v>
      </c>
      <c r="J42" t="s">
        <v>14</v>
      </c>
    </row>
    <row r="43" spans="1:10" x14ac:dyDescent="0.25">
      <c r="A43">
        <v>42</v>
      </c>
      <c r="B43" t="s">
        <v>36</v>
      </c>
      <c r="C43" t="s">
        <v>11</v>
      </c>
      <c r="D43" t="s">
        <v>21</v>
      </c>
      <c r="E43" t="s">
        <v>39</v>
      </c>
      <c r="F43">
        <v>67</v>
      </c>
      <c r="G43">
        <v>461.56</v>
      </c>
      <c r="H43">
        <v>144</v>
      </c>
      <c r="I43" s="1">
        <v>45801</v>
      </c>
      <c r="J43" t="s">
        <v>28</v>
      </c>
    </row>
    <row r="44" spans="1:10" x14ac:dyDescent="0.25">
      <c r="A44">
        <v>43</v>
      </c>
      <c r="B44" t="s">
        <v>41</v>
      </c>
      <c r="C44" t="s">
        <v>16</v>
      </c>
      <c r="D44" t="s">
        <v>12</v>
      </c>
      <c r="E44" t="s">
        <v>27</v>
      </c>
      <c r="F44">
        <v>393</v>
      </c>
      <c r="G44">
        <v>381.01</v>
      </c>
      <c r="H44">
        <v>81</v>
      </c>
      <c r="I44" s="1">
        <v>45714</v>
      </c>
      <c r="J44" t="s">
        <v>14</v>
      </c>
    </row>
    <row r="45" spans="1:10" x14ac:dyDescent="0.25">
      <c r="A45">
        <v>44</v>
      </c>
      <c r="B45" t="s">
        <v>42</v>
      </c>
      <c r="C45" t="s">
        <v>16</v>
      </c>
      <c r="D45" t="s">
        <v>17</v>
      </c>
      <c r="E45" t="s">
        <v>37</v>
      </c>
      <c r="F45">
        <v>198</v>
      </c>
      <c r="G45">
        <v>257.85000000000002</v>
      </c>
      <c r="H45">
        <v>87</v>
      </c>
      <c r="I45" s="1">
        <v>45714</v>
      </c>
      <c r="J45" t="s">
        <v>14</v>
      </c>
    </row>
    <row r="46" spans="1:10" x14ac:dyDescent="0.25">
      <c r="A46">
        <v>45</v>
      </c>
      <c r="B46" t="s">
        <v>48</v>
      </c>
      <c r="C46" t="s">
        <v>20</v>
      </c>
      <c r="D46" t="s">
        <v>30</v>
      </c>
      <c r="E46" t="s">
        <v>13</v>
      </c>
      <c r="F46">
        <v>23</v>
      </c>
      <c r="G46">
        <v>254.27</v>
      </c>
      <c r="H46">
        <v>54</v>
      </c>
      <c r="I46" s="1">
        <v>44930</v>
      </c>
      <c r="J46" t="s">
        <v>28</v>
      </c>
    </row>
    <row r="47" spans="1:10" x14ac:dyDescent="0.25">
      <c r="A47">
        <v>46</v>
      </c>
      <c r="B47" t="s">
        <v>43</v>
      </c>
      <c r="C47" t="s">
        <v>26</v>
      </c>
      <c r="D47" t="s">
        <v>24</v>
      </c>
      <c r="E47" t="s">
        <v>13</v>
      </c>
      <c r="F47">
        <v>177</v>
      </c>
      <c r="G47">
        <v>94.12</v>
      </c>
      <c r="H47">
        <v>84</v>
      </c>
      <c r="I47" s="1">
        <v>45408</v>
      </c>
      <c r="J47" t="s">
        <v>14</v>
      </c>
    </row>
    <row r="48" spans="1:10" x14ac:dyDescent="0.25">
      <c r="A48">
        <v>47</v>
      </c>
      <c r="B48" t="s">
        <v>49</v>
      </c>
      <c r="C48" t="s">
        <v>16</v>
      </c>
      <c r="D48" t="s">
        <v>21</v>
      </c>
      <c r="E48" t="s">
        <v>32</v>
      </c>
      <c r="F48">
        <v>292</v>
      </c>
      <c r="G48">
        <v>34.840000000000003</v>
      </c>
      <c r="H48">
        <v>77</v>
      </c>
      <c r="I48" s="1">
        <v>45985</v>
      </c>
      <c r="J48" t="s">
        <v>14</v>
      </c>
    </row>
    <row r="49" spans="1:10" x14ac:dyDescent="0.25">
      <c r="A49">
        <v>48</v>
      </c>
      <c r="B49" t="s">
        <v>10</v>
      </c>
      <c r="C49" t="s">
        <v>11</v>
      </c>
      <c r="D49" t="s">
        <v>12</v>
      </c>
      <c r="E49" t="s">
        <v>18</v>
      </c>
      <c r="F49">
        <v>340</v>
      </c>
      <c r="G49">
        <v>537.96</v>
      </c>
      <c r="H49">
        <v>86</v>
      </c>
      <c r="I49" s="1">
        <v>45914</v>
      </c>
      <c r="J49" t="s">
        <v>14</v>
      </c>
    </row>
    <row r="50" spans="1:10" x14ac:dyDescent="0.25">
      <c r="A50">
        <v>49</v>
      </c>
      <c r="B50" t="s">
        <v>49</v>
      </c>
      <c r="C50" t="s">
        <v>16</v>
      </c>
      <c r="D50" t="s">
        <v>21</v>
      </c>
      <c r="E50" t="s">
        <v>32</v>
      </c>
      <c r="F50">
        <v>138</v>
      </c>
      <c r="G50">
        <v>680.32</v>
      </c>
      <c r="H50">
        <v>127</v>
      </c>
      <c r="I50" s="1">
        <v>45199</v>
      </c>
      <c r="J50" t="s">
        <v>14</v>
      </c>
    </row>
    <row r="51" spans="1:10" x14ac:dyDescent="0.25">
      <c r="A51">
        <v>50</v>
      </c>
      <c r="B51" t="s">
        <v>48</v>
      </c>
      <c r="C51" t="s">
        <v>20</v>
      </c>
      <c r="D51" t="s">
        <v>12</v>
      </c>
      <c r="E51" t="s">
        <v>18</v>
      </c>
      <c r="F51">
        <v>47</v>
      </c>
      <c r="G51">
        <v>397.9</v>
      </c>
      <c r="H51">
        <v>134</v>
      </c>
      <c r="I51" s="1">
        <v>45300</v>
      </c>
      <c r="J51" t="s">
        <v>28</v>
      </c>
    </row>
    <row r="52" spans="1:10" x14ac:dyDescent="0.25">
      <c r="A52">
        <v>51</v>
      </c>
      <c r="B52" t="s">
        <v>42</v>
      </c>
      <c r="C52" t="s">
        <v>16</v>
      </c>
      <c r="D52" t="s">
        <v>24</v>
      </c>
      <c r="E52" t="s">
        <v>39</v>
      </c>
      <c r="F52">
        <v>364</v>
      </c>
      <c r="G52">
        <v>486.52</v>
      </c>
      <c r="H52">
        <v>141</v>
      </c>
      <c r="I52" s="1">
        <v>45397</v>
      </c>
      <c r="J52" t="s">
        <v>14</v>
      </c>
    </row>
    <row r="53" spans="1:10" x14ac:dyDescent="0.25">
      <c r="A53">
        <v>52</v>
      </c>
      <c r="B53" t="s">
        <v>33</v>
      </c>
      <c r="C53" t="s">
        <v>34</v>
      </c>
      <c r="D53" t="s">
        <v>30</v>
      </c>
      <c r="E53" t="s">
        <v>27</v>
      </c>
      <c r="F53">
        <v>482</v>
      </c>
      <c r="G53">
        <v>465.28</v>
      </c>
      <c r="H53">
        <v>117</v>
      </c>
      <c r="I53" s="1">
        <v>45602</v>
      </c>
      <c r="J53" t="s">
        <v>14</v>
      </c>
    </row>
    <row r="54" spans="1:10" x14ac:dyDescent="0.25">
      <c r="A54">
        <v>53</v>
      </c>
      <c r="B54" t="s">
        <v>25</v>
      </c>
      <c r="C54" t="s">
        <v>26</v>
      </c>
      <c r="D54" t="s">
        <v>30</v>
      </c>
      <c r="E54" t="s">
        <v>32</v>
      </c>
      <c r="F54">
        <v>284</v>
      </c>
      <c r="G54">
        <v>493.62</v>
      </c>
      <c r="H54">
        <v>73</v>
      </c>
      <c r="I54" s="1">
        <v>45918</v>
      </c>
      <c r="J54" t="s">
        <v>14</v>
      </c>
    </row>
    <row r="55" spans="1:10" x14ac:dyDescent="0.25">
      <c r="A55">
        <v>54</v>
      </c>
      <c r="B55" t="s">
        <v>22</v>
      </c>
      <c r="C55" t="s">
        <v>11</v>
      </c>
      <c r="D55" t="s">
        <v>30</v>
      </c>
      <c r="E55" t="s">
        <v>18</v>
      </c>
      <c r="F55">
        <v>134</v>
      </c>
      <c r="G55">
        <v>383.83</v>
      </c>
      <c r="H55">
        <v>128</v>
      </c>
      <c r="I55" s="1">
        <v>45754</v>
      </c>
      <c r="J55" t="s">
        <v>14</v>
      </c>
    </row>
    <row r="56" spans="1:10" x14ac:dyDescent="0.25">
      <c r="A56">
        <v>55</v>
      </c>
      <c r="B56" t="s">
        <v>44</v>
      </c>
      <c r="C56" t="s">
        <v>34</v>
      </c>
      <c r="D56" t="s">
        <v>12</v>
      </c>
      <c r="E56" t="s">
        <v>18</v>
      </c>
      <c r="F56">
        <v>194</v>
      </c>
      <c r="G56">
        <v>287.77999999999997</v>
      </c>
      <c r="H56">
        <v>103</v>
      </c>
      <c r="I56" s="1">
        <v>45963</v>
      </c>
      <c r="J56" t="s">
        <v>14</v>
      </c>
    </row>
    <row r="57" spans="1:10" x14ac:dyDescent="0.25">
      <c r="A57">
        <v>56</v>
      </c>
      <c r="B57" t="s">
        <v>44</v>
      </c>
      <c r="C57" t="s">
        <v>34</v>
      </c>
      <c r="D57" t="s">
        <v>17</v>
      </c>
      <c r="E57" t="s">
        <v>18</v>
      </c>
      <c r="F57">
        <v>323</v>
      </c>
      <c r="G57">
        <v>51.27</v>
      </c>
      <c r="H57">
        <v>88</v>
      </c>
      <c r="I57" s="1">
        <v>45552</v>
      </c>
      <c r="J57" t="s">
        <v>14</v>
      </c>
    </row>
    <row r="58" spans="1:10" x14ac:dyDescent="0.25">
      <c r="A58">
        <v>57</v>
      </c>
      <c r="B58" t="s">
        <v>43</v>
      </c>
      <c r="C58" t="s">
        <v>26</v>
      </c>
      <c r="D58" t="s">
        <v>17</v>
      </c>
      <c r="E58" t="s">
        <v>18</v>
      </c>
      <c r="F58">
        <v>49</v>
      </c>
      <c r="G58">
        <v>86.68</v>
      </c>
      <c r="H58">
        <v>114</v>
      </c>
      <c r="I58" s="1">
        <v>45680</v>
      </c>
      <c r="J58" t="s">
        <v>28</v>
      </c>
    </row>
    <row r="59" spans="1:10" x14ac:dyDescent="0.25">
      <c r="A59">
        <v>58</v>
      </c>
      <c r="B59" t="s">
        <v>33</v>
      </c>
      <c r="C59" t="s">
        <v>34</v>
      </c>
      <c r="D59" t="s">
        <v>12</v>
      </c>
      <c r="E59" t="s">
        <v>37</v>
      </c>
      <c r="F59">
        <v>387</v>
      </c>
      <c r="G59">
        <v>108.51</v>
      </c>
      <c r="H59">
        <v>53</v>
      </c>
      <c r="I59" s="1">
        <v>45613</v>
      </c>
      <c r="J59" t="s">
        <v>14</v>
      </c>
    </row>
    <row r="60" spans="1:10" x14ac:dyDescent="0.25">
      <c r="A60">
        <v>59</v>
      </c>
      <c r="B60" t="s">
        <v>45</v>
      </c>
      <c r="C60" t="s">
        <v>26</v>
      </c>
      <c r="D60" t="s">
        <v>24</v>
      </c>
      <c r="E60" t="s">
        <v>27</v>
      </c>
      <c r="F60">
        <v>409</v>
      </c>
      <c r="G60">
        <v>307.68</v>
      </c>
      <c r="H60">
        <v>61</v>
      </c>
      <c r="I60" s="1">
        <v>45124</v>
      </c>
      <c r="J60" t="s">
        <v>14</v>
      </c>
    </row>
    <row r="61" spans="1:10" x14ac:dyDescent="0.25">
      <c r="A61">
        <v>60</v>
      </c>
      <c r="B61" t="s">
        <v>25</v>
      </c>
      <c r="C61" t="s">
        <v>26</v>
      </c>
      <c r="D61" t="s">
        <v>24</v>
      </c>
      <c r="E61" t="s">
        <v>32</v>
      </c>
      <c r="F61">
        <v>459</v>
      </c>
      <c r="G61">
        <v>396.69</v>
      </c>
      <c r="H61">
        <v>95</v>
      </c>
      <c r="I61" s="1">
        <v>45902</v>
      </c>
      <c r="J61" t="s">
        <v>14</v>
      </c>
    </row>
    <row r="62" spans="1:10" x14ac:dyDescent="0.25">
      <c r="A62">
        <v>61</v>
      </c>
      <c r="B62" t="s">
        <v>50</v>
      </c>
      <c r="C62" t="s">
        <v>34</v>
      </c>
      <c r="D62" t="s">
        <v>24</v>
      </c>
      <c r="E62" t="s">
        <v>39</v>
      </c>
      <c r="F62">
        <v>369</v>
      </c>
      <c r="G62">
        <v>474.74</v>
      </c>
      <c r="H62">
        <v>54</v>
      </c>
      <c r="I62" s="1">
        <v>45446</v>
      </c>
      <c r="J62" t="s">
        <v>14</v>
      </c>
    </row>
    <row r="63" spans="1:10" x14ac:dyDescent="0.25">
      <c r="A63">
        <v>62</v>
      </c>
      <c r="B63" t="s">
        <v>41</v>
      </c>
      <c r="C63" t="s">
        <v>16</v>
      </c>
      <c r="D63" t="s">
        <v>24</v>
      </c>
      <c r="E63" t="s">
        <v>32</v>
      </c>
      <c r="F63">
        <v>71</v>
      </c>
      <c r="G63">
        <v>14.42</v>
      </c>
      <c r="H63">
        <v>92</v>
      </c>
      <c r="I63" s="1">
        <v>45097</v>
      </c>
      <c r="J63" t="s">
        <v>28</v>
      </c>
    </row>
    <row r="64" spans="1:10" x14ac:dyDescent="0.25">
      <c r="A64">
        <v>63</v>
      </c>
      <c r="B64" t="s">
        <v>31</v>
      </c>
      <c r="C64" t="s">
        <v>20</v>
      </c>
      <c r="D64" t="s">
        <v>17</v>
      </c>
      <c r="E64" t="s">
        <v>39</v>
      </c>
      <c r="F64">
        <v>390</v>
      </c>
      <c r="G64">
        <v>688.76</v>
      </c>
      <c r="H64">
        <v>77</v>
      </c>
      <c r="I64" s="1">
        <v>45314</v>
      </c>
      <c r="J64" t="s">
        <v>14</v>
      </c>
    </row>
    <row r="65" spans="1:10" x14ac:dyDescent="0.25">
      <c r="A65">
        <v>64</v>
      </c>
      <c r="B65" t="s">
        <v>43</v>
      </c>
      <c r="C65" t="s">
        <v>26</v>
      </c>
      <c r="D65" t="s">
        <v>12</v>
      </c>
      <c r="E65" t="s">
        <v>39</v>
      </c>
      <c r="F65">
        <v>347</v>
      </c>
      <c r="G65">
        <v>788.98</v>
      </c>
      <c r="H65">
        <v>106</v>
      </c>
      <c r="I65" s="1">
        <v>45951</v>
      </c>
      <c r="J65" t="s">
        <v>14</v>
      </c>
    </row>
    <row r="66" spans="1:10" x14ac:dyDescent="0.25">
      <c r="A66">
        <v>65</v>
      </c>
      <c r="B66" t="s">
        <v>25</v>
      </c>
      <c r="C66" t="s">
        <v>26</v>
      </c>
      <c r="D66" t="s">
        <v>17</v>
      </c>
      <c r="E66" t="s">
        <v>13</v>
      </c>
      <c r="F66">
        <v>348</v>
      </c>
      <c r="G66">
        <v>706.89</v>
      </c>
      <c r="H66">
        <v>128</v>
      </c>
      <c r="I66" s="1">
        <v>45183</v>
      </c>
      <c r="J66" t="s">
        <v>14</v>
      </c>
    </row>
    <row r="67" spans="1:10" x14ac:dyDescent="0.25">
      <c r="A67">
        <v>66</v>
      </c>
      <c r="B67" t="s">
        <v>19</v>
      </c>
      <c r="C67" t="s">
        <v>20</v>
      </c>
      <c r="D67" t="s">
        <v>24</v>
      </c>
      <c r="E67" t="s">
        <v>13</v>
      </c>
      <c r="F67">
        <v>491</v>
      </c>
      <c r="G67">
        <v>773.15</v>
      </c>
      <c r="H67">
        <v>128</v>
      </c>
      <c r="I67" s="1">
        <v>45279</v>
      </c>
      <c r="J67" t="s">
        <v>14</v>
      </c>
    </row>
    <row r="68" spans="1:10" x14ac:dyDescent="0.25">
      <c r="A68">
        <v>67</v>
      </c>
      <c r="B68" t="s">
        <v>47</v>
      </c>
      <c r="C68" t="s">
        <v>20</v>
      </c>
      <c r="D68" t="s">
        <v>24</v>
      </c>
      <c r="E68" t="s">
        <v>37</v>
      </c>
      <c r="F68">
        <v>358</v>
      </c>
      <c r="G68">
        <v>31.7</v>
      </c>
      <c r="H68">
        <v>89</v>
      </c>
      <c r="I68" s="1">
        <v>45518</v>
      </c>
      <c r="J68" t="s">
        <v>14</v>
      </c>
    </row>
    <row r="69" spans="1:10" x14ac:dyDescent="0.25">
      <c r="A69">
        <v>68</v>
      </c>
      <c r="B69" t="s">
        <v>35</v>
      </c>
      <c r="C69" t="s">
        <v>11</v>
      </c>
      <c r="D69" t="s">
        <v>24</v>
      </c>
      <c r="E69" t="s">
        <v>13</v>
      </c>
      <c r="F69">
        <v>70</v>
      </c>
      <c r="G69">
        <v>310.27</v>
      </c>
      <c r="H69">
        <v>87</v>
      </c>
      <c r="I69" s="1">
        <v>45857</v>
      </c>
      <c r="J69" t="s">
        <v>28</v>
      </c>
    </row>
    <row r="70" spans="1:10" x14ac:dyDescent="0.25">
      <c r="A70">
        <v>69</v>
      </c>
      <c r="B70" t="s">
        <v>19</v>
      </c>
      <c r="C70" t="s">
        <v>20</v>
      </c>
      <c r="D70" t="s">
        <v>17</v>
      </c>
      <c r="E70" t="s">
        <v>13</v>
      </c>
      <c r="F70">
        <v>116</v>
      </c>
      <c r="G70">
        <v>726.06</v>
      </c>
      <c r="H70">
        <v>50</v>
      </c>
      <c r="I70" s="1">
        <v>45557</v>
      </c>
      <c r="J70" t="s">
        <v>14</v>
      </c>
    </row>
    <row r="71" spans="1:10" x14ac:dyDescent="0.25">
      <c r="A71">
        <v>70</v>
      </c>
      <c r="B71" t="s">
        <v>29</v>
      </c>
      <c r="C71" t="s">
        <v>16</v>
      </c>
      <c r="D71" t="s">
        <v>21</v>
      </c>
      <c r="E71" t="s">
        <v>18</v>
      </c>
      <c r="F71">
        <v>275</v>
      </c>
      <c r="G71">
        <v>328.71</v>
      </c>
      <c r="H71">
        <v>141</v>
      </c>
      <c r="I71" s="1">
        <v>44991</v>
      </c>
      <c r="J71" t="s">
        <v>14</v>
      </c>
    </row>
    <row r="72" spans="1:10" x14ac:dyDescent="0.25">
      <c r="A72">
        <v>71</v>
      </c>
      <c r="B72" t="s">
        <v>41</v>
      </c>
      <c r="C72" t="s">
        <v>16</v>
      </c>
      <c r="D72" t="s">
        <v>30</v>
      </c>
      <c r="E72" t="s">
        <v>39</v>
      </c>
      <c r="F72">
        <v>412</v>
      </c>
      <c r="G72">
        <v>669.16</v>
      </c>
      <c r="H72">
        <v>142</v>
      </c>
      <c r="I72" s="1">
        <v>45767</v>
      </c>
      <c r="J72" t="s">
        <v>14</v>
      </c>
    </row>
    <row r="73" spans="1:10" x14ac:dyDescent="0.25">
      <c r="A73">
        <v>72</v>
      </c>
      <c r="B73" t="s">
        <v>23</v>
      </c>
      <c r="C73" t="s">
        <v>20</v>
      </c>
      <c r="D73" t="s">
        <v>30</v>
      </c>
      <c r="E73" t="s">
        <v>13</v>
      </c>
      <c r="F73">
        <v>142</v>
      </c>
      <c r="G73">
        <v>503.95</v>
      </c>
      <c r="H73">
        <v>82</v>
      </c>
      <c r="I73" s="1">
        <v>45821</v>
      </c>
      <c r="J73" t="s">
        <v>14</v>
      </c>
    </row>
    <row r="74" spans="1:10" x14ac:dyDescent="0.25">
      <c r="A74">
        <v>73</v>
      </c>
      <c r="B74" t="s">
        <v>23</v>
      </c>
      <c r="C74" t="s">
        <v>20</v>
      </c>
      <c r="D74" t="s">
        <v>17</v>
      </c>
      <c r="E74" t="s">
        <v>13</v>
      </c>
      <c r="F74">
        <v>234</v>
      </c>
      <c r="G74">
        <v>643.46</v>
      </c>
      <c r="H74">
        <v>75</v>
      </c>
      <c r="I74" s="1">
        <v>45439</v>
      </c>
      <c r="J74" t="s">
        <v>14</v>
      </c>
    </row>
    <row r="75" spans="1:10" x14ac:dyDescent="0.25">
      <c r="A75">
        <v>74</v>
      </c>
      <c r="B75" t="s">
        <v>46</v>
      </c>
      <c r="C75" t="s">
        <v>34</v>
      </c>
      <c r="D75" t="s">
        <v>24</v>
      </c>
      <c r="E75" t="s">
        <v>37</v>
      </c>
      <c r="F75">
        <v>405</v>
      </c>
      <c r="G75">
        <v>91.87</v>
      </c>
      <c r="H75">
        <v>149</v>
      </c>
      <c r="I75" s="1">
        <v>45253</v>
      </c>
      <c r="J75" t="s">
        <v>14</v>
      </c>
    </row>
    <row r="76" spans="1:10" x14ac:dyDescent="0.25">
      <c r="A76">
        <v>75</v>
      </c>
      <c r="B76" t="s">
        <v>51</v>
      </c>
      <c r="C76" t="s">
        <v>11</v>
      </c>
      <c r="D76" t="s">
        <v>30</v>
      </c>
      <c r="E76" t="s">
        <v>39</v>
      </c>
      <c r="F76">
        <v>41</v>
      </c>
      <c r="G76">
        <v>37.17</v>
      </c>
      <c r="H76">
        <v>71</v>
      </c>
      <c r="I76" s="1">
        <v>44982</v>
      </c>
      <c r="J76" t="s">
        <v>28</v>
      </c>
    </row>
    <row r="77" spans="1:10" x14ac:dyDescent="0.25">
      <c r="A77">
        <v>76</v>
      </c>
      <c r="B77" t="s">
        <v>41</v>
      </c>
      <c r="C77" t="s">
        <v>16</v>
      </c>
      <c r="D77" t="s">
        <v>12</v>
      </c>
      <c r="E77" t="s">
        <v>37</v>
      </c>
      <c r="F77">
        <v>63</v>
      </c>
      <c r="G77">
        <v>171.66</v>
      </c>
      <c r="H77">
        <v>148</v>
      </c>
      <c r="I77" s="1">
        <v>45415</v>
      </c>
      <c r="J77" t="s">
        <v>28</v>
      </c>
    </row>
    <row r="78" spans="1:10" x14ac:dyDescent="0.25">
      <c r="A78">
        <v>77</v>
      </c>
      <c r="B78" t="s">
        <v>40</v>
      </c>
      <c r="C78" t="s">
        <v>34</v>
      </c>
      <c r="D78" t="s">
        <v>30</v>
      </c>
      <c r="E78" t="s">
        <v>39</v>
      </c>
      <c r="F78">
        <v>199</v>
      </c>
      <c r="G78">
        <v>428.13</v>
      </c>
      <c r="H78">
        <v>105</v>
      </c>
      <c r="I78" s="1">
        <v>45348</v>
      </c>
      <c r="J78" t="s">
        <v>14</v>
      </c>
    </row>
    <row r="79" spans="1:10" x14ac:dyDescent="0.25">
      <c r="A79">
        <v>78</v>
      </c>
      <c r="B79" t="s">
        <v>50</v>
      </c>
      <c r="C79" t="s">
        <v>34</v>
      </c>
      <c r="D79" t="s">
        <v>30</v>
      </c>
      <c r="E79" t="s">
        <v>39</v>
      </c>
      <c r="F79">
        <v>61</v>
      </c>
      <c r="G79">
        <v>602.24</v>
      </c>
      <c r="H79">
        <v>150</v>
      </c>
      <c r="I79" s="1">
        <v>45592</v>
      </c>
      <c r="J79" t="s">
        <v>28</v>
      </c>
    </row>
    <row r="80" spans="1:10" x14ac:dyDescent="0.25">
      <c r="A80">
        <v>79</v>
      </c>
      <c r="B80" t="s">
        <v>43</v>
      </c>
      <c r="C80" t="s">
        <v>26</v>
      </c>
      <c r="D80" t="s">
        <v>24</v>
      </c>
      <c r="E80" t="s">
        <v>37</v>
      </c>
      <c r="F80">
        <v>389</v>
      </c>
      <c r="G80">
        <v>576.95000000000005</v>
      </c>
      <c r="H80">
        <v>120</v>
      </c>
      <c r="I80" s="1">
        <v>45896</v>
      </c>
      <c r="J80" t="s">
        <v>14</v>
      </c>
    </row>
    <row r="81" spans="1:10" x14ac:dyDescent="0.25">
      <c r="A81">
        <v>80</v>
      </c>
      <c r="B81" t="s">
        <v>35</v>
      </c>
      <c r="C81" t="s">
        <v>11</v>
      </c>
      <c r="D81" t="s">
        <v>30</v>
      </c>
      <c r="E81" t="s">
        <v>37</v>
      </c>
      <c r="F81">
        <v>452</v>
      </c>
      <c r="G81">
        <v>312.13</v>
      </c>
      <c r="H81">
        <v>64</v>
      </c>
      <c r="I81" s="1">
        <v>45083</v>
      </c>
      <c r="J81" t="s">
        <v>14</v>
      </c>
    </row>
    <row r="82" spans="1:10" x14ac:dyDescent="0.25">
      <c r="A82">
        <v>81</v>
      </c>
      <c r="B82" t="s">
        <v>10</v>
      </c>
      <c r="C82" t="s">
        <v>11</v>
      </c>
      <c r="D82" t="s">
        <v>24</v>
      </c>
      <c r="E82" t="s">
        <v>27</v>
      </c>
      <c r="F82">
        <v>364</v>
      </c>
      <c r="G82">
        <v>667.75</v>
      </c>
      <c r="H82">
        <v>88</v>
      </c>
      <c r="I82" s="1">
        <v>45549</v>
      </c>
      <c r="J82" t="s">
        <v>14</v>
      </c>
    </row>
    <row r="83" spans="1:10" x14ac:dyDescent="0.25">
      <c r="A83">
        <v>82</v>
      </c>
      <c r="B83" t="s">
        <v>42</v>
      </c>
      <c r="C83" t="s">
        <v>16</v>
      </c>
      <c r="D83" t="s">
        <v>12</v>
      </c>
      <c r="E83" t="s">
        <v>32</v>
      </c>
      <c r="F83">
        <v>295</v>
      </c>
      <c r="G83">
        <v>138.18</v>
      </c>
      <c r="H83">
        <v>57</v>
      </c>
      <c r="I83" s="1">
        <v>45372</v>
      </c>
      <c r="J83" t="s">
        <v>14</v>
      </c>
    </row>
    <row r="84" spans="1:10" x14ac:dyDescent="0.25">
      <c r="A84">
        <v>83</v>
      </c>
      <c r="B84" t="s">
        <v>52</v>
      </c>
      <c r="C84" t="s">
        <v>16</v>
      </c>
      <c r="D84" t="s">
        <v>24</v>
      </c>
      <c r="E84" t="s">
        <v>18</v>
      </c>
      <c r="F84">
        <v>316</v>
      </c>
      <c r="G84">
        <v>23.78</v>
      </c>
      <c r="H84">
        <v>133</v>
      </c>
      <c r="I84" s="1">
        <v>45984</v>
      </c>
      <c r="J84" t="s">
        <v>14</v>
      </c>
    </row>
    <row r="85" spans="1:10" x14ac:dyDescent="0.25">
      <c r="A85">
        <v>84</v>
      </c>
      <c r="B85" t="s">
        <v>53</v>
      </c>
      <c r="C85" t="s">
        <v>26</v>
      </c>
      <c r="D85" t="s">
        <v>12</v>
      </c>
      <c r="E85" t="s">
        <v>27</v>
      </c>
      <c r="F85">
        <v>55</v>
      </c>
      <c r="G85">
        <v>527.02</v>
      </c>
      <c r="H85">
        <v>84</v>
      </c>
      <c r="I85" s="1">
        <v>45958</v>
      </c>
      <c r="J85" t="s">
        <v>28</v>
      </c>
    </row>
    <row r="86" spans="1:10" x14ac:dyDescent="0.25">
      <c r="A86">
        <v>85</v>
      </c>
      <c r="B86" t="s">
        <v>42</v>
      </c>
      <c r="C86" t="s">
        <v>16</v>
      </c>
      <c r="D86" t="s">
        <v>21</v>
      </c>
      <c r="E86" t="s">
        <v>27</v>
      </c>
      <c r="F86">
        <v>271</v>
      </c>
      <c r="G86">
        <v>701.3</v>
      </c>
      <c r="H86">
        <v>131</v>
      </c>
      <c r="I86" s="1">
        <v>45918</v>
      </c>
      <c r="J86" t="s">
        <v>14</v>
      </c>
    </row>
    <row r="87" spans="1:10" x14ac:dyDescent="0.25">
      <c r="A87">
        <v>86</v>
      </c>
      <c r="B87" t="s">
        <v>49</v>
      </c>
      <c r="C87" t="s">
        <v>16</v>
      </c>
      <c r="D87" t="s">
        <v>30</v>
      </c>
      <c r="E87" t="s">
        <v>13</v>
      </c>
      <c r="F87">
        <v>395</v>
      </c>
      <c r="G87">
        <v>467.06</v>
      </c>
      <c r="H87">
        <v>144</v>
      </c>
      <c r="I87" s="1">
        <v>46022</v>
      </c>
      <c r="J87" t="s">
        <v>14</v>
      </c>
    </row>
    <row r="88" spans="1:10" x14ac:dyDescent="0.25">
      <c r="A88">
        <v>87</v>
      </c>
      <c r="B88" t="s">
        <v>10</v>
      </c>
      <c r="C88" t="s">
        <v>11</v>
      </c>
      <c r="D88" t="s">
        <v>24</v>
      </c>
      <c r="E88" t="s">
        <v>27</v>
      </c>
      <c r="F88">
        <v>116</v>
      </c>
      <c r="G88">
        <v>249.79</v>
      </c>
      <c r="H88">
        <v>131</v>
      </c>
      <c r="I88" s="1">
        <v>45367</v>
      </c>
      <c r="J88" t="s">
        <v>28</v>
      </c>
    </row>
    <row r="89" spans="1:10" x14ac:dyDescent="0.25">
      <c r="A89">
        <v>88</v>
      </c>
      <c r="B89" t="s">
        <v>52</v>
      </c>
      <c r="C89" t="s">
        <v>16</v>
      </c>
      <c r="D89" t="s">
        <v>24</v>
      </c>
      <c r="E89" t="s">
        <v>13</v>
      </c>
      <c r="F89">
        <v>342</v>
      </c>
      <c r="G89">
        <v>382.43</v>
      </c>
      <c r="H89">
        <v>99</v>
      </c>
      <c r="I89" s="1">
        <v>45437</v>
      </c>
      <c r="J89" t="s">
        <v>14</v>
      </c>
    </row>
    <row r="90" spans="1:10" x14ac:dyDescent="0.25">
      <c r="A90">
        <v>89</v>
      </c>
      <c r="B90" t="s">
        <v>51</v>
      </c>
      <c r="C90" t="s">
        <v>11</v>
      </c>
      <c r="D90" t="s">
        <v>24</v>
      </c>
      <c r="E90" t="s">
        <v>27</v>
      </c>
      <c r="F90">
        <v>177</v>
      </c>
      <c r="G90">
        <v>513.9</v>
      </c>
      <c r="H90">
        <v>132</v>
      </c>
      <c r="I90" s="1">
        <v>45144</v>
      </c>
      <c r="J90" t="s">
        <v>14</v>
      </c>
    </row>
    <row r="91" spans="1:10" x14ac:dyDescent="0.25">
      <c r="A91">
        <v>90</v>
      </c>
      <c r="B91" t="s">
        <v>54</v>
      </c>
      <c r="C91" t="s">
        <v>20</v>
      </c>
      <c r="D91" t="s">
        <v>30</v>
      </c>
      <c r="E91" t="s">
        <v>37</v>
      </c>
      <c r="F91">
        <v>284</v>
      </c>
      <c r="G91">
        <v>411.17</v>
      </c>
      <c r="H91">
        <v>147</v>
      </c>
      <c r="I91" s="1">
        <v>45723</v>
      </c>
      <c r="J91" t="s">
        <v>14</v>
      </c>
    </row>
    <row r="92" spans="1:10" x14ac:dyDescent="0.25">
      <c r="A92">
        <v>91</v>
      </c>
      <c r="B92" t="s">
        <v>47</v>
      </c>
      <c r="C92" t="s">
        <v>20</v>
      </c>
      <c r="D92" t="s">
        <v>24</v>
      </c>
      <c r="E92" t="s">
        <v>18</v>
      </c>
      <c r="F92">
        <v>463</v>
      </c>
      <c r="G92">
        <v>305.60000000000002</v>
      </c>
      <c r="H92">
        <v>53</v>
      </c>
      <c r="I92" s="1">
        <v>44994</v>
      </c>
      <c r="J92" t="s">
        <v>14</v>
      </c>
    </row>
    <row r="93" spans="1:10" x14ac:dyDescent="0.25">
      <c r="A93">
        <v>92</v>
      </c>
      <c r="B93" t="s">
        <v>42</v>
      </c>
      <c r="C93" t="s">
        <v>16</v>
      </c>
      <c r="D93" t="s">
        <v>17</v>
      </c>
      <c r="E93" t="s">
        <v>32</v>
      </c>
      <c r="F93">
        <v>304</v>
      </c>
      <c r="G93">
        <v>364.73</v>
      </c>
      <c r="H93">
        <v>72</v>
      </c>
      <c r="I93" s="1">
        <v>46003</v>
      </c>
      <c r="J93" t="s">
        <v>14</v>
      </c>
    </row>
    <row r="94" spans="1:10" x14ac:dyDescent="0.25">
      <c r="A94">
        <v>93</v>
      </c>
      <c r="B94" t="s">
        <v>50</v>
      </c>
      <c r="C94" t="s">
        <v>34</v>
      </c>
      <c r="D94" t="s">
        <v>21</v>
      </c>
      <c r="E94" t="s">
        <v>13</v>
      </c>
      <c r="F94">
        <v>375</v>
      </c>
      <c r="G94">
        <v>587.20000000000005</v>
      </c>
      <c r="H94">
        <v>121</v>
      </c>
      <c r="I94" s="1">
        <v>45632</v>
      </c>
      <c r="J94" t="s">
        <v>14</v>
      </c>
    </row>
    <row r="95" spans="1:10" x14ac:dyDescent="0.25">
      <c r="A95">
        <v>94</v>
      </c>
      <c r="B95" t="s">
        <v>53</v>
      </c>
      <c r="C95" t="s">
        <v>26</v>
      </c>
      <c r="D95" t="s">
        <v>24</v>
      </c>
      <c r="E95" t="s">
        <v>32</v>
      </c>
      <c r="F95">
        <v>237</v>
      </c>
      <c r="G95">
        <v>421.29</v>
      </c>
      <c r="H95">
        <v>60</v>
      </c>
      <c r="I95" s="1">
        <v>45651</v>
      </c>
      <c r="J95" t="s">
        <v>14</v>
      </c>
    </row>
    <row r="96" spans="1:10" x14ac:dyDescent="0.25">
      <c r="A96">
        <v>95</v>
      </c>
      <c r="B96" t="s">
        <v>36</v>
      </c>
      <c r="C96" t="s">
        <v>11</v>
      </c>
      <c r="D96" t="s">
        <v>21</v>
      </c>
      <c r="E96" t="s">
        <v>32</v>
      </c>
      <c r="F96">
        <v>239</v>
      </c>
      <c r="G96">
        <v>391</v>
      </c>
      <c r="H96">
        <v>96</v>
      </c>
      <c r="I96" s="1">
        <v>45460</v>
      </c>
      <c r="J96" t="s">
        <v>14</v>
      </c>
    </row>
    <row r="97" spans="1:10" x14ac:dyDescent="0.25">
      <c r="A97">
        <v>96</v>
      </c>
      <c r="B97" t="s">
        <v>43</v>
      </c>
      <c r="C97" t="s">
        <v>26</v>
      </c>
      <c r="D97" t="s">
        <v>12</v>
      </c>
      <c r="E97" t="s">
        <v>18</v>
      </c>
      <c r="F97">
        <v>361</v>
      </c>
      <c r="G97">
        <v>301.23</v>
      </c>
      <c r="H97">
        <v>94</v>
      </c>
      <c r="I97" s="1">
        <v>45284</v>
      </c>
      <c r="J97" t="s">
        <v>14</v>
      </c>
    </row>
    <row r="98" spans="1:10" x14ac:dyDescent="0.25">
      <c r="A98">
        <v>97</v>
      </c>
      <c r="B98" t="s">
        <v>31</v>
      </c>
      <c r="C98" t="s">
        <v>20</v>
      </c>
      <c r="D98" t="s">
        <v>24</v>
      </c>
      <c r="E98" t="s">
        <v>27</v>
      </c>
      <c r="F98">
        <v>402</v>
      </c>
      <c r="G98">
        <v>265.20999999999998</v>
      </c>
      <c r="H98">
        <v>106</v>
      </c>
      <c r="I98" s="1">
        <v>45019</v>
      </c>
      <c r="J98" t="s">
        <v>14</v>
      </c>
    </row>
    <row r="99" spans="1:10" x14ac:dyDescent="0.25">
      <c r="A99">
        <v>98</v>
      </c>
      <c r="B99" t="s">
        <v>40</v>
      </c>
      <c r="C99" t="s">
        <v>34</v>
      </c>
      <c r="D99" t="s">
        <v>24</v>
      </c>
      <c r="E99" t="s">
        <v>37</v>
      </c>
      <c r="F99">
        <v>207</v>
      </c>
      <c r="G99">
        <v>172.82</v>
      </c>
      <c r="H99">
        <v>64</v>
      </c>
      <c r="I99" s="1">
        <v>45429</v>
      </c>
      <c r="J99" t="s">
        <v>14</v>
      </c>
    </row>
    <row r="100" spans="1:10" x14ac:dyDescent="0.25">
      <c r="A100">
        <v>99</v>
      </c>
      <c r="B100" t="s">
        <v>31</v>
      </c>
      <c r="C100" t="s">
        <v>20</v>
      </c>
      <c r="D100" t="s">
        <v>21</v>
      </c>
      <c r="E100" t="s">
        <v>27</v>
      </c>
      <c r="F100">
        <v>146</v>
      </c>
      <c r="G100">
        <v>559.09</v>
      </c>
      <c r="H100">
        <v>61</v>
      </c>
      <c r="I100" s="1">
        <v>45604</v>
      </c>
      <c r="J100" t="s">
        <v>14</v>
      </c>
    </row>
    <row r="101" spans="1:10" x14ac:dyDescent="0.25">
      <c r="A101">
        <v>100</v>
      </c>
      <c r="B101" t="s">
        <v>22</v>
      </c>
      <c r="C101" t="s">
        <v>11</v>
      </c>
      <c r="D101" t="s">
        <v>12</v>
      </c>
      <c r="E101" t="s">
        <v>13</v>
      </c>
      <c r="F101">
        <v>338</v>
      </c>
      <c r="G101">
        <v>239.9</v>
      </c>
      <c r="H101">
        <v>66</v>
      </c>
      <c r="I101" s="1">
        <v>46021</v>
      </c>
      <c r="J101" t="s">
        <v>14</v>
      </c>
    </row>
    <row r="102" spans="1:10" x14ac:dyDescent="0.25">
      <c r="A102">
        <v>101</v>
      </c>
      <c r="B102" t="s">
        <v>15</v>
      </c>
      <c r="C102" t="s">
        <v>16</v>
      </c>
      <c r="D102" t="s">
        <v>21</v>
      </c>
      <c r="E102" t="s">
        <v>13</v>
      </c>
      <c r="F102">
        <v>260</v>
      </c>
      <c r="G102">
        <v>428.62</v>
      </c>
      <c r="H102">
        <v>142</v>
      </c>
      <c r="I102" s="1">
        <v>45221</v>
      </c>
      <c r="J102" t="s">
        <v>14</v>
      </c>
    </row>
    <row r="103" spans="1:10" x14ac:dyDescent="0.25">
      <c r="A103">
        <v>102</v>
      </c>
      <c r="B103" t="s">
        <v>25</v>
      </c>
      <c r="C103" t="s">
        <v>26</v>
      </c>
      <c r="D103" t="s">
        <v>17</v>
      </c>
      <c r="E103" t="s">
        <v>18</v>
      </c>
      <c r="F103">
        <v>50</v>
      </c>
      <c r="G103">
        <v>337.2</v>
      </c>
      <c r="H103">
        <v>68</v>
      </c>
      <c r="I103" s="1">
        <v>45753</v>
      </c>
      <c r="J103" t="s">
        <v>28</v>
      </c>
    </row>
    <row r="104" spans="1:10" x14ac:dyDescent="0.25">
      <c r="A104">
        <v>103</v>
      </c>
      <c r="B104" t="s">
        <v>41</v>
      </c>
      <c r="C104" t="s">
        <v>16</v>
      </c>
      <c r="D104" t="s">
        <v>17</v>
      </c>
      <c r="E104" t="s">
        <v>39</v>
      </c>
      <c r="F104">
        <v>156</v>
      </c>
      <c r="G104">
        <v>318.95</v>
      </c>
      <c r="H104">
        <v>126</v>
      </c>
      <c r="I104" s="1">
        <v>45859</v>
      </c>
      <c r="J104" t="s">
        <v>14</v>
      </c>
    </row>
    <row r="105" spans="1:10" x14ac:dyDescent="0.25">
      <c r="A105">
        <v>104</v>
      </c>
      <c r="B105" t="s">
        <v>44</v>
      </c>
      <c r="C105" t="s">
        <v>34</v>
      </c>
      <c r="D105" t="s">
        <v>17</v>
      </c>
      <c r="E105" t="s">
        <v>18</v>
      </c>
      <c r="F105">
        <v>396</v>
      </c>
      <c r="G105">
        <v>748.22</v>
      </c>
      <c r="H105">
        <v>88</v>
      </c>
      <c r="I105" s="1">
        <v>45999</v>
      </c>
      <c r="J105" t="s">
        <v>14</v>
      </c>
    </row>
    <row r="106" spans="1:10" x14ac:dyDescent="0.25">
      <c r="A106">
        <v>105</v>
      </c>
      <c r="B106" t="s">
        <v>48</v>
      </c>
      <c r="C106" t="s">
        <v>20</v>
      </c>
      <c r="D106" t="s">
        <v>21</v>
      </c>
      <c r="E106" t="s">
        <v>37</v>
      </c>
      <c r="F106">
        <v>99</v>
      </c>
      <c r="G106">
        <v>215.78</v>
      </c>
      <c r="H106">
        <v>148</v>
      </c>
      <c r="I106" s="1">
        <v>45057</v>
      </c>
      <c r="J106" t="s">
        <v>28</v>
      </c>
    </row>
    <row r="107" spans="1:10" x14ac:dyDescent="0.25">
      <c r="A107">
        <v>106</v>
      </c>
      <c r="B107" t="s">
        <v>53</v>
      </c>
      <c r="C107" t="s">
        <v>26</v>
      </c>
      <c r="D107" t="s">
        <v>24</v>
      </c>
      <c r="E107" t="s">
        <v>39</v>
      </c>
      <c r="F107">
        <v>235</v>
      </c>
      <c r="G107">
        <v>72.239999999999995</v>
      </c>
      <c r="H107">
        <v>123</v>
      </c>
      <c r="I107" s="1">
        <v>45054</v>
      </c>
      <c r="J107" t="s">
        <v>14</v>
      </c>
    </row>
    <row r="108" spans="1:10" x14ac:dyDescent="0.25">
      <c r="A108">
        <v>107</v>
      </c>
      <c r="B108" t="s">
        <v>40</v>
      </c>
      <c r="C108" t="s">
        <v>34</v>
      </c>
      <c r="D108" t="s">
        <v>17</v>
      </c>
      <c r="E108" t="s">
        <v>32</v>
      </c>
      <c r="F108">
        <v>326</v>
      </c>
      <c r="G108">
        <v>388.26</v>
      </c>
      <c r="H108">
        <v>138</v>
      </c>
      <c r="I108" s="1">
        <v>45872</v>
      </c>
      <c r="J108" t="s">
        <v>14</v>
      </c>
    </row>
    <row r="109" spans="1:10" x14ac:dyDescent="0.25">
      <c r="A109">
        <v>108</v>
      </c>
      <c r="B109" t="s">
        <v>36</v>
      </c>
      <c r="C109" t="s">
        <v>11</v>
      </c>
      <c r="D109" t="s">
        <v>21</v>
      </c>
      <c r="E109" t="s">
        <v>39</v>
      </c>
      <c r="F109">
        <v>230</v>
      </c>
      <c r="G109">
        <v>235.04</v>
      </c>
      <c r="H109">
        <v>96</v>
      </c>
      <c r="I109" s="1">
        <v>45580</v>
      </c>
      <c r="J109" t="s">
        <v>14</v>
      </c>
    </row>
    <row r="110" spans="1:10" x14ac:dyDescent="0.25">
      <c r="A110">
        <v>109</v>
      </c>
      <c r="B110" t="s">
        <v>10</v>
      </c>
      <c r="C110" t="s">
        <v>11</v>
      </c>
      <c r="D110" t="s">
        <v>12</v>
      </c>
      <c r="E110" t="s">
        <v>13</v>
      </c>
      <c r="F110">
        <v>361</v>
      </c>
      <c r="G110">
        <v>691.71</v>
      </c>
      <c r="H110">
        <v>100</v>
      </c>
      <c r="I110" s="1">
        <v>45103</v>
      </c>
      <c r="J110" t="s">
        <v>14</v>
      </c>
    </row>
    <row r="111" spans="1:10" x14ac:dyDescent="0.25">
      <c r="A111">
        <v>110</v>
      </c>
      <c r="B111" t="s">
        <v>33</v>
      </c>
      <c r="C111" t="s">
        <v>34</v>
      </c>
      <c r="D111" t="s">
        <v>30</v>
      </c>
      <c r="E111" t="s">
        <v>18</v>
      </c>
      <c r="F111">
        <v>494</v>
      </c>
      <c r="G111">
        <v>449.17</v>
      </c>
      <c r="H111">
        <v>130</v>
      </c>
      <c r="I111" s="1">
        <v>45189</v>
      </c>
      <c r="J111" t="s">
        <v>14</v>
      </c>
    </row>
    <row r="112" spans="1:10" x14ac:dyDescent="0.25">
      <c r="A112">
        <v>111</v>
      </c>
      <c r="B112" t="s">
        <v>35</v>
      </c>
      <c r="C112" t="s">
        <v>11</v>
      </c>
      <c r="D112" t="s">
        <v>30</v>
      </c>
      <c r="E112" t="s">
        <v>27</v>
      </c>
      <c r="F112">
        <v>220</v>
      </c>
      <c r="G112">
        <v>32.78</v>
      </c>
      <c r="H112">
        <v>119</v>
      </c>
      <c r="I112" s="1">
        <v>45716</v>
      </c>
      <c r="J112" t="s">
        <v>14</v>
      </c>
    </row>
    <row r="113" spans="1:10" x14ac:dyDescent="0.25">
      <c r="A113">
        <v>112</v>
      </c>
      <c r="B113" t="s">
        <v>10</v>
      </c>
      <c r="C113" t="s">
        <v>11</v>
      </c>
      <c r="D113" t="s">
        <v>12</v>
      </c>
      <c r="E113" t="s">
        <v>32</v>
      </c>
      <c r="F113">
        <v>219</v>
      </c>
      <c r="G113">
        <v>662.8</v>
      </c>
      <c r="H113">
        <v>74</v>
      </c>
      <c r="I113" s="1">
        <v>45150</v>
      </c>
      <c r="J113" t="s">
        <v>14</v>
      </c>
    </row>
    <row r="114" spans="1:10" x14ac:dyDescent="0.25">
      <c r="A114">
        <v>113</v>
      </c>
      <c r="B114" t="s">
        <v>42</v>
      </c>
      <c r="C114" t="s">
        <v>16</v>
      </c>
      <c r="D114" t="s">
        <v>24</v>
      </c>
      <c r="E114" t="s">
        <v>13</v>
      </c>
      <c r="F114">
        <v>188</v>
      </c>
      <c r="G114">
        <v>334.16</v>
      </c>
      <c r="H114">
        <v>83</v>
      </c>
      <c r="I114" s="1">
        <v>45144</v>
      </c>
      <c r="J114" t="s">
        <v>14</v>
      </c>
    </row>
    <row r="115" spans="1:10" x14ac:dyDescent="0.25">
      <c r="A115">
        <v>114</v>
      </c>
      <c r="B115" t="s">
        <v>49</v>
      </c>
      <c r="C115" t="s">
        <v>16</v>
      </c>
      <c r="D115" t="s">
        <v>21</v>
      </c>
      <c r="E115" t="s">
        <v>18</v>
      </c>
      <c r="F115">
        <v>313</v>
      </c>
      <c r="G115">
        <v>402.01</v>
      </c>
      <c r="H115">
        <v>102</v>
      </c>
      <c r="I115" s="1">
        <v>45491</v>
      </c>
      <c r="J115" t="s">
        <v>14</v>
      </c>
    </row>
    <row r="116" spans="1:10" x14ac:dyDescent="0.25">
      <c r="A116">
        <v>115</v>
      </c>
      <c r="B116" t="s">
        <v>43</v>
      </c>
      <c r="C116" t="s">
        <v>26</v>
      </c>
      <c r="D116" t="s">
        <v>17</v>
      </c>
      <c r="E116" t="s">
        <v>32</v>
      </c>
      <c r="F116">
        <v>388</v>
      </c>
      <c r="G116">
        <v>648.44000000000005</v>
      </c>
      <c r="H116">
        <v>146</v>
      </c>
      <c r="I116" s="1">
        <v>45018</v>
      </c>
      <c r="J116" t="s">
        <v>14</v>
      </c>
    </row>
    <row r="117" spans="1:10" x14ac:dyDescent="0.25">
      <c r="A117">
        <v>116</v>
      </c>
      <c r="B117" t="s">
        <v>51</v>
      </c>
      <c r="C117" t="s">
        <v>11</v>
      </c>
      <c r="D117" t="s">
        <v>30</v>
      </c>
      <c r="E117" t="s">
        <v>32</v>
      </c>
      <c r="F117">
        <v>103</v>
      </c>
      <c r="G117">
        <v>34.590000000000003</v>
      </c>
      <c r="H117">
        <v>117</v>
      </c>
      <c r="I117" s="1">
        <v>45272</v>
      </c>
      <c r="J117" t="s">
        <v>28</v>
      </c>
    </row>
    <row r="118" spans="1:10" x14ac:dyDescent="0.25">
      <c r="A118">
        <v>117</v>
      </c>
      <c r="B118" t="s">
        <v>54</v>
      </c>
      <c r="C118" t="s">
        <v>20</v>
      </c>
      <c r="D118" t="s">
        <v>17</v>
      </c>
      <c r="E118" t="s">
        <v>13</v>
      </c>
      <c r="F118">
        <v>81</v>
      </c>
      <c r="G118">
        <v>81.430000000000007</v>
      </c>
      <c r="H118">
        <v>52</v>
      </c>
      <c r="I118" s="1">
        <v>45923</v>
      </c>
      <c r="J118" t="s">
        <v>14</v>
      </c>
    </row>
    <row r="119" spans="1:10" x14ac:dyDescent="0.25">
      <c r="A119">
        <v>118</v>
      </c>
      <c r="B119" t="s">
        <v>45</v>
      </c>
      <c r="C119" t="s">
        <v>26</v>
      </c>
      <c r="D119" t="s">
        <v>17</v>
      </c>
      <c r="E119" t="s">
        <v>13</v>
      </c>
      <c r="F119">
        <v>203</v>
      </c>
      <c r="G119">
        <v>198.59</v>
      </c>
      <c r="H119">
        <v>141</v>
      </c>
      <c r="I119" s="1">
        <v>45048</v>
      </c>
      <c r="J119" t="s">
        <v>14</v>
      </c>
    </row>
    <row r="120" spans="1:10" x14ac:dyDescent="0.25">
      <c r="A120">
        <v>119</v>
      </c>
      <c r="B120" t="s">
        <v>35</v>
      </c>
      <c r="C120" t="s">
        <v>11</v>
      </c>
      <c r="D120" t="s">
        <v>30</v>
      </c>
      <c r="E120" t="s">
        <v>32</v>
      </c>
      <c r="F120">
        <v>346</v>
      </c>
      <c r="G120">
        <v>211.31</v>
      </c>
      <c r="H120">
        <v>131</v>
      </c>
      <c r="I120" s="1">
        <v>45399</v>
      </c>
      <c r="J120" t="s">
        <v>14</v>
      </c>
    </row>
    <row r="121" spans="1:10" x14ac:dyDescent="0.25">
      <c r="A121">
        <v>120</v>
      </c>
      <c r="B121" t="s">
        <v>46</v>
      </c>
      <c r="C121" t="s">
        <v>34</v>
      </c>
      <c r="D121" t="s">
        <v>17</v>
      </c>
      <c r="E121" t="s">
        <v>27</v>
      </c>
      <c r="F121">
        <v>139</v>
      </c>
      <c r="G121">
        <v>464.17</v>
      </c>
      <c r="H121">
        <v>127</v>
      </c>
      <c r="I121" s="1">
        <v>45947</v>
      </c>
      <c r="J121" t="s">
        <v>14</v>
      </c>
    </row>
    <row r="122" spans="1:10" x14ac:dyDescent="0.25">
      <c r="A122">
        <v>121</v>
      </c>
      <c r="B122" t="s">
        <v>33</v>
      </c>
      <c r="C122" t="s">
        <v>34</v>
      </c>
      <c r="D122" t="s">
        <v>30</v>
      </c>
      <c r="E122" t="s">
        <v>27</v>
      </c>
      <c r="F122">
        <v>358</v>
      </c>
      <c r="G122">
        <v>156.46</v>
      </c>
      <c r="H122">
        <v>102</v>
      </c>
      <c r="I122" s="1">
        <v>45711</v>
      </c>
      <c r="J122" t="s">
        <v>14</v>
      </c>
    </row>
    <row r="123" spans="1:10" x14ac:dyDescent="0.25">
      <c r="A123">
        <v>122</v>
      </c>
      <c r="B123" t="s">
        <v>54</v>
      </c>
      <c r="C123" t="s">
        <v>20</v>
      </c>
      <c r="D123" t="s">
        <v>12</v>
      </c>
      <c r="E123" t="s">
        <v>32</v>
      </c>
      <c r="F123">
        <v>272</v>
      </c>
      <c r="G123">
        <v>799.84</v>
      </c>
      <c r="H123">
        <v>75</v>
      </c>
      <c r="I123" s="1">
        <v>45436</v>
      </c>
      <c r="J123" t="s">
        <v>14</v>
      </c>
    </row>
    <row r="124" spans="1:10" x14ac:dyDescent="0.25">
      <c r="A124">
        <v>123</v>
      </c>
      <c r="B124" t="s">
        <v>51</v>
      </c>
      <c r="C124" t="s">
        <v>11</v>
      </c>
      <c r="D124" t="s">
        <v>30</v>
      </c>
      <c r="E124" t="s">
        <v>27</v>
      </c>
      <c r="F124">
        <v>457</v>
      </c>
      <c r="G124">
        <v>734.11</v>
      </c>
      <c r="H124">
        <v>57</v>
      </c>
      <c r="I124" s="1">
        <v>45125</v>
      </c>
      <c r="J124" t="s">
        <v>14</v>
      </c>
    </row>
    <row r="125" spans="1:10" x14ac:dyDescent="0.25">
      <c r="A125">
        <v>124</v>
      </c>
      <c r="B125" t="s">
        <v>50</v>
      </c>
      <c r="C125" t="s">
        <v>34</v>
      </c>
      <c r="D125" t="s">
        <v>12</v>
      </c>
      <c r="E125" t="s">
        <v>18</v>
      </c>
      <c r="F125">
        <v>127</v>
      </c>
      <c r="G125">
        <v>416.97</v>
      </c>
      <c r="H125">
        <v>139</v>
      </c>
      <c r="I125" s="1">
        <v>45588</v>
      </c>
      <c r="J125" t="s">
        <v>28</v>
      </c>
    </row>
    <row r="126" spans="1:10" x14ac:dyDescent="0.25">
      <c r="A126">
        <v>125</v>
      </c>
      <c r="B126" t="s">
        <v>51</v>
      </c>
      <c r="C126" t="s">
        <v>11</v>
      </c>
      <c r="D126" t="s">
        <v>21</v>
      </c>
      <c r="E126" t="s">
        <v>27</v>
      </c>
      <c r="F126">
        <v>25</v>
      </c>
      <c r="G126">
        <v>168.49</v>
      </c>
      <c r="H126">
        <v>140</v>
      </c>
      <c r="I126" s="1">
        <v>45672</v>
      </c>
      <c r="J126" t="s">
        <v>28</v>
      </c>
    </row>
    <row r="127" spans="1:10" x14ac:dyDescent="0.25">
      <c r="A127">
        <v>126</v>
      </c>
      <c r="B127" t="s">
        <v>52</v>
      </c>
      <c r="C127" t="s">
        <v>16</v>
      </c>
      <c r="D127" t="s">
        <v>30</v>
      </c>
      <c r="E127" t="s">
        <v>39</v>
      </c>
      <c r="F127">
        <v>75</v>
      </c>
      <c r="G127">
        <v>39.840000000000003</v>
      </c>
      <c r="H127">
        <v>121</v>
      </c>
      <c r="I127" s="1">
        <v>45286</v>
      </c>
      <c r="J127" t="s">
        <v>28</v>
      </c>
    </row>
    <row r="128" spans="1:10" x14ac:dyDescent="0.25">
      <c r="A128">
        <v>127</v>
      </c>
      <c r="B128" t="s">
        <v>35</v>
      </c>
      <c r="C128" t="s">
        <v>11</v>
      </c>
      <c r="D128" t="s">
        <v>24</v>
      </c>
      <c r="E128" t="s">
        <v>37</v>
      </c>
      <c r="F128">
        <v>87</v>
      </c>
      <c r="G128">
        <v>73.61</v>
      </c>
      <c r="H128">
        <v>74</v>
      </c>
      <c r="I128" s="1">
        <v>45055</v>
      </c>
      <c r="J128" t="s">
        <v>14</v>
      </c>
    </row>
    <row r="129" spans="1:10" x14ac:dyDescent="0.25">
      <c r="A129">
        <v>128</v>
      </c>
      <c r="B129" t="s">
        <v>23</v>
      </c>
      <c r="C129" t="s">
        <v>20</v>
      </c>
      <c r="D129" t="s">
        <v>30</v>
      </c>
      <c r="E129" t="s">
        <v>32</v>
      </c>
      <c r="F129">
        <v>408</v>
      </c>
      <c r="G129">
        <v>119.09</v>
      </c>
      <c r="H129">
        <v>69</v>
      </c>
      <c r="I129" s="1">
        <v>45941</v>
      </c>
      <c r="J129" t="s">
        <v>14</v>
      </c>
    </row>
    <row r="130" spans="1:10" x14ac:dyDescent="0.25">
      <c r="A130">
        <v>129</v>
      </c>
      <c r="B130" t="s">
        <v>36</v>
      </c>
      <c r="C130" t="s">
        <v>11</v>
      </c>
      <c r="D130" t="s">
        <v>17</v>
      </c>
      <c r="E130" t="s">
        <v>32</v>
      </c>
      <c r="F130">
        <v>113</v>
      </c>
      <c r="G130">
        <v>509.66</v>
      </c>
      <c r="H130">
        <v>140</v>
      </c>
      <c r="I130" s="1">
        <v>45222</v>
      </c>
      <c r="J130" t="s">
        <v>28</v>
      </c>
    </row>
    <row r="131" spans="1:10" x14ac:dyDescent="0.25">
      <c r="A131">
        <v>130</v>
      </c>
      <c r="B131" t="s">
        <v>38</v>
      </c>
      <c r="C131" t="s">
        <v>26</v>
      </c>
      <c r="D131" t="s">
        <v>24</v>
      </c>
      <c r="E131" t="s">
        <v>18</v>
      </c>
      <c r="F131">
        <v>269</v>
      </c>
      <c r="G131">
        <v>430.37</v>
      </c>
      <c r="H131">
        <v>53</v>
      </c>
      <c r="I131" s="1">
        <v>45606</v>
      </c>
      <c r="J131" t="s">
        <v>14</v>
      </c>
    </row>
    <row r="132" spans="1:10" x14ac:dyDescent="0.25">
      <c r="A132">
        <v>131</v>
      </c>
      <c r="B132" t="s">
        <v>10</v>
      </c>
      <c r="C132" t="s">
        <v>11</v>
      </c>
      <c r="D132" t="s">
        <v>17</v>
      </c>
      <c r="E132" t="s">
        <v>37</v>
      </c>
      <c r="F132">
        <v>248</v>
      </c>
      <c r="G132">
        <v>565.37</v>
      </c>
      <c r="H132">
        <v>114</v>
      </c>
      <c r="I132" s="1">
        <v>45008</v>
      </c>
      <c r="J132" t="s">
        <v>14</v>
      </c>
    </row>
    <row r="133" spans="1:10" x14ac:dyDescent="0.25">
      <c r="A133">
        <v>132</v>
      </c>
      <c r="B133" t="s">
        <v>15</v>
      </c>
      <c r="C133" t="s">
        <v>16</v>
      </c>
      <c r="D133" t="s">
        <v>12</v>
      </c>
      <c r="E133" t="s">
        <v>37</v>
      </c>
      <c r="F133">
        <v>30</v>
      </c>
      <c r="G133">
        <v>212.99</v>
      </c>
      <c r="H133">
        <v>86</v>
      </c>
      <c r="I133" s="1">
        <v>45576</v>
      </c>
      <c r="J133" t="s">
        <v>28</v>
      </c>
    </row>
    <row r="134" spans="1:10" x14ac:dyDescent="0.25">
      <c r="A134">
        <v>133</v>
      </c>
      <c r="B134" t="s">
        <v>52</v>
      </c>
      <c r="C134" t="s">
        <v>16</v>
      </c>
      <c r="D134" t="s">
        <v>12</v>
      </c>
      <c r="E134" t="s">
        <v>37</v>
      </c>
      <c r="F134">
        <v>148</v>
      </c>
      <c r="G134">
        <v>743.9</v>
      </c>
      <c r="H134">
        <v>99</v>
      </c>
      <c r="I134" s="1">
        <v>45299</v>
      </c>
      <c r="J134" t="s">
        <v>14</v>
      </c>
    </row>
    <row r="135" spans="1:10" x14ac:dyDescent="0.25">
      <c r="A135">
        <v>134</v>
      </c>
      <c r="B135" t="s">
        <v>40</v>
      </c>
      <c r="C135" t="s">
        <v>34</v>
      </c>
      <c r="D135" t="s">
        <v>17</v>
      </c>
      <c r="E135" t="s">
        <v>39</v>
      </c>
      <c r="F135">
        <v>213</v>
      </c>
      <c r="G135">
        <v>401.69</v>
      </c>
      <c r="H135">
        <v>104</v>
      </c>
      <c r="I135" s="1">
        <v>45792</v>
      </c>
      <c r="J135" t="s">
        <v>14</v>
      </c>
    </row>
    <row r="136" spans="1:10" x14ac:dyDescent="0.25">
      <c r="A136">
        <v>135</v>
      </c>
      <c r="B136" t="s">
        <v>19</v>
      </c>
      <c r="C136" t="s">
        <v>20</v>
      </c>
      <c r="D136" t="s">
        <v>21</v>
      </c>
      <c r="E136" t="s">
        <v>13</v>
      </c>
      <c r="F136">
        <v>245</v>
      </c>
      <c r="G136">
        <v>733.4</v>
      </c>
      <c r="H136">
        <v>91</v>
      </c>
      <c r="I136" s="1">
        <v>45304</v>
      </c>
      <c r="J136" t="s">
        <v>14</v>
      </c>
    </row>
    <row r="137" spans="1:10" x14ac:dyDescent="0.25">
      <c r="A137">
        <v>136</v>
      </c>
      <c r="B137" t="s">
        <v>49</v>
      </c>
      <c r="C137" t="s">
        <v>16</v>
      </c>
      <c r="D137" t="s">
        <v>12</v>
      </c>
      <c r="E137" t="s">
        <v>27</v>
      </c>
      <c r="F137">
        <v>425</v>
      </c>
      <c r="G137">
        <v>640.6</v>
      </c>
      <c r="H137">
        <v>50</v>
      </c>
      <c r="I137" s="1">
        <v>45810</v>
      </c>
      <c r="J137" t="s">
        <v>14</v>
      </c>
    </row>
    <row r="138" spans="1:10" x14ac:dyDescent="0.25">
      <c r="A138">
        <v>137</v>
      </c>
      <c r="B138" t="s">
        <v>40</v>
      </c>
      <c r="C138" t="s">
        <v>34</v>
      </c>
      <c r="D138" t="s">
        <v>24</v>
      </c>
      <c r="E138" t="s">
        <v>13</v>
      </c>
      <c r="F138">
        <v>193</v>
      </c>
      <c r="G138">
        <v>585.76</v>
      </c>
      <c r="H138">
        <v>55</v>
      </c>
      <c r="I138" s="1">
        <v>45409</v>
      </c>
      <c r="J138" t="s">
        <v>14</v>
      </c>
    </row>
    <row r="139" spans="1:10" x14ac:dyDescent="0.25">
      <c r="A139">
        <v>138</v>
      </c>
      <c r="B139" t="s">
        <v>10</v>
      </c>
      <c r="C139" t="s">
        <v>11</v>
      </c>
      <c r="D139" t="s">
        <v>12</v>
      </c>
      <c r="E139" t="s">
        <v>37</v>
      </c>
      <c r="F139">
        <v>292</v>
      </c>
      <c r="G139">
        <v>479.15</v>
      </c>
      <c r="H139">
        <v>61</v>
      </c>
      <c r="I139" s="1">
        <v>45862</v>
      </c>
      <c r="J139" t="s">
        <v>14</v>
      </c>
    </row>
    <row r="140" spans="1:10" x14ac:dyDescent="0.25">
      <c r="A140">
        <v>139</v>
      </c>
      <c r="B140" t="s">
        <v>31</v>
      </c>
      <c r="C140" t="s">
        <v>20</v>
      </c>
      <c r="D140" t="s">
        <v>21</v>
      </c>
      <c r="E140" t="s">
        <v>39</v>
      </c>
      <c r="F140">
        <v>269</v>
      </c>
      <c r="G140">
        <v>8</v>
      </c>
      <c r="H140">
        <v>101</v>
      </c>
      <c r="I140" s="1">
        <v>45122</v>
      </c>
      <c r="J140" t="s">
        <v>14</v>
      </c>
    </row>
    <row r="141" spans="1:10" x14ac:dyDescent="0.25">
      <c r="A141">
        <v>140</v>
      </c>
      <c r="B141" t="s">
        <v>33</v>
      </c>
      <c r="C141" t="s">
        <v>34</v>
      </c>
      <c r="D141" t="s">
        <v>12</v>
      </c>
      <c r="E141" t="s">
        <v>39</v>
      </c>
      <c r="F141">
        <v>247</v>
      </c>
      <c r="G141">
        <v>581.41</v>
      </c>
      <c r="H141">
        <v>66</v>
      </c>
      <c r="I141" s="1">
        <v>44986</v>
      </c>
      <c r="J141" t="s">
        <v>14</v>
      </c>
    </row>
    <row r="142" spans="1:10" x14ac:dyDescent="0.25">
      <c r="A142">
        <v>141</v>
      </c>
      <c r="B142" t="s">
        <v>19</v>
      </c>
      <c r="C142" t="s">
        <v>20</v>
      </c>
      <c r="D142" t="s">
        <v>17</v>
      </c>
      <c r="E142" t="s">
        <v>27</v>
      </c>
      <c r="F142">
        <v>84</v>
      </c>
      <c r="G142">
        <v>83.31</v>
      </c>
      <c r="H142">
        <v>141</v>
      </c>
      <c r="I142" s="1">
        <v>45460</v>
      </c>
      <c r="J142" t="s">
        <v>28</v>
      </c>
    </row>
    <row r="143" spans="1:10" x14ac:dyDescent="0.25">
      <c r="A143">
        <v>142</v>
      </c>
      <c r="B143" t="s">
        <v>52</v>
      </c>
      <c r="C143" t="s">
        <v>16</v>
      </c>
      <c r="D143" t="s">
        <v>30</v>
      </c>
      <c r="E143" t="s">
        <v>39</v>
      </c>
      <c r="F143">
        <v>394</v>
      </c>
      <c r="G143">
        <v>122.16</v>
      </c>
      <c r="H143">
        <v>72</v>
      </c>
      <c r="I143" s="1">
        <v>45982</v>
      </c>
      <c r="J143" t="s">
        <v>14</v>
      </c>
    </row>
    <row r="144" spans="1:10" x14ac:dyDescent="0.25">
      <c r="A144">
        <v>143</v>
      </c>
      <c r="B144" t="s">
        <v>43</v>
      </c>
      <c r="C144" t="s">
        <v>26</v>
      </c>
      <c r="D144" t="s">
        <v>12</v>
      </c>
      <c r="E144" t="s">
        <v>27</v>
      </c>
      <c r="F144">
        <v>345</v>
      </c>
      <c r="G144">
        <v>259.87</v>
      </c>
      <c r="H144">
        <v>115</v>
      </c>
      <c r="I144" s="1">
        <v>45588</v>
      </c>
      <c r="J144" t="s">
        <v>14</v>
      </c>
    </row>
    <row r="145" spans="1:10" x14ac:dyDescent="0.25">
      <c r="A145">
        <v>144</v>
      </c>
      <c r="B145" t="s">
        <v>19</v>
      </c>
      <c r="C145" t="s">
        <v>20</v>
      </c>
      <c r="D145" t="s">
        <v>12</v>
      </c>
      <c r="E145" t="s">
        <v>13</v>
      </c>
      <c r="F145">
        <v>74</v>
      </c>
      <c r="G145">
        <v>158.5</v>
      </c>
      <c r="H145">
        <v>106</v>
      </c>
      <c r="I145" s="1">
        <v>45918</v>
      </c>
      <c r="J145" t="s">
        <v>28</v>
      </c>
    </row>
    <row r="146" spans="1:10" x14ac:dyDescent="0.25">
      <c r="A146">
        <v>145</v>
      </c>
      <c r="B146" t="s">
        <v>44</v>
      </c>
      <c r="C146" t="s">
        <v>34</v>
      </c>
      <c r="D146" t="s">
        <v>21</v>
      </c>
      <c r="E146" t="s">
        <v>18</v>
      </c>
      <c r="F146">
        <v>427</v>
      </c>
      <c r="G146">
        <v>307.14999999999998</v>
      </c>
      <c r="H146">
        <v>119</v>
      </c>
      <c r="I146" s="1">
        <v>45282</v>
      </c>
      <c r="J146" t="s">
        <v>14</v>
      </c>
    </row>
    <row r="147" spans="1:10" x14ac:dyDescent="0.25">
      <c r="A147">
        <v>146</v>
      </c>
      <c r="B147" t="s">
        <v>44</v>
      </c>
      <c r="C147" t="s">
        <v>34</v>
      </c>
      <c r="D147" t="s">
        <v>12</v>
      </c>
      <c r="E147" t="s">
        <v>37</v>
      </c>
      <c r="F147">
        <v>31</v>
      </c>
      <c r="G147">
        <v>11.8</v>
      </c>
      <c r="H147">
        <v>96</v>
      </c>
      <c r="I147" s="1">
        <v>45441</v>
      </c>
      <c r="J147" t="s">
        <v>28</v>
      </c>
    </row>
    <row r="148" spans="1:10" x14ac:dyDescent="0.25">
      <c r="A148">
        <v>147</v>
      </c>
      <c r="B148" t="s">
        <v>54</v>
      </c>
      <c r="C148" t="s">
        <v>20</v>
      </c>
      <c r="D148" t="s">
        <v>30</v>
      </c>
      <c r="E148" t="s">
        <v>32</v>
      </c>
      <c r="F148">
        <v>288</v>
      </c>
      <c r="G148">
        <v>93.69</v>
      </c>
      <c r="H148">
        <v>85</v>
      </c>
      <c r="I148" s="1">
        <v>44946</v>
      </c>
      <c r="J148" t="s">
        <v>14</v>
      </c>
    </row>
    <row r="149" spans="1:10" x14ac:dyDescent="0.25">
      <c r="A149">
        <v>148</v>
      </c>
      <c r="B149" t="s">
        <v>31</v>
      </c>
      <c r="C149" t="s">
        <v>20</v>
      </c>
      <c r="D149" t="s">
        <v>12</v>
      </c>
      <c r="E149" t="s">
        <v>13</v>
      </c>
      <c r="F149">
        <v>463</v>
      </c>
      <c r="G149">
        <v>405.39</v>
      </c>
      <c r="H149">
        <v>77</v>
      </c>
      <c r="I149" s="1">
        <v>45305</v>
      </c>
      <c r="J149" t="s">
        <v>14</v>
      </c>
    </row>
    <row r="150" spans="1:10" x14ac:dyDescent="0.25">
      <c r="A150">
        <v>149</v>
      </c>
      <c r="B150" t="s">
        <v>40</v>
      </c>
      <c r="C150" t="s">
        <v>34</v>
      </c>
      <c r="D150" t="s">
        <v>30</v>
      </c>
      <c r="E150" t="s">
        <v>39</v>
      </c>
      <c r="F150">
        <v>121</v>
      </c>
      <c r="G150">
        <v>140.54</v>
      </c>
      <c r="H150">
        <v>114</v>
      </c>
      <c r="I150" s="1">
        <v>45168</v>
      </c>
      <c r="J150" t="s">
        <v>14</v>
      </c>
    </row>
    <row r="151" spans="1:10" x14ac:dyDescent="0.25">
      <c r="A151">
        <v>150</v>
      </c>
      <c r="B151" t="s">
        <v>45</v>
      </c>
      <c r="C151" t="s">
        <v>26</v>
      </c>
      <c r="D151" t="s">
        <v>17</v>
      </c>
      <c r="E151" t="s">
        <v>39</v>
      </c>
      <c r="F151">
        <v>89</v>
      </c>
      <c r="G151">
        <v>46.62</v>
      </c>
      <c r="H151">
        <v>78</v>
      </c>
      <c r="I151" s="1">
        <v>45477</v>
      </c>
      <c r="J151" t="s">
        <v>14</v>
      </c>
    </row>
    <row r="152" spans="1:10" x14ac:dyDescent="0.25">
      <c r="A152">
        <v>151</v>
      </c>
      <c r="B152" t="s">
        <v>48</v>
      </c>
      <c r="C152" t="s">
        <v>20</v>
      </c>
      <c r="D152" t="s">
        <v>12</v>
      </c>
      <c r="E152" t="s">
        <v>37</v>
      </c>
      <c r="F152">
        <v>386</v>
      </c>
      <c r="G152">
        <v>777.06</v>
      </c>
      <c r="H152">
        <v>147</v>
      </c>
      <c r="I152" s="1">
        <v>45929</v>
      </c>
      <c r="J152" t="s">
        <v>14</v>
      </c>
    </row>
    <row r="153" spans="1:10" x14ac:dyDescent="0.25">
      <c r="A153">
        <v>152</v>
      </c>
      <c r="B153" t="s">
        <v>36</v>
      </c>
      <c r="C153" t="s">
        <v>11</v>
      </c>
      <c r="D153" t="s">
        <v>24</v>
      </c>
      <c r="E153" t="s">
        <v>27</v>
      </c>
      <c r="F153">
        <v>2</v>
      </c>
      <c r="G153">
        <v>270.38</v>
      </c>
      <c r="H153">
        <v>53</v>
      </c>
      <c r="I153" s="1">
        <v>45693</v>
      </c>
      <c r="J153" t="s">
        <v>28</v>
      </c>
    </row>
    <row r="154" spans="1:10" x14ac:dyDescent="0.25">
      <c r="A154">
        <v>153</v>
      </c>
      <c r="B154" t="s">
        <v>23</v>
      </c>
      <c r="C154" t="s">
        <v>20</v>
      </c>
      <c r="D154" t="s">
        <v>17</v>
      </c>
      <c r="E154" t="s">
        <v>32</v>
      </c>
      <c r="F154">
        <v>86</v>
      </c>
      <c r="G154">
        <v>47.54</v>
      </c>
      <c r="H154">
        <v>113</v>
      </c>
      <c r="I154" s="1">
        <v>45871</v>
      </c>
      <c r="J154" t="s">
        <v>28</v>
      </c>
    </row>
    <row r="155" spans="1:10" x14ac:dyDescent="0.25">
      <c r="A155">
        <v>154</v>
      </c>
      <c r="B155" t="s">
        <v>22</v>
      </c>
      <c r="C155" t="s">
        <v>11</v>
      </c>
      <c r="D155" t="s">
        <v>30</v>
      </c>
      <c r="E155" t="s">
        <v>37</v>
      </c>
      <c r="F155">
        <v>6</v>
      </c>
      <c r="G155">
        <v>142.31</v>
      </c>
      <c r="H155">
        <v>123</v>
      </c>
      <c r="I155" s="1">
        <v>45417</v>
      </c>
      <c r="J155" t="s">
        <v>28</v>
      </c>
    </row>
    <row r="156" spans="1:10" x14ac:dyDescent="0.25">
      <c r="A156">
        <v>155</v>
      </c>
      <c r="B156" t="s">
        <v>47</v>
      </c>
      <c r="C156" t="s">
        <v>20</v>
      </c>
      <c r="D156" t="s">
        <v>24</v>
      </c>
      <c r="E156" t="s">
        <v>39</v>
      </c>
      <c r="F156">
        <v>448</v>
      </c>
      <c r="G156">
        <v>675.85</v>
      </c>
      <c r="H156">
        <v>66</v>
      </c>
      <c r="I156" s="1">
        <v>45413</v>
      </c>
      <c r="J156" t="s">
        <v>14</v>
      </c>
    </row>
    <row r="157" spans="1:10" x14ac:dyDescent="0.25">
      <c r="A157">
        <v>156</v>
      </c>
      <c r="B157" t="s">
        <v>36</v>
      </c>
      <c r="C157" t="s">
        <v>11</v>
      </c>
      <c r="D157" t="s">
        <v>17</v>
      </c>
      <c r="E157" t="s">
        <v>39</v>
      </c>
      <c r="F157">
        <v>209</v>
      </c>
      <c r="G157">
        <v>414.84</v>
      </c>
      <c r="H157">
        <v>113</v>
      </c>
      <c r="I157" s="1">
        <v>45246</v>
      </c>
      <c r="J157" t="s">
        <v>14</v>
      </c>
    </row>
    <row r="158" spans="1:10" x14ac:dyDescent="0.25">
      <c r="A158">
        <v>157</v>
      </c>
      <c r="B158" t="s">
        <v>10</v>
      </c>
      <c r="C158" t="s">
        <v>11</v>
      </c>
      <c r="D158" t="s">
        <v>21</v>
      </c>
      <c r="E158" t="s">
        <v>13</v>
      </c>
      <c r="F158">
        <v>53</v>
      </c>
      <c r="G158">
        <v>503.42</v>
      </c>
      <c r="H158">
        <v>102</v>
      </c>
      <c r="I158" s="1">
        <v>45411</v>
      </c>
      <c r="J158" t="s">
        <v>28</v>
      </c>
    </row>
    <row r="159" spans="1:10" x14ac:dyDescent="0.25">
      <c r="A159">
        <v>158</v>
      </c>
      <c r="B159" t="s">
        <v>42</v>
      </c>
      <c r="C159" t="s">
        <v>16</v>
      </c>
      <c r="D159" t="s">
        <v>24</v>
      </c>
      <c r="E159" t="s">
        <v>32</v>
      </c>
      <c r="F159">
        <v>115</v>
      </c>
      <c r="G159">
        <v>792.42</v>
      </c>
      <c r="H159">
        <v>141</v>
      </c>
      <c r="I159" s="1">
        <v>45921</v>
      </c>
      <c r="J159" t="s">
        <v>28</v>
      </c>
    </row>
    <row r="160" spans="1:10" x14ac:dyDescent="0.25">
      <c r="A160">
        <v>159</v>
      </c>
      <c r="B160" t="s">
        <v>42</v>
      </c>
      <c r="C160" t="s">
        <v>16</v>
      </c>
      <c r="D160" t="s">
        <v>12</v>
      </c>
      <c r="E160" t="s">
        <v>18</v>
      </c>
      <c r="F160">
        <v>293</v>
      </c>
      <c r="G160">
        <v>349.48</v>
      </c>
      <c r="H160">
        <v>59</v>
      </c>
      <c r="I160" s="1">
        <v>45484</v>
      </c>
      <c r="J160" t="s">
        <v>14</v>
      </c>
    </row>
    <row r="161" spans="1:10" x14ac:dyDescent="0.25">
      <c r="A161">
        <v>160</v>
      </c>
      <c r="B161" t="s">
        <v>25</v>
      </c>
      <c r="C161" t="s">
        <v>26</v>
      </c>
      <c r="D161" t="s">
        <v>30</v>
      </c>
      <c r="E161" t="s">
        <v>13</v>
      </c>
      <c r="F161">
        <v>57</v>
      </c>
      <c r="G161">
        <v>184.64</v>
      </c>
      <c r="H161">
        <v>129</v>
      </c>
      <c r="I161" s="1">
        <v>45068</v>
      </c>
      <c r="J161" t="s">
        <v>28</v>
      </c>
    </row>
    <row r="162" spans="1:10" x14ac:dyDescent="0.25">
      <c r="A162">
        <v>161</v>
      </c>
      <c r="B162" t="s">
        <v>42</v>
      </c>
      <c r="C162" t="s">
        <v>16</v>
      </c>
      <c r="D162" t="s">
        <v>30</v>
      </c>
      <c r="E162" t="s">
        <v>37</v>
      </c>
      <c r="F162">
        <v>241</v>
      </c>
      <c r="G162">
        <v>248.44</v>
      </c>
      <c r="H162">
        <v>116</v>
      </c>
      <c r="I162" s="1">
        <v>45059</v>
      </c>
      <c r="J162" t="s">
        <v>14</v>
      </c>
    </row>
    <row r="163" spans="1:10" x14ac:dyDescent="0.25">
      <c r="A163">
        <v>162</v>
      </c>
      <c r="B163" t="s">
        <v>19</v>
      </c>
      <c r="C163" t="s">
        <v>20</v>
      </c>
      <c r="D163" t="s">
        <v>21</v>
      </c>
      <c r="E163" t="s">
        <v>39</v>
      </c>
      <c r="F163">
        <v>309</v>
      </c>
      <c r="G163">
        <v>285.76</v>
      </c>
      <c r="H163">
        <v>82</v>
      </c>
      <c r="I163" s="1">
        <v>45942</v>
      </c>
      <c r="J163" t="s">
        <v>14</v>
      </c>
    </row>
    <row r="164" spans="1:10" x14ac:dyDescent="0.25">
      <c r="A164">
        <v>163</v>
      </c>
      <c r="B164" t="s">
        <v>29</v>
      </c>
      <c r="C164" t="s">
        <v>16</v>
      </c>
      <c r="D164" t="s">
        <v>24</v>
      </c>
      <c r="E164" t="s">
        <v>18</v>
      </c>
      <c r="F164">
        <v>200</v>
      </c>
      <c r="G164">
        <v>670.02</v>
      </c>
      <c r="H164">
        <v>95</v>
      </c>
      <c r="I164" s="1">
        <v>45392</v>
      </c>
      <c r="J164" t="s">
        <v>14</v>
      </c>
    </row>
    <row r="165" spans="1:10" x14ac:dyDescent="0.25">
      <c r="A165">
        <v>164</v>
      </c>
      <c r="B165" t="s">
        <v>22</v>
      </c>
      <c r="C165" t="s">
        <v>11</v>
      </c>
      <c r="D165" t="s">
        <v>21</v>
      </c>
      <c r="E165" t="s">
        <v>37</v>
      </c>
      <c r="F165">
        <v>491</v>
      </c>
      <c r="G165">
        <v>213.83</v>
      </c>
      <c r="H165">
        <v>122</v>
      </c>
      <c r="I165" s="1">
        <v>45845</v>
      </c>
      <c r="J165" t="s">
        <v>14</v>
      </c>
    </row>
    <row r="166" spans="1:10" x14ac:dyDescent="0.25">
      <c r="A166">
        <v>165</v>
      </c>
      <c r="B166" t="s">
        <v>42</v>
      </c>
      <c r="C166" t="s">
        <v>16</v>
      </c>
      <c r="D166" t="s">
        <v>17</v>
      </c>
      <c r="E166" t="s">
        <v>18</v>
      </c>
      <c r="F166">
        <v>249</v>
      </c>
      <c r="G166">
        <v>769.15</v>
      </c>
      <c r="H166">
        <v>56</v>
      </c>
      <c r="I166" s="1">
        <v>45350</v>
      </c>
      <c r="J166" t="s">
        <v>14</v>
      </c>
    </row>
    <row r="167" spans="1:10" x14ac:dyDescent="0.25">
      <c r="A167">
        <v>166</v>
      </c>
      <c r="B167" t="s">
        <v>33</v>
      </c>
      <c r="C167" t="s">
        <v>34</v>
      </c>
      <c r="D167" t="s">
        <v>17</v>
      </c>
      <c r="E167" t="s">
        <v>27</v>
      </c>
      <c r="F167">
        <v>43</v>
      </c>
      <c r="G167">
        <v>619.91</v>
      </c>
      <c r="H167">
        <v>103</v>
      </c>
      <c r="I167" s="1">
        <v>45786</v>
      </c>
      <c r="J167" t="s">
        <v>28</v>
      </c>
    </row>
    <row r="168" spans="1:10" x14ac:dyDescent="0.25">
      <c r="A168">
        <v>167</v>
      </c>
      <c r="B168" t="s">
        <v>35</v>
      </c>
      <c r="C168" t="s">
        <v>11</v>
      </c>
      <c r="D168" t="s">
        <v>12</v>
      </c>
      <c r="E168" t="s">
        <v>37</v>
      </c>
      <c r="F168">
        <v>122</v>
      </c>
      <c r="G168">
        <v>582.16</v>
      </c>
      <c r="H168">
        <v>150</v>
      </c>
      <c r="I168" s="1">
        <v>46016</v>
      </c>
      <c r="J168" t="s">
        <v>28</v>
      </c>
    </row>
    <row r="169" spans="1:10" x14ac:dyDescent="0.25">
      <c r="A169">
        <v>168</v>
      </c>
      <c r="B169" t="s">
        <v>29</v>
      </c>
      <c r="C169" t="s">
        <v>16</v>
      </c>
      <c r="D169" t="s">
        <v>12</v>
      </c>
      <c r="E169" t="s">
        <v>32</v>
      </c>
      <c r="F169">
        <v>262</v>
      </c>
      <c r="G169">
        <v>346.57</v>
      </c>
      <c r="H169">
        <v>86</v>
      </c>
      <c r="I169" s="1">
        <v>45992</v>
      </c>
      <c r="J169" t="s">
        <v>14</v>
      </c>
    </row>
    <row r="170" spans="1:10" x14ac:dyDescent="0.25">
      <c r="A170">
        <v>169</v>
      </c>
      <c r="B170" t="s">
        <v>25</v>
      </c>
      <c r="C170" t="s">
        <v>26</v>
      </c>
      <c r="D170" t="s">
        <v>17</v>
      </c>
      <c r="E170" t="s">
        <v>18</v>
      </c>
      <c r="F170">
        <v>195</v>
      </c>
      <c r="G170">
        <v>47.81</v>
      </c>
      <c r="H170">
        <v>100</v>
      </c>
      <c r="I170" s="1">
        <v>45969</v>
      </c>
      <c r="J170" t="s">
        <v>14</v>
      </c>
    </row>
    <row r="171" spans="1:10" x14ac:dyDescent="0.25">
      <c r="A171">
        <v>170</v>
      </c>
      <c r="B171" t="s">
        <v>25</v>
      </c>
      <c r="C171" t="s">
        <v>26</v>
      </c>
      <c r="D171" t="s">
        <v>17</v>
      </c>
      <c r="E171" t="s">
        <v>27</v>
      </c>
      <c r="F171">
        <v>400</v>
      </c>
      <c r="G171">
        <v>399.25</v>
      </c>
      <c r="H171">
        <v>96</v>
      </c>
      <c r="I171" s="1">
        <v>45752</v>
      </c>
      <c r="J171" t="s">
        <v>14</v>
      </c>
    </row>
    <row r="172" spans="1:10" x14ac:dyDescent="0.25">
      <c r="A172">
        <v>171</v>
      </c>
      <c r="B172" t="s">
        <v>23</v>
      </c>
      <c r="C172" t="s">
        <v>20</v>
      </c>
      <c r="D172" t="s">
        <v>17</v>
      </c>
      <c r="E172" t="s">
        <v>37</v>
      </c>
      <c r="F172">
        <v>200</v>
      </c>
      <c r="G172">
        <v>210.31</v>
      </c>
      <c r="H172">
        <v>149</v>
      </c>
      <c r="I172" s="1">
        <v>45587</v>
      </c>
      <c r="J172" t="s">
        <v>14</v>
      </c>
    </row>
    <row r="173" spans="1:10" x14ac:dyDescent="0.25">
      <c r="A173">
        <v>172</v>
      </c>
      <c r="B173" t="s">
        <v>50</v>
      </c>
      <c r="C173" t="s">
        <v>34</v>
      </c>
      <c r="D173" t="s">
        <v>24</v>
      </c>
      <c r="E173" t="s">
        <v>37</v>
      </c>
      <c r="F173">
        <v>460</v>
      </c>
      <c r="G173">
        <v>555.11</v>
      </c>
      <c r="H173">
        <v>104</v>
      </c>
      <c r="I173" s="1">
        <v>45598</v>
      </c>
      <c r="J173" t="s">
        <v>14</v>
      </c>
    </row>
    <row r="174" spans="1:10" x14ac:dyDescent="0.25">
      <c r="A174">
        <v>173</v>
      </c>
      <c r="B174" t="s">
        <v>35</v>
      </c>
      <c r="C174" t="s">
        <v>11</v>
      </c>
      <c r="D174" t="s">
        <v>21</v>
      </c>
      <c r="E174" t="s">
        <v>37</v>
      </c>
      <c r="F174">
        <v>177</v>
      </c>
      <c r="G174">
        <v>375.05</v>
      </c>
      <c r="H174">
        <v>70</v>
      </c>
      <c r="I174" s="1">
        <v>45010</v>
      </c>
      <c r="J174" t="s">
        <v>14</v>
      </c>
    </row>
    <row r="175" spans="1:10" x14ac:dyDescent="0.25">
      <c r="A175">
        <v>174</v>
      </c>
      <c r="B175" t="s">
        <v>33</v>
      </c>
      <c r="C175" t="s">
        <v>34</v>
      </c>
      <c r="D175" t="s">
        <v>21</v>
      </c>
      <c r="E175" t="s">
        <v>32</v>
      </c>
      <c r="F175">
        <v>233</v>
      </c>
      <c r="G175">
        <v>601.94000000000005</v>
      </c>
      <c r="H175">
        <v>85</v>
      </c>
      <c r="I175" s="1">
        <v>45797</v>
      </c>
      <c r="J175" t="s">
        <v>14</v>
      </c>
    </row>
    <row r="176" spans="1:10" x14ac:dyDescent="0.25">
      <c r="A176">
        <v>175</v>
      </c>
      <c r="B176" t="s">
        <v>31</v>
      </c>
      <c r="C176" t="s">
        <v>20</v>
      </c>
      <c r="D176" t="s">
        <v>21</v>
      </c>
      <c r="E176" t="s">
        <v>32</v>
      </c>
      <c r="F176">
        <v>464</v>
      </c>
      <c r="G176">
        <v>716.43</v>
      </c>
      <c r="H176">
        <v>133</v>
      </c>
      <c r="I176" s="1">
        <v>45836</v>
      </c>
      <c r="J176" t="s">
        <v>14</v>
      </c>
    </row>
    <row r="177" spans="1:10" x14ac:dyDescent="0.25">
      <c r="A177">
        <v>176</v>
      </c>
      <c r="B177" t="s">
        <v>46</v>
      </c>
      <c r="C177" t="s">
        <v>34</v>
      </c>
      <c r="D177" t="s">
        <v>12</v>
      </c>
      <c r="E177" t="s">
        <v>37</v>
      </c>
      <c r="F177">
        <v>383</v>
      </c>
      <c r="G177">
        <v>601</v>
      </c>
      <c r="H177">
        <v>138</v>
      </c>
      <c r="I177" s="1">
        <v>45639</v>
      </c>
      <c r="J177" t="s">
        <v>14</v>
      </c>
    </row>
    <row r="178" spans="1:10" x14ac:dyDescent="0.25">
      <c r="A178">
        <v>177</v>
      </c>
      <c r="B178" t="s">
        <v>43</v>
      </c>
      <c r="C178" t="s">
        <v>26</v>
      </c>
      <c r="D178" t="s">
        <v>24</v>
      </c>
      <c r="E178" t="s">
        <v>27</v>
      </c>
      <c r="F178">
        <v>119</v>
      </c>
      <c r="G178">
        <v>336.44</v>
      </c>
      <c r="H178">
        <v>81</v>
      </c>
      <c r="I178" s="1">
        <v>45419</v>
      </c>
      <c r="J178" t="s">
        <v>14</v>
      </c>
    </row>
    <row r="179" spans="1:10" x14ac:dyDescent="0.25">
      <c r="A179">
        <v>178</v>
      </c>
      <c r="B179" t="s">
        <v>44</v>
      </c>
      <c r="C179" t="s">
        <v>34</v>
      </c>
      <c r="D179" t="s">
        <v>12</v>
      </c>
      <c r="E179" t="s">
        <v>13</v>
      </c>
      <c r="F179">
        <v>115</v>
      </c>
      <c r="G179">
        <v>537.32000000000005</v>
      </c>
      <c r="H179">
        <v>131</v>
      </c>
      <c r="I179" s="1">
        <v>45442</v>
      </c>
      <c r="J179" t="s">
        <v>28</v>
      </c>
    </row>
    <row r="180" spans="1:10" x14ac:dyDescent="0.25">
      <c r="A180">
        <v>179</v>
      </c>
      <c r="B180" t="s">
        <v>50</v>
      </c>
      <c r="C180" t="s">
        <v>34</v>
      </c>
      <c r="D180" t="s">
        <v>30</v>
      </c>
      <c r="E180" t="s">
        <v>32</v>
      </c>
      <c r="F180">
        <v>469</v>
      </c>
      <c r="G180">
        <v>527.78</v>
      </c>
      <c r="H180">
        <v>90</v>
      </c>
      <c r="I180" s="1">
        <v>44931</v>
      </c>
      <c r="J180" t="s">
        <v>14</v>
      </c>
    </row>
    <row r="181" spans="1:10" x14ac:dyDescent="0.25">
      <c r="A181">
        <v>180</v>
      </c>
      <c r="B181" t="s">
        <v>35</v>
      </c>
      <c r="C181" t="s">
        <v>11</v>
      </c>
      <c r="D181" t="s">
        <v>30</v>
      </c>
      <c r="E181" t="s">
        <v>18</v>
      </c>
      <c r="F181">
        <v>144</v>
      </c>
      <c r="G181">
        <v>625.77</v>
      </c>
      <c r="H181">
        <v>115</v>
      </c>
      <c r="I181" s="1">
        <v>45594</v>
      </c>
      <c r="J181" t="s">
        <v>14</v>
      </c>
    </row>
    <row r="182" spans="1:10" x14ac:dyDescent="0.25">
      <c r="A182">
        <v>181</v>
      </c>
      <c r="B182" t="s">
        <v>38</v>
      </c>
      <c r="C182" t="s">
        <v>26</v>
      </c>
      <c r="D182" t="s">
        <v>17</v>
      </c>
      <c r="E182" t="s">
        <v>13</v>
      </c>
      <c r="F182">
        <v>480</v>
      </c>
      <c r="G182">
        <v>398.83</v>
      </c>
      <c r="H182">
        <v>87</v>
      </c>
      <c r="I182" s="1">
        <v>45288</v>
      </c>
      <c r="J182" t="s">
        <v>14</v>
      </c>
    </row>
    <row r="183" spans="1:10" x14ac:dyDescent="0.25">
      <c r="A183">
        <v>182</v>
      </c>
      <c r="B183" t="s">
        <v>54</v>
      </c>
      <c r="C183" t="s">
        <v>20</v>
      </c>
      <c r="D183" t="s">
        <v>12</v>
      </c>
      <c r="E183" t="s">
        <v>37</v>
      </c>
      <c r="F183">
        <v>230</v>
      </c>
      <c r="G183">
        <v>455.05</v>
      </c>
      <c r="H183">
        <v>80</v>
      </c>
      <c r="I183" s="1">
        <v>45214</v>
      </c>
      <c r="J183" t="s">
        <v>14</v>
      </c>
    </row>
    <row r="184" spans="1:10" x14ac:dyDescent="0.25">
      <c r="A184">
        <v>183</v>
      </c>
      <c r="B184" t="s">
        <v>25</v>
      </c>
      <c r="C184" t="s">
        <v>26</v>
      </c>
      <c r="D184" t="s">
        <v>17</v>
      </c>
      <c r="E184" t="s">
        <v>27</v>
      </c>
      <c r="F184">
        <v>14</v>
      </c>
      <c r="G184">
        <v>304.95999999999998</v>
      </c>
      <c r="H184">
        <v>117</v>
      </c>
      <c r="I184" s="1">
        <v>45773</v>
      </c>
      <c r="J184" t="s">
        <v>28</v>
      </c>
    </row>
    <row r="185" spans="1:10" x14ac:dyDescent="0.25">
      <c r="A185">
        <v>184</v>
      </c>
      <c r="B185" t="s">
        <v>36</v>
      </c>
      <c r="C185" t="s">
        <v>11</v>
      </c>
      <c r="D185" t="s">
        <v>24</v>
      </c>
      <c r="E185" t="s">
        <v>39</v>
      </c>
      <c r="F185">
        <v>157</v>
      </c>
      <c r="G185">
        <v>697.89</v>
      </c>
      <c r="H185">
        <v>76</v>
      </c>
      <c r="I185" s="1">
        <v>45714</v>
      </c>
      <c r="J185" t="s">
        <v>14</v>
      </c>
    </row>
    <row r="186" spans="1:10" x14ac:dyDescent="0.25">
      <c r="A186">
        <v>185</v>
      </c>
      <c r="B186" t="s">
        <v>10</v>
      </c>
      <c r="C186" t="s">
        <v>11</v>
      </c>
      <c r="D186" t="s">
        <v>17</v>
      </c>
      <c r="E186" t="s">
        <v>32</v>
      </c>
      <c r="F186">
        <v>291</v>
      </c>
      <c r="G186">
        <v>184.46</v>
      </c>
      <c r="H186">
        <v>140</v>
      </c>
      <c r="I186" s="1">
        <v>45586</v>
      </c>
      <c r="J186" t="s">
        <v>14</v>
      </c>
    </row>
    <row r="187" spans="1:10" x14ac:dyDescent="0.25">
      <c r="A187">
        <v>186</v>
      </c>
      <c r="B187" t="s">
        <v>53</v>
      </c>
      <c r="C187" t="s">
        <v>26</v>
      </c>
      <c r="D187" t="s">
        <v>21</v>
      </c>
      <c r="E187" t="s">
        <v>32</v>
      </c>
      <c r="F187">
        <v>398</v>
      </c>
      <c r="G187">
        <v>640.94000000000005</v>
      </c>
      <c r="H187">
        <v>91</v>
      </c>
      <c r="I187" s="1">
        <v>45192</v>
      </c>
      <c r="J187" t="s">
        <v>14</v>
      </c>
    </row>
    <row r="188" spans="1:10" x14ac:dyDescent="0.25">
      <c r="A188">
        <v>187</v>
      </c>
      <c r="B188" t="s">
        <v>36</v>
      </c>
      <c r="C188" t="s">
        <v>11</v>
      </c>
      <c r="D188" t="s">
        <v>30</v>
      </c>
      <c r="E188" t="s">
        <v>37</v>
      </c>
      <c r="F188">
        <v>120</v>
      </c>
      <c r="G188">
        <v>160.77000000000001</v>
      </c>
      <c r="H188">
        <v>89</v>
      </c>
      <c r="I188" s="1">
        <v>45092</v>
      </c>
      <c r="J188" t="s">
        <v>14</v>
      </c>
    </row>
    <row r="189" spans="1:10" x14ac:dyDescent="0.25">
      <c r="A189">
        <v>188</v>
      </c>
      <c r="B189" t="s">
        <v>49</v>
      </c>
      <c r="C189" t="s">
        <v>16</v>
      </c>
      <c r="D189" t="s">
        <v>12</v>
      </c>
      <c r="E189" t="s">
        <v>37</v>
      </c>
      <c r="F189">
        <v>133</v>
      </c>
      <c r="G189">
        <v>122.54</v>
      </c>
      <c r="H189">
        <v>72</v>
      </c>
      <c r="I189" s="1">
        <v>45332</v>
      </c>
      <c r="J189" t="s">
        <v>14</v>
      </c>
    </row>
    <row r="190" spans="1:10" x14ac:dyDescent="0.25">
      <c r="A190">
        <v>189</v>
      </c>
      <c r="B190" t="s">
        <v>10</v>
      </c>
      <c r="C190" t="s">
        <v>11</v>
      </c>
      <c r="D190" t="s">
        <v>17</v>
      </c>
      <c r="E190" t="s">
        <v>39</v>
      </c>
      <c r="F190">
        <v>289</v>
      </c>
      <c r="G190">
        <v>322.10000000000002</v>
      </c>
      <c r="H190">
        <v>117</v>
      </c>
      <c r="I190" s="1">
        <v>45091</v>
      </c>
      <c r="J190" t="s">
        <v>14</v>
      </c>
    </row>
    <row r="191" spans="1:10" x14ac:dyDescent="0.25">
      <c r="A191">
        <v>190</v>
      </c>
      <c r="B191" t="s">
        <v>22</v>
      </c>
      <c r="C191" t="s">
        <v>11</v>
      </c>
      <c r="D191" t="s">
        <v>24</v>
      </c>
      <c r="E191" t="s">
        <v>32</v>
      </c>
      <c r="F191">
        <v>343</v>
      </c>
      <c r="G191">
        <v>757.41</v>
      </c>
      <c r="H191">
        <v>73</v>
      </c>
      <c r="I191" s="1">
        <v>45959</v>
      </c>
      <c r="J191" t="s">
        <v>14</v>
      </c>
    </row>
    <row r="192" spans="1:10" x14ac:dyDescent="0.25">
      <c r="A192">
        <v>191</v>
      </c>
      <c r="B192" t="s">
        <v>54</v>
      </c>
      <c r="C192" t="s">
        <v>20</v>
      </c>
      <c r="D192" t="s">
        <v>17</v>
      </c>
      <c r="E192" t="s">
        <v>27</v>
      </c>
      <c r="F192">
        <v>300</v>
      </c>
      <c r="G192">
        <v>40.93</v>
      </c>
      <c r="H192">
        <v>69</v>
      </c>
      <c r="I192" s="1">
        <v>45984</v>
      </c>
      <c r="J192" t="s">
        <v>14</v>
      </c>
    </row>
    <row r="193" spans="1:10" x14ac:dyDescent="0.25">
      <c r="A193">
        <v>192</v>
      </c>
      <c r="B193" t="s">
        <v>22</v>
      </c>
      <c r="C193" t="s">
        <v>11</v>
      </c>
      <c r="D193" t="s">
        <v>24</v>
      </c>
      <c r="E193" t="s">
        <v>37</v>
      </c>
      <c r="F193">
        <v>388</v>
      </c>
      <c r="G193">
        <v>559.41999999999996</v>
      </c>
      <c r="H193">
        <v>108</v>
      </c>
      <c r="I193" s="1">
        <v>45970</v>
      </c>
      <c r="J193" t="s">
        <v>14</v>
      </c>
    </row>
    <row r="194" spans="1:10" x14ac:dyDescent="0.25">
      <c r="A194">
        <v>193</v>
      </c>
      <c r="B194" t="s">
        <v>29</v>
      </c>
      <c r="C194" t="s">
        <v>16</v>
      </c>
      <c r="D194" t="s">
        <v>24</v>
      </c>
      <c r="E194" t="s">
        <v>39</v>
      </c>
      <c r="F194">
        <v>439</v>
      </c>
      <c r="G194">
        <v>484.86</v>
      </c>
      <c r="H194">
        <v>145</v>
      </c>
      <c r="I194" s="1">
        <v>45629</v>
      </c>
      <c r="J194" t="s">
        <v>14</v>
      </c>
    </row>
    <row r="195" spans="1:10" x14ac:dyDescent="0.25">
      <c r="A195">
        <v>194</v>
      </c>
      <c r="B195" t="s">
        <v>52</v>
      </c>
      <c r="C195" t="s">
        <v>16</v>
      </c>
      <c r="D195" t="s">
        <v>17</v>
      </c>
      <c r="E195" t="s">
        <v>18</v>
      </c>
      <c r="F195">
        <v>435</v>
      </c>
      <c r="G195">
        <v>636.98</v>
      </c>
      <c r="H195">
        <v>89</v>
      </c>
      <c r="I195" s="1">
        <v>46014</v>
      </c>
      <c r="J195" t="s">
        <v>14</v>
      </c>
    </row>
    <row r="196" spans="1:10" x14ac:dyDescent="0.25">
      <c r="A196">
        <v>195</v>
      </c>
      <c r="B196" t="s">
        <v>45</v>
      </c>
      <c r="C196" t="s">
        <v>26</v>
      </c>
      <c r="D196" t="s">
        <v>12</v>
      </c>
      <c r="E196" t="s">
        <v>39</v>
      </c>
      <c r="F196">
        <v>23</v>
      </c>
      <c r="G196">
        <v>438.04</v>
      </c>
      <c r="H196">
        <v>120</v>
      </c>
      <c r="I196" s="1">
        <v>45333</v>
      </c>
      <c r="J196" t="s">
        <v>28</v>
      </c>
    </row>
    <row r="197" spans="1:10" x14ac:dyDescent="0.25">
      <c r="A197">
        <v>196</v>
      </c>
      <c r="B197" t="s">
        <v>43</v>
      </c>
      <c r="C197" t="s">
        <v>26</v>
      </c>
      <c r="D197" t="s">
        <v>24</v>
      </c>
      <c r="E197" t="s">
        <v>39</v>
      </c>
      <c r="F197">
        <v>472</v>
      </c>
      <c r="G197">
        <v>233.18</v>
      </c>
      <c r="H197">
        <v>63</v>
      </c>
      <c r="I197" s="1">
        <v>45781</v>
      </c>
      <c r="J197" t="s">
        <v>14</v>
      </c>
    </row>
    <row r="198" spans="1:10" x14ac:dyDescent="0.25">
      <c r="A198">
        <v>197</v>
      </c>
      <c r="B198" t="s">
        <v>44</v>
      </c>
      <c r="C198" t="s">
        <v>34</v>
      </c>
      <c r="D198" t="s">
        <v>30</v>
      </c>
      <c r="E198" t="s">
        <v>37</v>
      </c>
      <c r="F198">
        <v>99</v>
      </c>
      <c r="G198">
        <v>760.21</v>
      </c>
      <c r="H198">
        <v>119</v>
      </c>
      <c r="I198" s="1">
        <v>45199</v>
      </c>
      <c r="J198" t="s">
        <v>28</v>
      </c>
    </row>
    <row r="199" spans="1:10" x14ac:dyDescent="0.25">
      <c r="A199">
        <v>198</v>
      </c>
      <c r="B199" t="s">
        <v>54</v>
      </c>
      <c r="C199" t="s">
        <v>20</v>
      </c>
      <c r="D199" t="s">
        <v>24</v>
      </c>
      <c r="E199" t="s">
        <v>27</v>
      </c>
      <c r="F199">
        <v>150</v>
      </c>
      <c r="G199">
        <v>757.94</v>
      </c>
      <c r="H199">
        <v>103</v>
      </c>
      <c r="I199" s="1">
        <v>45252</v>
      </c>
      <c r="J199" t="s">
        <v>14</v>
      </c>
    </row>
    <row r="200" spans="1:10" x14ac:dyDescent="0.25">
      <c r="A200">
        <v>199</v>
      </c>
      <c r="B200" t="s">
        <v>10</v>
      </c>
      <c r="C200" t="s">
        <v>11</v>
      </c>
      <c r="D200" t="s">
        <v>17</v>
      </c>
      <c r="E200" t="s">
        <v>37</v>
      </c>
      <c r="F200">
        <v>295</v>
      </c>
      <c r="G200">
        <v>250.55</v>
      </c>
      <c r="H200">
        <v>124</v>
      </c>
      <c r="I200" s="1">
        <v>45561</v>
      </c>
      <c r="J200" t="s">
        <v>14</v>
      </c>
    </row>
    <row r="201" spans="1:10" x14ac:dyDescent="0.25">
      <c r="A201">
        <v>200</v>
      </c>
      <c r="B201" t="s">
        <v>40</v>
      </c>
      <c r="C201" t="s">
        <v>34</v>
      </c>
      <c r="D201" t="s">
        <v>30</v>
      </c>
      <c r="E201" t="s">
        <v>39</v>
      </c>
      <c r="F201">
        <v>265</v>
      </c>
      <c r="G201">
        <v>72.13</v>
      </c>
      <c r="H201">
        <v>109</v>
      </c>
      <c r="I201" s="1">
        <v>45996</v>
      </c>
      <c r="J201" t="s">
        <v>14</v>
      </c>
    </row>
    <row r="202" spans="1:10" x14ac:dyDescent="0.25">
      <c r="A202">
        <v>201</v>
      </c>
      <c r="B202" t="s">
        <v>36</v>
      </c>
      <c r="C202" t="s">
        <v>11</v>
      </c>
      <c r="D202" t="s">
        <v>12</v>
      </c>
      <c r="E202" t="s">
        <v>27</v>
      </c>
      <c r="F202">
        <v>45</v>
      </c>
      <c r="G202">
        <v>78.94</v>
      </c>
      <c r="H202">
        <v>134</v>
      </c>
      <c r="I202" s="1">
        <v>45191</v>
      </c>
      <c r="J202" t="s">
        <v>28</v>
      </c>
    </row>
    <row r="203" spans="1:10" x14ac:dyDescent="0.25">
      <c r="A203">
        <v>202</v>
      </c>
      <c r="B203" t="s">
        <v>35</v>
      </c>
      <c r="C203" t="s">
        <v>11</v>
      </c>
      <c r="D203" t="s">
        <v>21</v>
      </c>
      <c r="E203" t="s">
        <v>37</v>
      </c>
      <c r="F203">
        <v>407</v>
      </c>
      <c r="G203">
        <v>663.06</v>
      </c>
      <c r="H203">
        <v>51</v>
      </c>
      <c r="I203" s="1">
        <v>45290</v>
      </c>
      <c r="J203" t="s">
        <v>14</v>
      </c>
    </row>
    <row r="204" spans="1:10" x14ac:dyDescent="0.25">
      <c r="A204">
        <v>203</v>
      </c>
      <c r="B204" t="s">
        <v>51</v>
      </c>
      <c r="C204" t="s">
        <v>11</v>
      </c>
      <c r="D204" t="s">
        <v>21</v>
      </c>
      <c r="E204" t="s">
        <v>18</v>
      </c>
      <c r="F204">
        <v>310</v>
      </c>
      <c r="G204">
        <v>535.66</v>
      </c>
      <c r="H204">
        <v>149</v>
      </c>
      <c r="I204" s="1">
        <v>45876</v>
      </c>
      <c r="J204" t="s">
        <v>14</v>
      </c>
    </row>
    <row r="205" spans="1:10" x14ac:dyDescent="0.25">
      <c r="A205">
        <v>204</v>
      </c>
      <c r="B205" t="s">
        <v>54</v>
      </c>
      <c r="C205" t="s">
        <v>20</v>
      </c>
      <c r="D205" t="s">
        <v>24</v>
      </c>
      <c r="E205" t="s">
        <v>27</v>
      </c>
      <c r="F205">
        <v>268</v>
      </c>
      <c r="G205">
        <v>341.42</v>
      </c>
      <c r="H205">
        <v>133</v>
      </c>
      <c r="I205" s="1">
        <v>45629</v>
      </c>
      <c r="J205" t="s">
        <v>14</v>
      </c>
    </row>
    <row r="206" spans="1:10" x14ac:dyDescent="0.25">
      <c r="A206">
        <v>205</v>
      </c>
      <c r="B206" t="s">
        <v>49</v>
      </c>
      <c r="C206" t="s">
        <v>16</v>
      </c>
      <c r="D206" t="s">
        <v>21</v>
      </c>
      <c r="E206" t="s">
        <v>18</v>
      </c>
      <c r="F206">
        <v>288</v>
      </c>
      <c r="G206">
        <v>459.88</v>
      </c>
      <c r="H206">
        <v>76</v>
      </c>
      <c r="I206" s="1">
        <v>45957</v>
      </c>
      <c r="J206" t="s">
        <v>14</v>
      </c>
    </row>
    <row r="207" spans="1:10" x14ac:dyDescent="0.25">
      <c r="A207">
        <v>206</v>
      </c>
      <c r="B207" t="s">
        <v>42</v>
      </c>
      <c r="C207" t="s">
        <v>16</v>
      </c>
      <c r="D207" t="s">
        <v>17</v>
      </c>
      <c r="E207" t="s">
        <v>32</v>
      </c>
      <c r="F207">
        <v>36</v>
      </c>
      <c r="G207">
        <v>494.45</v>
      </c>
      <c r="H207">
        <v>115</v>
      </c>
      <c r="I207" s="1">
        <v>45871</v>
      </c>
      <c r="J207" t="s">
        <v>28</v>
      </c>
    </row>
    <row r="208" spans="1:10" x14ac:dyDescent="0.25">
      <c r="A208">
        <v>207</v>
      </c>
      <c r="B208" t="s">
        <v>33</v>
      </c>
      <c r="C208" t="s">
        <v>34</v>
      </c>
      <c r="D208" t="s">
        <v>12</v>
      </c>
      <c r="E208" t="s">
        <v>27</v>
      </c>
      <c r="F208">
        <v>201</v>
      </c>
      <c r="G208">
        <v>27.42</v>
      </c>
      <c r="H208">
        <v>111</v>
      </c>
      <c r="I208" s="1">
        <v>45860</v>
      </c>
      <c r="J208" t="s">
        <v>14</v>
      </c>
    </row>
    <row r="209" spans="1:10" x14ac:dyDescent="0.25">
      <c r="A209">
        <v>208</v>
      </c>
      <c r="B209" t="s">
        <v>10</v>
      </c>
      <c r="C209" t="s">
        <v>11</v>
      </c>
      <c r="D209" t="s">
        <v>17</v>
      </c>
      <c r="E209" t="s">
        <v>39</v>
      </c>
      <c r="F209">
        <v>305</v>
      </c>
      <c r="G209">
        <v>573.54</v>
      </c>
      <c r="H209">
        <v>140</v>
      </c>
      <c r="I209" s="1">
        <v>45336</v>
      </c>
      <c r="J209" t="s">
        <v>14</v>
      </c>
    </row>
    <row r="210" spans="1:10" x14ac:dyDescent="0.25">
      <c r="A210">
        <v>209</v>
      </c>
      <c r="B210" t="s">
        <v>23</v>
      </c>
      <c r="C210" t="s">
        <v>20</v>
      </c>
      <c r="D210" t="s">
        <v>24</v>
      </c>
      <c r="E210" t="s">
        <v>13</v>
      </c>
      <c r="F210">
        <v>306</v>
      </c>
      <c r="G210">
        <v>605.97</v>
      </c>
      <c r="H210">
        <v>63</v>
      </c>
      <c r="I210" s="1">
        <v>45827</v>
      </c>
      <c r="J210" t="s">
        <v>14</v>
      </c>
    </row>
    <row r="211" spans="1:10" x14ac:dyDescent="0.25">
      <c r="A211">
        <v>210</v>
      </c>
      <c r="B211" t="s">
        <v>35</v>
      </c>
      <c r="C211" t="s">
        <v>11</v>
      </c>
      <c r="D211" t="s">
        <v>12</v>
      </c>
      <c r="E211" t="s">
        <v>13</v>
      </c>
      <c r="F211">
        <v>232</v>
      </c>
      <c r="G211">
        <v>71.430000000000007</v>
      </c>
      <c r="H211">
        <v>124</v>
      </c>
      <c r="I211" s="1">
        <v>44933</v>
      </c>
      <c r="J211" t="s">
        <v>14</v>
      </c>
    </row>
    <row r="212" spans="1:10" x14ac:dyDescent="0.25">
      <c r="A212">
        <v>211</v>
      </c>
      <c r="B212" t="s">
        <v>29</v>
      </c>
      <c r="C212" t="s">
        <v>16</v>
      </c>
      <c r="D212" t="s">
        <v>24</v>
      </c>
      <c r="E212" t="s">
        <v>13</v>
      </c>
      <c r="F212">
        <v>480</v>
      </c>
      <c r="G212">
        <v>610.15</v>
      </c>
      <c r="H212">
        <v>72</v>
      </c>
      <c r="I212" s="1">
        <v>45356</v>
      </c>
      <c r="J212" t="s">
        <v>14</v>
      </c>
    </row>
    <row r="213" spans="1:10" x14ac:dyDescent="0.25">
      <c r="A213">
        <v>212</v>
      </c>
      <c r="B213" t="s">
        <v>19</v>
      </c>
      <c r="C213" t="s">
        <v>20</v>
      </c>
      <c r="D213" t="s">
        <v>12</v>
      </c>
      <c r="E213" t="s">
        <v>18</v>
      </c>
      <c r="F213">
        <v>125</v>
      </c>
      <c r="G213">
        <v>630.85</v>
      </c>
      <c r="H213">
        <v>50</v>
      </c>
      <c r="I213" s="1">
        <v>45478</v>
      </c>
      <c r="J213" t="s">
        <v>14</v>
      </c>
    </row>
    <row r="214" spans="1:10" x14ac:dyDescent="0.25">
      <c r="A214">
        <v>213</v>
      </c>
      <c r="B214" t="s">
        <v>49</v>
      </c>
      <c r="C214" t="s">
        <v>16</v>
      </c>
      <c r="D214" t="s">
        <v>17</v>
      </c>
      <c r="E214" t="s">
        <v>27</v>
      </c>
      <c r="F214">
        <v>11</v>
      </c>
      <c r="G214">
        <v>364.16</v>
      </c>
      <c r="H214">
        <v>52</v>
      </c>
      <c r="I214" s="1">
        <v>45718</v>
      </c>
      <c r="J214" t="s">
        <v>28</v>
      </c>
    </row>
    <row r="215" spans="1:10" x14ac:dyDescent="0.25">
      <c r="A215">
        <v>214</v>
      </c>
      <c r="B215" t="s">
        <v>43</v>
      </c>
      <c r="C215" t="s">
        <v>26</v>
      </c>
      <c r="D215" t="s">
        <v>17</v>
      </c>
      <c r="E215" t="s">
        <v>27</v>
      </c>
      <c r="F215">
        <v>422</v>
      </c>
      <c r="G215">
        <v>790.46</v>
      </c>
      <c r="H215">
        <v>125</v>
      </c>
      <c r="I215" s="1">
        <v>45247</v>
      </c>
      <c r="J215" t="s">
        <v>14</v>
      </c>
    </row>
    <row r="216" spans="1:10" x14ac:dyDescent="0.25">
      <c r="A216">
        <v>215</v>
      </c>
      <c r="B216" t="s">
        <v>35</v>
      </c>
      <c r="C216" t="s">
        <v>11</v>
      </c>
      <c r="D216" t="s">
        <v>12</v>
      </c>
      <c r="E216" t="s">
        <v>32</v>
      </c>
      <c r="F216">
        <v>233</v>
      </c>
      <c r="G216">
        <v>100.28</v>
      </c>
      <c r="H216">
        <v>75</v>
      </c>
      <c r="I216" s="1">
        <v>45660</v>
      </c>
      <c r="J216" t="s">
        <v>14</v>
      </c>
    </row>
    <row r="217" spans="1:10" x14ac:dyDescent="0.25">
      <c r="A217">
        <v>216</v>
      </c>
      <c r="B217" t="s">
        <v>47</v>
      </c>
      <c r="C217" t="s">
        <v>20</v>
      </c>
      <c r="D217" t="s">
        <v>21</v>
      </c>
      <c r="E217" t="s">
        <v>37</v>
      </c>
      <c r="F217">
        <v>372</v>
      </c>
      <c r="G217">
        <v>444.31</v>
      </c>
      <c r="H217">
        <v>104</v>
      </c>
      <c r="I217" s="1">
        <v>45567</v>
      </c>
      <c r="J217" t="s">
        <v>14</v>
      </c>
    </row>
    <row r="218" spans="1:10" x14ac:dyDescent="0.25">
      <c r="A218">
        <v>217</v>
      </c>
      <c r="B218" t="s">
        <v>53</v>
      </c>
      <c r="C218" t="s">
        <v>26</v>
      </c>
      <c r="D218" t="s">
        <v>21</v>
      </c>
      <c r="E218" t="s">
        <v>27</v>
      </c>
      <c r="F218">
        <v>283</v>
      </c>
      <c r="G218">
        <v>131.62</v>
      </c>
      <c r="H218">
        <v>123</v>
      </c>
      <c r="I218" s="1">
        <v>45028</v>
      </c>
      <c r="J218" t="s">
        <v>14</v>
      </c>
    </row>
    <row r="219" spans="1:10" x14ac:dyDescent="0.25">
      <c r="A219">
        <v>218</v>
      </c>
      <c r="B219" t="s">
        <v>45</v>
      </c>
      <c r="C219" t="s">
        <v>26</v>
      </c>
      <c r="D219" t="s">
        <v>17</v>
      </c>
      <c r="E219" t="s">
        <v>39</v>
      </c>
      <c r="F219">
        <v>269</v>
      </c>
      <c r="G219">
        <v>82.3</v>
      </c>
      <c r="H219">
        <v>84</v>
      </c>
      <c r="I219" s="1">
        <v>45277</v>
      </c>
      <c r="J219" t="s">
        <v>14</v>
      </c>
    </row>
    <row r="220" spans="1:10" x14ac:dyDescent="0.25">
      <c r="A220">
        <v>219</v>
      </c>
      <c r="B220" t="s">
        <v>38</v>
      </c>
      <c r="C220" t="s">
        <v>26</v>
      </c>
      <c r="D220" t="s">
        <v>21</v>
      </c>
      <c r="E220" t="s">
        <v>13</v>
      </c>
      <c r="F220">
        <v>275</v>
      </c>
      <c r="G220">
        <v>747.46</v>
      </c>
      <c r="H220">
        <v>58</v>
      </c>
      <c r="I220" s="1">
        <v>45674</v>
      </c>
      <c r="J220" t="s">
        <v>14</v>
      </c>
    </row>
    <row r="221" spans="1:10" x14ac:dyDescent="0.25">
      <c r="A221">
        <v>220</v>
      </c>
      <c r="B221" t="s">
        <v>46</v>
      </c>
      <c r="C221" t="s">
        <v>34</v>
      </c>
      <c r="D221" t="s">
        <v>12</v>
      </c>
      <c r="E221" t="s">
        <v>18</v>
      </c>
      <c r="F221">
        <v>459</v>
      </c>
      <c r="G221">
        <v>785.75</v>
      </c>
      <c r="H221">
        <v>115</v>
      </c>
      <c r="I221" s="1">
        <v>45977</v>
      </c>
      <c r="J221" t="s">
        <v>14</v>
      </c>
    </row>
    <row r="222" spans="1:10" x14ac:dyDescent="0.25">
      <c r="A222">
        <v>221</v>
      </c>
      <c r="B222" t="s">
        <v>33</v>
      </c>
      <c r="C222" t="s">
        <v>34</v>
      </c>
      <c r="D222" t="s">
        <v>21</v>
      </c>
      <c r="E222" t="s">
        <v>18</v>
      </c>
      <c r="F222">
        <v>453</v>
      </c>
      <c r="G222">
        <v>504.78</v>
      </c>
      <c r="H222">
        <v>119</v>
      </c>
      <c r="I222" s="1">
        <v>45849</v>
      </c>
      <c r="J222" t="s">
        <v>14</v>
      </c>
    </row>
    <row r="223" spans="1:10" x14ac:dyDescent="0.25">
      <c r="A223">
        <v>222</v>
      </c>
      <c r="B223" t="s">
        <v>46</v>
      </c>
      <c r="C223" t="s">
        <v>34</v>
      </c>
      <c r="D223" t="s">
        <v>30</v>
      </c>
      <c r="E223" t="s">
        <v>32</v>
      </c>
      <c r="F223">
        <v>393</v>
      </c>
      <c r="G223">
        <v>208.67</v>
      </c>
      <c r="H223">
        <v>94</v>
      </c>
      <c r="I223" s="1">
        <v>45337</v>
      </c>
      <c r="J223" t="s">
        <v>14</v>
      </c>
    </row>
    <row r="224" spans="1:10" x14ac:dyDescent="0.25">
      <c r="A224">
        <v>223</v>
      </c>
      <c r="B224" t="s">
        <v>38</v>
      </c>
      <c r="C224" t="s">
        <v>26</v>
      </c>
      <c r="D224" t="s">
        <v>30</v>
      </c>
      <c r="E224" t="s">
        <v>27</v>
      </c>
      <c r="F224">
        <v>303</v>
      </c>
      <c r="G224">
        <v>104.27</v>
      </c>
      <c r="H224">
        <v>136</v>
      </c>
      <c r="I224" s="1">
        <v>45413</v>
      </c>
      <c r="J224" t="s">
        <v>14</v>
      </c>
    </row>
    <row r="225" spans="1:10" x14ac:dyDescent="0.25">
      <c r="A225">
        <v>224</v>
      </c>
      <c r="B225" t="s">
        <v>52</v>
      </c>
      <c r="C225" t="s">
        <v>16</v>
      </c>
      <c r="D225" t="s">
        <v>24</v>
      </c>
      <c r="E225" t="s">
        <v>32</v>
      </c>
      <c r="F225">
        <v>16</v>
      </c>
      <c r="G225">
        <v>386.15</v>
      </c>
      <c r="H225">
        <v>67</v>
      </c>
      <c r="I225" s="1">
        <v>45910</v>
      </c>
      <c r="J225" t="s">
        <v>28</v>
      </c>
    </row>
    <row r="226" spans="1:10" x14ac:dyDescent="0.25">
      <c r="A226">
        <v>225</v>
      </c>
      <c r="B226" t="s">
        <v>10</v>
      </c>
      <c r="C226" t="s">
        <v>11</v>
      </c>
      <c r="D226" t="s">
        <v>30</v>
      </c>
      <c r="E226" t="s">
        <v>27</v>
      </c>
      <c r="F226">
        <v>178</v>
      </c>
      <c r="G226">
        <v>541.65</v>
      </c>
      <c r="H226">
        <v>130</v>
      </c>
      <c r="I226" s="1">
        <v>45612</v>
      </c>
      <c r="J226" t="s">
        <v>14</v>
      </c>
    </row>
    <row r="227" spans="1:10" x14ac:dyDescent="0.25">
      <c r="A227">
        <v>226</v>
      </c>
      <c r="B227" t="s">
        <v>50</v>
      </c>
      <c r="C227" t="s">
        <v>34</v>
      </c>
      <c r="D227" t="s">
        <v>12</v>
      </c>
      <c r="E227" t="s">
        <v>18</v>
      </c>
      <c r="F227">
        <v>60</v>
      </c>
      <c r="G227">
        <v>235.02</v>
      </c>
      <c r="H227">
        <v>96</v>
      </c>
      <c r="I227" s="1">
        <v>45333</v>
      </c>
      <c r="J227" t="s">
        <v>28</v>
      </c>
    </row>
    <row r="228" spans="1:10" x14ac:dyDescent="0.25">
      <c r="A228">
        <v>227</v>
      </c>
      <c r="B228" t="s">
        <v>35</v>
      </c>
      <c r="C228" t="s">
        <v>11</v>
      </c>
      <c r="D228" t="s">
        <v>30</v>
      </c>
      <c r="E228" t="s">
        <v>37</v>
      </c>
      <c r="F228">
        <v>35</v>
      </c>
      <c r="G228">
        <v>104.7</v>
      </c>
      <c r="H228">
        <v>77</v>
      </c>
      <c r="I228" s="1">
        <v>44938</v>
      </c>
      <c r="J228" t="s">
        <v>28</v>
      </c>
    </row>
    <row r="229" spans="1:10" x14ac:dyDescent="0.25">
      <c r="A229">
        <v>228</v>
      </c>
      <c r="B229" t="s">
        <v>15</v>
      </c>
      <c r="C229" t="s">
        <v>16</v>
      </c>
      <c r="D229" t="s">
        <v>17</v>
      </c>
      <c r="E229" t="s">
        <v>18</v>
      </c>
      <c r="F229">
        <v>454</v>
      </c>
      <c r="G229">
        <v>212.65</v>
      </c>
      <c r="H229">
        <v>130</v>
      </c>
      <c r="I229" s="1">
        <v>45662</v>
      </c>
      <c r="J229" t="s">
        <v>14</v>
      </c>
    </row>
    <row r="230" spans="1:10" x14ac:dyDescent="0.25">
      <c r="A230">
        <v>229</v>
      </c>
      <c r="B230" t="s">
        <v>40</v>
      </c>
      <c r="C230" t="s">
        <v>34</v>
      </c>
      <c r="D230" t="s">
        <v>12</v>
      </c>
      <c r="E230" t="s">
        <v>13</v>
      </c>
      <c r="F230">
        <v>343</v>
      </c>
      <c r="G230">
        <v>406.27</v>
      </c>
      <c r="H230">
        <v>139</v>
      </c>
      <c r="I230" s="1">
        <v>45570</v>
      </c>
      <c r="J230" t="s">
        <v>14</v>
      </c>
    </row>
    <row r="231" spans="1:10" x14ac:dyDescent="0.25">
      <c r="A231">
        <v>230</v>
      </c>
      <c r="B231" t="s">
        <v>43</v>
      </c>
      <c r="C231" t="s">
        <v>26</v>
      </c>
      <c r="D231" t="s">
        <v>24</v>
      </c>
      <c r="E231" t="s">
        <v>27</v>
      </c>
      <c r="F231">
        <v>12</v>
      </c>
      <c r="G231">
        <v>735.81</v>
      </c>
      <c r="H231">
        <v>138</v>
      </c>
      <c r="I231" s="1">
        <v>45992</v>
      </c>
      <c r="J231" t="s">
        <v>28</v>
      </c>
    </row>
    <row r="232" spans="1:10" x14ac:dyDescent="0.25">
      <c r="A232">
        <v>231</v>
      </c>
      <c r="B232" t="s">
        <v>31</v>
      </c>
      <c r="C232" t="s">
        <v>20</v>
      </c>
      <c r="D232" t="s">
        <v>12</v>
      </c>
      <c r="E232" t="s">
        <v>18</v>
      </c>
      <c r="F232">
        <v>24</v>
      </c>
      <c r="G232">
        <v>442.33</v>
      </c>
      <c r="H232">
        <v>72</v>
      </c>
      <c r="I232" s="1">
        <v>45875</v>
      </c>
      <c r="J232" t="s">
        <v>28</v>
      </c>
    </row>
    <row r="233" spans="1:10" x14ac:dyDescent="0.25">
      <c r="A233">
        <v>232</v>
      </c>
      <c r="B233" t="s">
        <v>38</v>
      </c>
      <c r="C233" t="s">
        <v>26</v>
      </c>
      <c r="D233" t="s">
        <v>30</v>
      </c>
      <c r="E233" t="s">
        <v>32</v>
      </c>
      <c r="F233">
        <v>388</v>
      </c>
      <c r="G233">
        <v>566.1</v>
      </c>
      <c r="H233">
        <v>98</v>
      </c>
      <c r="I233" s="1">
        <v>45523</v>
      </c>
      <c r="J233" t="s">
        <v>14</v>
      </c>
    </row>
    <row r="234" spans="1:10" x14ac:dyDescent="0.25">
      <c r="A234">
        <v>233</v>
      </c>
      <c r="B234" t="s">
        <v>25</v>
      </c>
      <c r="C234" t="s">
        <v>26</v>
      </c>
      <c r="D234" t="s">
        <v>30</v>
      </c>
      <c r="E234" t="s">
        <v>27</v>
      </c>
      <c r="F234">
        <v>201</v>
      </c>
      <c r="G234">
        <v>94.94</v>
      </c>
      <c r="H234">
        <v>86</v>
      </c>
      <c r="I234" s="1">
        <v>45637</v>
      </c>
      <c r="J234" t="s">
        <v>14</v>
      </c>
    </row>
    <row r="235" spans="1:10" x14ac:dyDescent="0.25">
      <c r="A235">
        <v>234</v>
      </c>
      <c r="B235" t="s">
        <v>50</v>
      </c>
      <c r="C235" t="s">
        <v>34</v>
      </c>
      <c r="D235" t="s">
        <v>17</v>
      </c>
      <c r="E235" t="s">
        <v>39</v>
      </c>
      <c r="F235">
        <v>435</v>
      </c>
      <c r="G235">
        <v>455.05</v>
      </c>
      <c r="H235">
        <v>126</v>
      </c>
      <c r="I235" s="1">
        <v>45240</v>
      </c>
      <c r="J235" t="s">
        <v>14</v>
      </c>
    </row>
    <row r="236" spans="1:10" x14ac:dyDescent="0.25">
      <c r="A236">
        <v>235</v>
      </c>
      <c r="B236" t="s">
        <v>51</v>
      </c>
      <c r="C236" t="s">
        <v>11</v>
      </c>
      <c r="D236" t="s">
        <v>17</v>
      </c>
      <c r="E236" t="s">
        <v>13</v>
      </c>
      <c r="F236">
        <v>152</v>
      </c>
      <c r="G236">
        <v>74.27</v>
      </c>
      <c r="H236">
        <v>69</v>
      </c>
      <c r="I236" s="1">
        <v>45663</v>
      </c>
      <c r="J236" t="s">
        <v>14</v>
      </c>
    </row>
    <row r="237" spans="1:10" x14ac:dyDescent="0.25">
      <c r="A237">
        <v>236</v>
      </c>
      <c r="B237" t="s">
        <v>36</v>
      </c>
      <c r="C237" t="s">
        <v>11</v>
      </c>
      <c r="D237" t="s">
        <v>24</v>
      </c>
      <c r="E237" t="s">
        <v>13</v>
      </c>
      <c r="F237">
        <v>121</v>
      </c>
      <c r="G237">
        <v>424.15</v>
      </c>
      <c r="H237">
        <v>73</v>
      </c>
      <c r="I237" s="1">
        <v>45122</v>
      </c>
      <c r="J237" t="s">
        <v>14</v>
      </c>
    </row>
    <row r="238" spans="1:10" x14ac:dyDescent="0.25">
      <c r="A238">
        <v>237</v>
      </c>
      <c r="B238" t="s">
        <v>46</v>
      </c>
      <c r="C238" t="s">
        <v>34</v>
      </c>
      <c r="D238" t="s">
        <v>12</v>
      </c>
      <c r="E238" t="s">
        <v>18</v>
      </c>
      <c r="F238">
        <v>23</v>
      </c>
      <c r="G238">
        <v>259.32</v>
      </c>
      <c r="H238">
        <v>106</v>
      </c>
      <c r="I238" s="1">
        <v>45452</v>
      </c>
      <c r="J238" t="s">
        <v>28</v>
      </c>
    </row>
    <row r="239" spans="1:10" x14ac:dyDescent="0.25">
      <c r="A239">
        <v>238</v>
      </c>
      <c r="B239" t="s">
        <v>52</v>
      </c>
      <c r="C239" t="s">
        <v>16</v>
      </c>
      <c r="D239" t="s">
        <v>30</v>
      </c>
      <c r="E239" t="s">
        <v>13</v>
      </c>
      <c r="F239">
        <v>439</v>
      </c>
      <c r="G239">
        <v>665.4</v>
      </c>
      <c r="H239">
        <v>118</v>
      </c>
      <c r="I239" s="1">
        <v>45479</v>
      </c>
      <c r="J239" t="s">
        <v>14</v>
      </c>
    </row>
    <row r="240" spans="1:10" x14ac:dyDescent="0.25">
      <c r="A240">
        <v>239</v>
      </c>
      <c r="B240" t="s">
        <v>36</v>
      </c>
      <c r="C240" t="s">
        <v>11</v>
      </c>
      <c r="D240" t="s">
        <v>30</v>
      </c>
      <c r="E240" t="s">
        <v>37</v>
      </c>
      <c r="F240">
        <v>110</v>
      </c>
      <c r="G240">
        <v>310.39</v>
      </c>
      <c r="H240">
        <v>139</v>
      </c>
      <c r="I240" s="1">
        <v>45260</v>
      </c>
      <c r="J240" t="s">
        <v>28</v>
      </c>
    </row>
    <row r="241" spans="1:10" x14ac:dyDescent="0.25">
      <c r="A241">
        <v>240</v>
      </c>
      <c r="B241" t="s">
        <v>42</v>
      </c>
      <c r="C241" t="s">
        <v>16</v>
      </c>
      <c r="D241" t="s">
        <v>21</v>
      </c>
      <c r="E241" t="s">
        <v>37</v>
      </c>
      <c r="F241">
        <v>499</v>
      </c>
      <c r="G241">
        <v>435.82</v>
      </c>
      <c r="H241">
        <v>74</v>
      </c>
      <c r="I241" s="1">
        <v>45788</v>
      </c>
      <c r="J241" t="s">
        <v>14</v>
      </c>
    </row>
    <row r="242" spans="1:10" x14ac:dyDescent="0.25">
      <c r="A242">
        <v>241</v>
      </c>
      <c r="B242" t="s">
        <v>46</v>
      </c>
      <c r="C242" t="s">
        <v>34</v>
      </c>
      <c r="D242" t="s">
        <v>17</v>
      </c>
      <c r="E242" t="s">
        <v>27</v>
      </c>
      <c r="F242">
        <v>272</v>
      </c>
      <c r="G242">
        <v>208.78</v>
      </c>
      <c r="H242">
        <v>64</v>
      </c>
      <c r="I242" s="1">
        <v>45885</v>
      </c>
      <c r="J242" t="s">
        <v>14</v>
      </c>
    </row>
    <row r="243" spans="1:10" x14ac:dyDescent="0.25">
      <c r="A243">
        <v>242</v>
      </c>
      <c r="B243" t="s">
        <v>10</v>
      </c>
      <c r="C243" t="s">
        <v>11</v>
      </c>
      <c r="D243" t="s">
        <v>30</v>
      </c>
      <c r="E243" t="s">
        <v>13</v>
      </c>
      <c r="F243">
        <v>136</v>
      </c>
      <c r="G243">
        <v>266.19</v>
      </c>
      <c r="H243">
        <v>139</v>
      </c>
      <c r="I243" s="1">
        <v>45594</v>
      </c>
      <c r="J243" t="s">
        <v>28</v>
      </c>
    </row>
    <row r="244" spans="1:10" x14ac:dyDescent="0.25">
      <c r="A244">
        <v>243</v>
      </c>
      <c r="B244" t="s">
        <v>42</v>
      </c>
      <c r="C244" t="s">
        <v>16</v>
      </c>
      <c r="D244" t="s">
        <v>24</v>
      </c>
      <c r="E244" t="s">
        <v>27</v>
      </c>
      <c r="F244">
        <v>356</v>
      </c>
      <c r="G244">
        <v>64.16</v>
      </c>
      <c r="H244">
        <v>52</v>
      </c>
      <c r="I244" s="1">
        <v>45549</v>
      </c>
      <c r="J244" t="s">
        <v>14</v>
      </c>
    </row>
    <row r="245" spans="1:10" x14ac:dyDescent="0.25">
      <c r="A245">
        <v>244</v>
      </c>
      <c r="B245" t="s">
        <v>54</v>
      </c>
      <c r="C245" t="s">
        <v>20</v>
      </c>
      <c r="D245" t="s">
        <v>30</v>
      </c>
      <c r="E245" t="s">
        <v>39</v>
      </c>
      <c r="F245">
        <v>429</v>
      </c>
      <c r="G245">
        <v>767.23</v>
      </c>
      <c r="H245">
        <v>108</v>
      </c>
      <c r="I245" s="1">
        <v>45864</v>
      </c>
      <c r="J245" t="s">
        <v>14</v>
      </c>
    </row>
    <row r="246" spans="1:10" x14ac:dyDescent="0.25">
      <c r="A246">
        <v>245</v>
      </c>
      <c r="B246" t="s">
        <v>36</v>
      </c>
      <c r="C246" t="s">
        <v>11</v>
      </c>
      <c r="D246" t="s">
        <v>17</v>
      </c>
      <c r="E246" t="s">
        <v>13</v>
      </c>
      <c r="F246">
        <v>170</v>
      </c>
      <c r="G246">
        <v>10.25</v>
      </c>
      <c r="H246">
        <v>133</v>
      </c>
      <c r="I246" s="1">
        <v>45035</v>
      </c>
      <c r="J246" t="s">
        <v>14</v>
      </c>
    </row>
    <row r="247" spans="1:10" x14ac:dyDescent="0.25">
      <c r="A247">
        <v>246</v>
      </c>
      <c r="B247" t="s">
        <v>10</v>
      </c>
      <c r="C247" t="s">
        <v>11</v>
      </c>
      <c r="D247" t="s">
        <v>24</v>
      </c>
      <c r="E247" t="s">
        <v>27</v>
      </c>
      <c r="F247">
        <v>461</v>
      </c>
      <c r="G247">
        <v>506.49</v>
      </c>
      <c r="H247">
        <v>95</v>
      </c>
      <c r="I247" s="1">
        <v>45868</v>
      </c>
      <c r="J247" t="s">
        <v>14</v>
      </c>
    </row>
    <row r="248" spans="1:10" x14ac:dyDescent="0.25">
      <c r="A248">
        <v>247</v>
      </c>
      <c r="B248" t="s">
        <v>31</v>
      </c>
      <c r="C248" t="s">
        <v>20</v>
      </c>
      <c r="D248" t="s">
        <v>30</v>
      </c>
      <c r="E248" t="s">
        <v>13</v>
      </c>
      <c r="F248">
        <v>101</v>
      </c>
      <c r="G248">
        <v>12.89</v>
      </c>
      <c r="H248">
        <v>86</v>
      </c>
      <c r="I248" s="1">
        <v>45468</v>
      </c>
      <c r="J248" t="s">
        <v>14</v>
      </c>
    </row>
    <row r="249" spans="1:10" x14ac:dyDescent="0.25">
      <c r="A249">
        <v>248</v>
      </c>
      <c r="B249" t="s">
        <v>23</v>
      </c>
      <c r="C249" t="s">
        <v>20</v>
      </c>
      <c r="D249" t="s">
        <v>30</v>
      </c>
      <c r="E249" t="s">
        <v>32</v>
      </c>
      <c r="F249">
        <v>270</v>
      </c>
      <c r="G249">
        <v>151.69</v>
      </c>
      <c r="H249">
        <v>54</v>
      </c>
      <c r="I249" s="1">
        <v>45794</v>
      </c>
      <c r="J249" t="s">
        <v>14</v>
      </c>
    </row>
    <row r="250" spans="1:10" x14ac:dyDescent="0.25">
      <c r="A250">
        <v>249</v>
      </c>
      <c r="B250" t="s">
        <v>31</v>
      </c>
      <c r="C250" t="s">
        <v>20</v>
      </c>
      <c r="D250" t="s">
        <v>24</v>
      </c>
      <c r="E250" t="s">
        <v>27</v>
      </c>
      <c r="F250">
        <v>293</v>
      </c>
      <c r="G250">
        <v>623.52</v>
      </c>
      <c r="H250">
        <v>66</v>
      </c>
      <c r="I250" s="1">
        <v>45720</v>
      </c>
      <c r="J250" t="s">
        <v>14</v>
      </c>
    </row>
    <row r="251" spans="1:10" x14ac:dyDescent="0.25">
      <c r="A251">
        <v>250</v>
      </c>
      <c r="B251" t="s">
        <v>43</v>
      </c>
      <c r="C251" t="s">
        <v>26</v>
      </c>
      <c r="D251" t="s">
        <v>24</v>
      </c>
      <c r="E251" t="s">
        <v>39</v>
      </c>
      <c r="F251">
        <v>139</v>
      </c>
      <c r="G251">
        <v>662.48</v>
      </c>
      <c r="H251">
        <v>143</v>
      </c>
      <c r="I251" s="1">
        <v>45553</v>
      </c>
      <c r="J251" t="s">
        <v>28</v>
      </c>
    </row>
    <row r="252" spans="1:10" x14ac:dyDescent="0.25">
      <c r="A252">
        <v>251</v>
      </c>
      <c r="B252" t="s">
        <v>40</v>
      </c>
      <c r="C252" t="s">
        <v>34</v>
      </c>
      <c r="D252" t="s">
        <v>21</v>
      </c>
      <c r="E252" t="s">
        <v>32</v>
      </c>
      <c r="F252">
        <v>303</v>
      </c>
      <c r="G252">
        <v>224.39</v>
      </c>
      <c r="H252">
        <v>73</v>
      </c>
      <c r="I252" s="1">
        <v>45482</v>
      </c>
      <c r="J252" t="s">
        <v>14</v>
      </c>
    </row>
    <row r="253" spans="1:10" x14ac:dyDescent="0.25">
      <c r="A253">
        <v>252</v>
      </c>
      <c r="B253" t="s">
        <v>36</v>
      </c>
      <c r="C253" t="s">
        <v>11</v>
      </c>
      <c r="D253" t="s">
        <v>17</v>
      </c>
      <c r="E253" t="s">
        <v>13</v>
      </c>
      <c r="F253">
        <v>346</v>
      </c>
      <c r="G253">
        <v>448.73</v>
      </c>
      <c r="H253">
        <v>110</v>
      </c>
      <c r="I253" s="1">
        <v>45939</v>
      </c>
      <c r="J253" t="s">
        <v>14</v>
      </c>
    </row>
    <row r="254" spans="1:10" x14ac:dyDescent="0.25">
      <c r="A254">
        <v>253</v>
      </c>
      <c r="B254" t="s">
        <v>19</v>
      </c>
      <c r="C254" t="s">
        <v>20</v>
      </c>
      <c r="D254" t="s">
        <v>12</v>
      </c>
      <c r="E254" t="s">
        <v>39</v>
      </c>
      <c r="F254">
        <v>95</v>
      </c>
      <c r="G254">
        <v>542.29999999999995</v>
      </c>
      <c r="H254">
        <v>77</v>
      </c>
      <c r="I254" s="1">
        <v>45657</v>
      </c>
      <c r="J254" t="s">
        <v>14</v>
      </c>
    </row>
    <row r="255" spans="1:10" x14ac:dyDescent="0.25">
      <c r="A255">
        <v>254</v>
      </c>
      <c r="B255" t="s">
        <v>47</v>
      </c>
      <c r="C255" t="s">
        <v>20</v>
      </c>
      <c r="D255" t="s">
        <v>24</v>
      </c>
      <c r="E255" t="s">
        <v>39</v>
      </c>
      <c r="F255">
        <v>281</v>
      </c>
      <c r="G255">
        <v>22.99</v>
      </c>
      <c r="H255">
        <v>75</v>
      </c>
      <c r="I255" s="1">
        <v>45024</v>
      </c>
      <c r="J255" t="s">
        <v>14</v>
      </c>
    </row>
    <row r="256" spans="1:10" x14ac:dyDescent="0.25">
      <c r="A256">
        <v>255</v>
      </c>
      <c r="B256" t="s">
        <v>47</v>
      </c>
      <c r="C256" t="s">
        <v>20</v>
      </c>
      <c r="D256" t="s">
        <v>17</v>
      </c>
      <c r="E256" t="s">
        <v>39</v>
      </c>
      <c r="F256">
        <v>381</v>
      </c>
      <c r="G256">
        <v>284.37</v>
      </c>
      <c r="H256">
        <v>146</v>
      </c>
      <c r="I256" s="1">
        <v>45767</v>
      </c>
      <c r="J256" t="s">
        <v>14</v>
      </c>
    </row>
    <row r="257" spans="1:10" x14ac:dyDescent="0.25">
      <c r="A257">
        <v>256</v>
      </c>
      <c r="B257" t="s">
        <v>41</v>
      </c>
      <c r="C257" t="s">
        <v>16</v>
      </c>
      <c r="D257" t="s">
        <v>12</v>
      </c>
      <c r="E257" t="s">
        <v>18</v>
      </c>
      <c r="F257">
        <v>112</v>
      </c>
      <c r="G257">
        <v>509.68</v>
      </c>
      <c r="H257">
        <v>95</v>
      </c>
      <c r="I257" s="1">
        <v>44958</v>
      </c>
      <c r="J257" t="s">
        <v>14</v>
      </c>
    </row>
    <row r="258" spans="1:10" x14ac:dyDescent="0.25">
      <c r="A258">
        <v>257</v>
      </c>
      <c r="B258" t="s">
        <v>36</v>
      </c>
      <c r="C258" t="s">
        <v>11</v>
      </c>
      <c r="D258" t="s">
        <v>21</v>
      </c>
      <c r="E258" t="s">
        <v>13</v>
      </c>
      <c r="F258">
        <v>194</v>
      </c>
      <c r="G258">
        <v>221.38</v>
      </c>
      <c r="H258">
        <v>88</v>
      </c>
      <c r="I258" s="1">
        <v>45501</v>
      </c>
      <c r="J258" t="s">
        <v>14</v>
      </c>
    </row>
    <row r="259" spans="1:10" x14ac:dyDescent="0.25">
      <c r="A259">
        <v>258</v>
      </c>
      <c r="B259" t="s">
        <v>47</v>
      </c>
      <c r="C259" t="s">
        <v>20</v>
      </c>
      <c r="D259" t="s">
        <v>12</v>
      </c>
      <c r="E259" t="s">
        <v>37</v>
      </c>
      <c r="F259">
        <v>4</v>
      </c>
      <c r="G259">
        <v>75.180000000000007</v>
      </c>
      <c r="H259">
        <v>57</v>
      </c>
      <c r="I259" s="1">
        <v>45680</v>
      </c>
      <c r="J259" t="s">
        <v>28</v>
      </c>
    </row>
    <row r="260" spans="1:10" x14ac:dyDescent="0.25">
      <c r="A260">
        <v>259</v>
      </c>
      <c r="B260" t="s">
        <v>43</v>
      </c>
      <c r="C260" t="s">
        <v>26</v>
      </c>
      <c r="D260" t="s">
        <v>30</v>
      </c>
      <c r="E260" t="s">
        <v>39</v>
      </c>
      <c r="F260">
        <v>290</v>
      </c>
      <c r="G260">
        <v>94.73</v>
      </c>
      <c r="H260">
        <v>132</v>
      </c>
      <c r="I260" s="1">
        <v>45697</v>
      </c>
      <c r="J260" t="s">
        <v>14</v>
      </c>
    </row>
    <row r="261" spans="1:10" x14ac:dyDescent="0.25">
      <c r="A261">
        <v>260</v>
      </c>
      <c r="B261" t="s">
        <v>25</v>
      </c>
      <c r="C261" t="s">
        <v>26</v>
      </c>
      <c r="D261" t="s">
        <v>17</v>
      </c>
      <c r="E261" t="s">
        <v>27</v>
      </c>
      <c r="F261">
        <v>390</v>
      </c>
      <c r="G261">
        <v>168.29</v>
      </c>
      <c r="H261">
        <v>149</v>
      </c>
      <c r="I261" s="1">
        <v>45353</v>
      </c>
      <c r="J261" t="s">
        <v>14</v>
      </c>
    </row>
    <row r="262" spans="1:10" x14ac:dyDescent="0.25">
      <c r="A262">
        <v>261</v>
      </c>
      <c r="B262" t="s">
        <v>49</v>
      </c>
      <c r="C262" t="s">
        <v>16</v>
      </c>
      <c r="D262" t="s">
        <v>21</v>
      </c>
      <c r="E262" t="s">
        <v>18</v>
      </c>
      <c r="F262">
        <v>316</v>
      </c>
      <c r="G262">
        <v>199.7</v>
      </c>
      <c r="H262">
        <v>60</v>
      </c>
      <c r="I262" s="1">
        <v>45397</v>
      </c>
      <c r="J262" t="s">
        <v>14</v>
      </c>
    </row>
    <row r="263" spans="1:10" x14ac:dyDescent="0.25">
      <c r="A263">
        <v>262</v>
      </c>
      <c r="B263" t="s">
        <v>45</v>
      </c>
      <c r="C263" t="s">
        <v>26</v>
      </c>
      <c r="D263" t="s">
        <v>17</v>
      </c>
      <c r="E263" t="s">
        <v>37</v>
      </c>
      <c r="F263">
        <v>399</v>
      </c>
      <c r="G263">
        <v>655.33000000000004</v>
      </c>
      <c r="H263">
        <v>50</v>
      </c>
      <c r="I263" s="1">
        <v>45725</v>
      </c>
      <c r="J263" t="s">
        <v>14</v>
      </c>
    </row>
    <row r="264" spans="1:10" x14ac:dyDescent="0.25">
      <c r="A264">
        <v>263</v>
      </c>
      <c r="B264" t="s">
        <v>40</v>
      </c>
      <c r="C264" t="s">
        <v>34</v>
      </c>
      <c r="D264" t="s">
        <v>12</v>
      </c>
      <c r="E264" t="s">
        <v>13</v>
      </c>
      <c r="F264">
        <v>417</v>
      </c>
      <c r="G264">
        <v>403.08</v>
      </c>
      <c r="H264">
        <v>147</v>
      </c>
      <c r="I264" s="1">
        <v>45818</v>
      </c>
      <c r="J264" t="s">
        <v>14</v>
      </c>
    </row>
    <row r="265" spans="1:10" x14ac:dyDescent="0.25">
      <c r="A265">
        <v>264</v>
      </c>
      <c r="B265" t="s">
        <v>45</v>
      </c>
      <c r="C265" t="s">
        <v>26</v>
      </c>
      <c r="D265" t="s">
        <v>17</v>
      </c>
      <c r="E265" t="s">
        <v>32</v>
      </c>
      <c r="F265">
        <v>242</v>
      </c>
      <c r="G265">
        <v>722.8</v>
      </c>
      <c r="H265">
        <v>125</v>
      </c>
      <c r="I265" s="1">
        <v>46012</v>
      </c>
      <c r="J265" t="s">
        <v>14</v>
      </c>
    </row>
    <row r="266" spans="1:10" x14ac:dyDescent="0.25">
      <c r="A266">
        <v>265</v>
      </c>
      <c r="B266" t="s">
        <v>54</v>
      </c>
      <c r="C266" t="s">
        <v>20</v>
      </c>
      <c r="D266" t="s">
        <v>30</v>
      </c>
      <c r="E266" t="s">
        <v>18</v>
      </c>
      <c r="F266">
        <v>200</v>
      </c>
      <c r="G266">
        <v>457.49</v>
      </c>
      <c r="H266">
        <v>52</v>
      </c>
      <c r="I266" s="1">
        <v>45657</v>
      </c>
      <c r="J266" t="s">
        <v>14</v>
      </c>
    </row>
    <row r="267" spans="1:10" x14ac:dyDescent="0.25">
      <c r="A267">
        <v>266</v>
      </c>
      <c r="B267" t="s">
        <v>54</v>
      </c>
      <c r="C267" t="s">
        <v>20</v>
      </c>
      <c r="D267" t="s">
        <v>24</v>
      </c>
      <c r="E267" t="s">
        <v>18</v>
      </c>
      <c r="F267">
        <v>126</v>
      </c>
      <c r="G267">
        <v>142.54</v>
      </c>
      <c r="H267">
        <v>52</v>
      </c>
      <c r="I267" s="1">
        <v>45509</v>
      </c>
      <c r="J267" t="s">
        <v>14</v>
      </c>
    </row>
    <row r="268" spans="1:10" x14ac:dyDescent="0.25">
      <c r="A268">
        <v>267</v>
      </c>
      <c r="B268" t="s">
        <v>23</v>
      </c>
      <c r="C268" t="s">
        <v>20</v>
      </c>
      <c r="D268" t="s">
        <v>21</v>
      </c>
      <c r="E268" t="s">
        <v>37</v>
      </c>
      <c r="F268">
        <v>252</v>
      </c>
      <c r="G268">
        <v>259.2</v>
      </c>
      <c r="H268">
        <v>138</v>
      </c>
      <c r="I268" s="1">
        <v>45137</v>
      </c>
      <c r="J268" t="s">
        <v>14</v>
      </c>
    </row>
    <row r="269" spans="1:10" x14ac:dyDescent="0.25">
      <c r="A269">
        <v>268</v>
      </c>
      <c r="B269" t="s">
        <v>40</v>
      </c>
      <c r="C269" t="s">
        <v>34</v>
      </c>
      <c r="D269" t="s">
        <v>30</v>
      </c>
      <c r="E269" t="s">
        <v>27</v>
      </c>
      <c r="F269">
        <v>225</v>
      </c>
      <c r="G269">
        <v>459.28</v>
      </c>
      <c r="H269">
        <v>61</v>
      </c>
      <c r="I269" s="1">
        <v>45793</v>
      </c>
      <c r="J269" t="s">
        <v>14</v>
      </c>
    </row>
    <row r="270" spans="1:10" x14ac:dyDescent="0.25">
      <c r="A270">
        <v>269</v>
      </c>
      <c r="B270" t="s">
        <v>25</v>
      </c>
      <c r="C270" t="s">
        <v>26</v>
      </c>
      <c r="D270" t="s">
        <v>24</v>
      </c>
      <c r="E270" t="s">
        <v>37</v>
      </c>
      <c r="F270">
        <v>134</v>
      </c>
      <c r="G270">
        <v>533.51</v>
      </c>
      <c r="H270">
        <v>130</v>
      </c>
      <c r="I270" s="1">
        <v>45569</v>
      </c>
      <c r="J270" t="s">
        <v>14</v>
      </c>
    </row>
    <row r="271" spans="1:10" x14ac:dyDescent="0.25">
      <c r="A271">
        <v>270</v>
      </c>
      <c r="B271" t="s">
        <v>51</v>
      </c>
      <c r="C271" t="s">
        <v>11</v>
      </c>
      <c r="D271" t="s">
        <v>21</v>
      </c>
      <c r="E271" t="s">
        <v>18</v>
      </c>
      <c r="F271">
        <v>12</v>
      </c>
      <c r="G271">
        <v>173.57</v>
      </c>
      <c r="H271">
        <v>130</v>
      </c>
      <c r="I271" s="1">
        <v>45528</v>
      </c>
      <c r="J271" t="s">
        <v>28</v>
      </c>
    </row>
    <row r="272" spans="1:10" x14ac:dyDescent="0.25">
      <c r="A272">
        <v>271</v>
      </c>
      <c r="B272" t="s">
        <v>25</v>
      </c>
      <c r="C272" t="s">
        <v>26</v>
      </c>
      <c r="D272" t="s">
        <v>30</v>
      </c>
      <c r="E272" t="s">
        <v>27</v>
      </c>
      <c r="F272">
        <v>37</v>
      </c>
      <c r="G272">
        <v>321.62</v>
      </c>
      <c r="H272">
        <v>99</v>
      </c>
      <c r="I272" s="1">
        <v>45339</v>
      </c>
      <c r="J272" t="s">
        <v>28</v>
      </c>
    </row>
    <row r="273" spans="1:10" x14ac:dyDescent="0.25">
      <c r="A273">
        <v>272</v>
      </c>
      <c r="B273" t="s">
        <v>29</v>
      </c>
      <c r="C273" t="s">
        <v>16</v>
      </c>
      <c r="D273" t="s">
        <v>21</v>
      </c>
      <c r="E273" t="s">
        <v>39</v>
      </c>
      <c r="F273">
        <v>348</v>
      </c>
      <c r="G273">
        <v>87.43</v>
      </c>
      <c r="H273">
        <v>120</v>
      </c>
      <c r="I273" s="1">
        <v>45063</v>
      </c>
      <c r="J273" t="s">
        <v>14</v>
      </c>
    </row>
    <row r="274" spans="1:10" x14ac:dyDescent="0.25">
      <c r="A274">
        <v>273</v>
      </c>
      <c r="B274" t="s">
        <v>43</v>
      </c>
      <c r="C274" t="s">
        <v>26</v>
      </c>
      <c r="D274" t="s">
        <v>12</v>
      </c>
      <c r="E274" t="s">
        <v>39</v>
      </c>
      <c r="F274">
        <v>217</v>
      </c>
      <c r="G274">
        <v>460.62</v>
      </c>
      <c r="H274">
        <v>94</v>
      </c>
      <c r="I274" s="1">
        <v>45390</v>
      </c>
      <c r="J274" t="s">
        <v>14</v>
      </c>
    </row>
    <row r="275" spans="1:10" x14ac:dyDescent="0.25">
      <c r="A275">
        <v>274</v>
      </c>
      <c r="B275" t="s">
        <v>10</v>
      </c>
      <c r="C275" t="s">
        <v>11</v>
      </c>
      <c r="D275" t="s">
        <v>12</v>
      </c>
      <c r="E275" t="s">
        <v>39</v>
      </c>
      <c r="F275">
        <v>215</v>
      </c>
      <c r="G275">
        <v>20.37</v>
      </c>
      <c r="H275">
        <v>125</v>
      </c>
      <c r="I275" s="1">
        <v>45850</v>
      </c>
      <c r="J275" t="s">
        <v>14</v>
      </c>
    </row>
    <row r="276" spans="1:10" x14ac:dyDescent="0.25">
      <c r="A276">
        <v>275</v>
      </c>
      <c r="B276" t="s">
        <v>53</v>
      </c>
      <c r="C276" t="s">
        <v>26</v>
      </c>
      <c r="D276" t="s">
        <v>24</v>
      </c>
      <c r="E276" t="s">
        <v>13</v>
      </c>
      <c r="F276">
        <v>407</v>
      </c>
      <c r="G276">
        <v>61.62</v>
      </c>
      <c r="H276">
        <v>58</v>
      </c>
      <c r="I276" s="1">
        <v>45788</v>
      </c>
      <c r="J276" t="s">
        <v>14</v>
      </c>
    </row>
    <row r="277" spans="1:10" x14ac:dyDescent="0.25">
      <c r="A277">
        <v>276</v>
      </c>
      <c r="B277" t="s">
        <v>22</v>
      </c>
      <c r="C277" t="s">
        <v>11</v>
      </c>
      <c r="D277" t="s">
        <v>30</v>
      </c>
      <c r="E277" t="s">
        <v>39</v>
      </c>
      <c r="F277">
        <v>19</v>
      </c>
      <c r="G277">
        <v>32.700000000000003</v>
      </c>
      <c r="H277">
        <v>54</v>
      </c>
      <c r="I277" s="1">
        <v>45702</v>
      </c>
      <c r="J277" t="s">
        <v>28</v>
      </c>
    </row>
    <row r="278" spans="1:10" x14ac:dyDescent="0.25">
      <c r="A278">
        <v>277</v>
      </c>
      <c r="B278" t="s">
        <v>41</v>
      </c>
      <c r="C278" t="s">
        <v>16</v>
      </c>
      <c r="D278" t="s">
        <v>17</v>
      </c>
      <c r="E278" t="s">
        <v>13</v>
      </c>
      <c r="F278">
        <v>130</v>
      </c>
      <c r="G278">
        <v>490.61</v>
      </c>
      <c r="H278">
        <v>120</v>
      </c>
      <c r="I278" s="1">
        <v>45058</v>
      </c>
      <c r="J278" t="s">
        <v>14</v>
      </c>
    </row>
    <row r="279" spans="1:10" x14ac:dyDescent="0.25">
      <c r="A279">
        <v>278</v>
      </c>
      <c r="B279" t="s">
        <v>44</v>
      </c>
      <c r="C279" t="s">
        <v>34</v>
      </c>
      <c r="D279" t="s">
        <v>21</v>
      </c>
      <c r="E279" t="s">
        <v>27</v>
      </c>
      <c r="F279">
        <v>370</v>
      </c>
      <c r="G279">
        <v>519.04999999999995</v>
      </c>
      <c r="H279">
        <v>145</v>
      </c>
      <c r="I279" s="1">
        <v>45414</v>
      </c>
      <c r="J279" t="s">
        <v>14</v>
      </c>
    </row>
    <row r="280" spans="1:10" x14ac:dyDescent="0.25">
      <c r="A280">
        <v>279</v>
      </c>
      <c r="B280" t="s">
        <v>19</v>
      </c>
      <c r="C280" t="s">
        <v>20</v>
      </c>
      <c r="D280" t="s">
        <v>12</v>
      </c>
      <c r="E280" t="s">
        <v>39</v>
      </c>
      <c r="F280">
        <v>296</v>
      </c>
      <c r="G280">
        <v>721.44</v>
      </c>
      <c r="H280">
        <v>138</v>
      </c>
      <c r="I280" s="1">
        <v>45522</v>
      </c>
      <c r="J280" t="s">
        <v>14</v>
      </c>
    </row>
    <row r="281" spans="1:10" x14ac:dyDescent="0.25">
      <c r="A281">
        <v>280</v>
      </c>
      <c r="B281" t="s">
        <v>44</v>
      </c>
      <c r="C281" t="s">
        <v>34</v>
      </c>
      <c r="D281" t="s">
        <v>24</v>
      </c>
      <c r="E281" t="s">
        <v>13</v>
      </c>
      <c r="F281">
        <v>291</v>
      </c>
      <c r="G281">
        <v>188.46</v>
      </c>
      <c r="H281">
        <v>130</v>
      </c>
      <c r="I281" s="1">
        <v>46008</v>
      </c>
      <c r="J281" t="s">
        <v>14</v>
      </c>
    </row>
    <row r="282" spans="1:10" x14ac:dyDescent="0.25">
      <c r="A282">
        <v>281</v>
      </c>
      <c r="B282" t="s">
        <v>33</v>
      </c>
      <c r="C282" t="s">
        <v>34</v>
      </c>
      <c r="D282" t="s">
        <v>17</v>
      </c>
      <c r="E282" t="s">
        <v>32</v>
      </c>
      <c r="F282">
        <v>53</v>
      </c>
      <c r="G282">
        <v>386.37</v>
      </c>
      <c r="H282">
        <v>84</v>
      </c>
      <c r="I282" s="1">
        <v>45145</v>
      </c>
      <c r="J282" t="s">
        <v>28</v>
      </c>
    </row>
    <row r="283" spans="1:10" x14ac:dyDescent="0.25">
      <c r="A283">
        <v>282</v>
      </c>
      <c r="B283" t="s">
        <v>41</v>
      </c>
      <c r="C283" t="s">
        <v>16</v>
      </c>
      <c r="D283" t="s">
        <v>21</v>
      </c>
      <c r="E283" t="s">
        <v>18</v>
      </c>
      <c r="F283">
        <v>460</v>
      </c>
      <c r="G283">
        <v>780.33</v>
      </c>
      <c r="H283">
        <v>114</v>
      </c>
      <c r="I283" s="1">
        <v>45007</v>
      </c>
      <c r="J283" t="s">
        <v>14</v>
      </c>
    </row>
    <row r="284" spans="1:10" x14ac:dyDescent="0.25">
      <c r="A284">
        <v>283</v>
      </c>
      <c r="B284" t="s">
        <v>35</v>
      </c>
      <c r="C284" t="s">
        <v>11</v>
      </c>
      <c r="D284" t="s">
        <v>21</v>
      </c>
      <c r="E284" t="s">
        <v>13</v>
      </c>
      <c r="F284">
        <v>326</v>
      </c>
      <c r="G284">
        <v>280.67</v>
      </c>
      <c r="H284">
        <v>64</v>
      </c>
      <c r="I284" s="1">
        <v>45285</v>
      </c>
      <c r="J284" t="s">
        <v>14</v>
      </c>
    </row>
    <row r="285" spans="1:10" x14ac:dyDescent="0.25">
      <c r="A285">
        <v>284</v>
      </c>
      <c r="B285" t="s">
        <v>36</v>
      </c>
      <c r="C285" t="s">
        <v>11</v>
      </c>
      <c r="D285" t="s">
        <v>30</v>
      </c>
      <c r="E285" t="s">
        <v>32</v>
      </c>
      <c r="F285">
        <v>47</v>
      </c>
      <c r="G285">
        <v>786.09</v>
      </c>
      <c r="H285">
        <v>141</v>
      </c>
      <c r="I285" s="1">
        <v>45894</v>
      </c>
      <c r="J285" t="s">
        <v>28</v>
      </c>
    </row>
    <row r="286" spans="1:10" x14ac:dyDescent="0.25">
      <c r="A286">
        <v>285</v>
      </c>
      <c r="B286" t="s">
        <v>50</v>
      </c>
      <c r="C286" t="s">
        <v>34</v>
      </c>
      <c r="D286" t="s">
        <v>12</v>
      </c>
      <c r="E286" t="s">
        <v>13</v>
      </c>
      <c r="F286">
        <v>456</v>
      </c>
      <c r="G286">
        <v>30.22</v>
      </c>
      <c r="H286">
        <v>143</v>
      </c>
      <c r="I286" s="1">
        <v>45408</v>
      </c>
      <c r="J286" t="s">
        <v>14</v>
      </c>
    </row>
    <row r="287" spans="1:10" x14ac:dyDescent="0.25">
      <c r="A287">
        <v>286</v>
      </c>
      <c r="B287" t="s">
        <v>43</v>
      </c>
      <c r="C287" t="s">
        <v>26</v>
      </c>
      <c r="D287" t="s">
        <v>24</v>
      </c>
      <c r="E287" t="s">
        <v>27</v>
      </c>
      <c r="F287">
        <v>252</v>
      </c>
      <c r="G287">
        <v>609.59</v>
      </c>
      <c r="H287">
        <v>50</v>
      </c>
      <c r="I287" s="1">
        <v>45499</v>
      </c>
      <c r="J287" t="s">
        <v>14</v>
      </c>
    </row>
    <row r="288" spans="1:10" x14ac:dyDescent="0.25">
      <c r="A288">
        <v>287</v>
      </c>
      <c r="B288" t="s">
        <v>33</v>
      </c>
      <c r="C288" t="s">
        <v>34</v>
      </c>
      <c r="D288" t="s">
        <v>30</v>
      </c>
      <c r="E288" t="s">
        <v>37</v>
      </c>
      <c r="F288">
        <v>377</v>
      </c>
      <c r="G288">
        <v>646.72</v>
      </c>
      <c r="H288">
        <v>71</v>
      </c>
      <c r="I288" s="1">
        <v>45560</v>
      </c>
      <c r="J288" t="s">
        <v>14</v>
      </c>
    </row>
    <row r="289" spans="1:10" x14ac:dyDescent="0.25">
      <c r="A289">
        <v>288</v>
      </c>
      <c r="B289" t="s">
        <v>41</v>
      </c>
      <c r="C289" t="s">
        <v>16</v>
      </c>
      <c r="D289" t="s">
        <v>21</v>
      </c>
      <c r="E289" t="s">
        <v>13</v>
      </c>
      <c r="F289">
        <v>29</v>
      </c>
      <c r="G289">
        <v>499</v>
      </c>
      <c r="H289">
        <v>61</v>
      </c>
      <c r="I289" s="1">
        <v>45146</v>
      </c>
      <c r="J289" t="s">
        <v>28</v>
      </c>
    </row>
    <row r="290" spans="1:10" x14ac:dyDescent="0.25">
      <c r="A290">
        <v>289</v>
      </c>
      <c r="B290" t="s">
        <v>46</v>
      </c>
      <c r="C290" t="s">
        <v>34</v>
      </c>
      <c r="D290" t="s">
        <v>24</v>
      </c>
      <c r="E290" t="s">
        <v>32</v>
      </c>
      <c r="F290">
        <v>417</v>
      </c>
      <c r="G290">
        <v>432.81</v>
      </c>
      <c r="H290">
        <v>145</v>
      </c>
      <c r="I290" s="1">
        <v>46010</v>
      </c>
      <c r="J290" t="s">
        <v>14</v>
      </c>
    </row>
    <row r="291" spans="1:10" x14ac:dyDescent="0.25">
      <c r="A291">
        <v>290</v>
      </c>
      <c r="B291" t="s">
        <v>38</v>
      </c>
      <c r="C291" t="s">
        <v>26</v>
      </c>
      <c r="D291" t="s">
        <v>30</v>
      </c>
      <c r="E291" t="s">
        <v>27</v>
      </c>
      <c r="F291">
        <v>396</v>
      </c>
      <c r="G291">
        <v>464.29</v>
      </c>
      <c r="H291">
        <v>75</v>
      </c>
      <c r="I291" s="1">
        <v>45560</v>
      </c>
      <c r="J291" t="s">
        <v>14</v>
      </c>
    </row>
    <row r="292" spans="1:10" x14ac:dyDescent="0.25">
      <c r="A292">
        <v>291</v>
      </c>
      <c r="B292" t="s">
        <v>42</v>
      </c>
      <c r="C292" t="s">
        <v>16</v>
      </c>
      <c r="D292" t="s">
        <v>17</v>
      </c>
      <c r="E292" t="s">
        <v>39</v>
      </c>
      <c r="F292">
        <v>416</v>
      </c>
      <c r="G292">
        <v>634.74</v>
      </c>
      <c r="H292">
        <v>93</v>
      </c>
      <c r="I292" s="1">
        <v>45300</v>
      </c>
      <c r="J292" t="s">
        <v>14</v>
      </c>
    </row>
    <row r="293" spans="1:10" x14ac:dyDescent="0.25">
      <c r="A293">
        <v>292</v>
      </c>
      <c r="B293" t="s">
        <v>46</v>
      </c>
      <c r="C293" t="s">
        <v>34</v>
      </c>
      <c r="D293" t="s">
        <v>30</v>
      </c>
      <c r="E293" t="s">
        <v>32</v>
      </c>
      <c r="F293">
        <v>386</v>
      </c>
      <c r="G293">
        <v>208.51</v>
      </c>
      <c r="H293">
        <v>109</v>
      </c>
      <c r="I293" s="1">
        <v>45511</v>
      </c>
      <c r="J293" t="s">
        <v>14</v>
      </c>
    </row>
    <row r="294" spans="1:10" x14ac:dyDescent="0.25">
      <c r="A294">
        <v>293</v>
      </c>
      <c r="B294" t="s">
        <v>46</v>
      </c>
      <c r="C294" t="s">
        <v>34</v>
      </c>
      <c r="D294" t="s">
        <v>12</v>
      </c>
      <c r="E294" t="s">
        <v>27</v>
      </c>
      <c r="F294">
        <v>425</v>
      </c>
      <c r="G294">
        <v>285.89</v>
      </c>
      <c r="H294">
        <v>115</v>
      </c>
      <c r="I294" s="1">
        <v>45229</v>
      </c>
      <c r="J294" t="s">
        <v>14</v>
      </c>
    </row>
    <row r="295" spans="1:10" x14ac:dyDescent="0.25">
      <c r="A295">
        <v>294</v>
      </c>
      <c r="B295" t="s">
        <v>19</v>
      </c>
      <c r="C295" t="s">
        <v>20</v>
      </c>
      <c r="D295" t="s">
        <v>24</v>
      </c>
      <c r="E295" t="s">
        <v>32</v>
      </c>
      <c r="F295">
        <v>464</v>
      </c>
      <c r="G295">
        <v>559.12</v>
      </c>
      <c r="H295">
        <v>140</v>
      </c>
      <c r="I295" s="1">
        <v>45373</v>
      </c>
      <c r="J295" t="s">
        <v>14</v>
      </c>
    </row>
    <row r="296" spans="1:10" x14ac:dyDescent="0.25">
      <c r="A296">
        <v>295</v>
      </c>
      <c r="B296" t="s">
        <v>10</v>
      </c>
      <c r="C296" t="s">
        <v>11</v>
      </c>
      <c r="D296" t="s">
        <v>12</v>
      </c>
      <c r="E296" t="s">
        <v>13</v>
      </c>
      <c r="F296">
        <v>146</v>
      </c>
      <c r="G296">
        <v>648.97</v>
      </c>
      <c r="H296">
        <v>50</v>
      </c>
      <c r="I296" s="1">
        <v>45860</v>
      </c>
      <c r="J296" t="s">
        <v>14</v>
      </c>
    </row>
    <row r="297" spans="1:10" x14ac:dyDescent="0.25">
      <c r="A297">
        <v>296</v>
      </c>
      <c r="B297" t="s">
        <v>41</v>
      </c>
      <c r="C297" t="s">
        <v>16</v>
      </c>
      <c r="D297" t="s">
        <v>24</v>
      </c>
      <c r="E297" t="s">
        <v>13</v>
      </c>
      <c r="F297">
        <v>464</v>
      </c>
      <c r="G297">
        <v>444.4</v>
      </c>
      <c r="H297">
        <v>50</v>
      </c>
      <c r="I297" s="1">
        <v>45951</v>
      </c>
      <c r="J297" t="s">
        <v>14</v>
      </c>
    </row>
    <row r="298" spans="1:10" x14ac:dyDescent="0.25">
      <c r="A298">
        <v>297</v>
      </c>
      <c r="B298" t="s">
        <v>51</v>
      </c>
      <c r="C298" t="s">
        <v>11</v>
      </c>
      <c r="D298" t="s">
        <v>21</v>
      </c>
      <c r="E298" t="s">
        <v>37</v>
      </c>
      <c r="F298">
        <v>123</v>
      </c>
      <c r="G298">
        <v>388.49</v>
      </c>
      <c r="H298">
        <v>124</v>
      </c>
      <c r="I298" s="1">
        <v>45652</v>
      </c>
      <c r="J298" t="s">
        <v>28</v>
      </c>
    </row>
    <row r="299" spans="1:10" x14ac:dyDescent="0.25">
      <c r="A299">
        <v>298</v>
      </c>
      <c r="B299" t="s">
        <v>54</v>
      </c>
      <c r="C299" t="s">
        <v>20</v>
      </c>
      <c r="D299" t="s">
        <v>12</v>
      </c>
      <c r="E299" t="s">
        <v>32</v>
      </c>
      <c r="F299">
        <v>27</v>
      </c>
      <c r="G299">
        <v>655.9</v>
      </c>
      <c r="H299">
        <v>131</v>
      </c>
      <c r="I299" s="1">
        <v>45206</v>
      </c>
      <c r="J299" t="s">
        <v>28</v>
      </c>
    </row>
    <row r="300" spans="1:10" x14ac:dyDescent="0.25">
      <c r="A300">
        <v>299</v>
      </c>
      <c r="B300" t="s">
        <v>42</v>
      </c>
      <c r="C300" t="s">
        <v>16</v>
      </c>
      <c r="D300" t="s">
        <v>24</v>
      </c>
      <c r="E300" t="s">
        <v>27</v>
      </c>
      <c r="F300">
        <v>480</v>
      </c>
      <c r="G300">
        <v>92.3</v>
      </c>
      <c r="H300">
        <v>51</v>
      </c>
      <c r="I300" s="1">
        <v>45023</v>
      </c>
      <c r="J300" t="s">
        <v>14</v>
      </c>
    </row>
    <row r="301" spans="1:10" x14ac:dyDescent="0.25">
      <c r="A301">
        <v>300</v>
      </c>
      <c r="B301" t="s">
        <v>36</v>
      </c>
      <c r="C301" t="s">
        <v>11</v>
      </c>
      <c r="D301" t="s">
        <v>12</v>
      </c>
      <c r="E301" t="s">
        <v>37</v>
      </c>
      <c r="F301">
        <v>279</v>
      </c>
      <c r="G301">
        <v>598.86</v>
      </c>
      <c r="H301">
        <v>87</v>
      </c>
      <c r="I301" s="1">
        <v>45051</v>
      </c>
      <c r="J301" t="s">
        <v>14</v>
      </c>
    </row>
    <row r="302" spans="1:10" x14ac:dyDescent="0.25">
      <c r="A302">
        <v>301</v>
      </c>
      <c r="B302" t="s">
        <v>48</v>
      </c>
      <c r="C302" t="s">
        <v>20</v>
      </c>
      <c r="D302" t="s">
        <v>21</v>
      </c>
      <c r="E302" t="s">
        <v>27</v>
      </c>
      <c r="F302">
        <v>72</v>
      </c>
      <c r="G302">
        <v>149.78</v>
      </c>
      <c r="H302">
        <v>88</v>
      </c>
      <c r="I302" s="1">
        <v>45834</v>
      </c>
      <c r="J302" t="s">
        <v>28</v>
      </c>
    </row>
    <row r="303" spans="1:10" x14ac:dyDescent="0.25">
      <c r="A303">
        <v>302</v>
      </c>
      <c r="B303" t="s">
        <v>45</v>
      </c>
      <c r="C303" t="s">
        <v>26</v>
      </c>
      <c r="D303" t="s">
        <v>30</v>
      </c>
      <c r="E303" t="s">
        <v>13</v>
      </c>
      <c r="F303">
        <v>345</v>
      </c>
      <c r="G303">
        <v>686.16</v>
      </c>
      <c r="H303">
        <v>82</v>
      </c>
      <c r="I303" s="1">
        <v>45297</v>
      </c>
      <c r="J303" t="s">
        <v>14</v>
      </c>
    </row>
    <row r="304" spans="1:10" x14ac:dyDescent="0.25">
      <c r="A304">
        <v>303</v>
      </c>
      <c r="B304" t="s">
        <v>29</v>
      </c>
      <c r="C304" t="s">
        <v>16</v>
      </c>
      <c r="D304" t="s">
        <v>30</v>
      </c>
      <c r="E304" t="s">
        <v>18</v>
      </c>
      <c r="F304">
        <v>77</v>
      </c>
      <c r="G304">
        <v>224.4</v>
      </c>
      <c r="H304">
        <v>130</v>
      </c>
      <c r="I304" s="1">
        <v>45617</v>
      </c>
      <c r="J304" t="s">
        <v>28</v>
      </c>
    </row>
    <row r="305" spans="1:10" x14ac:dyDescent="0.25">
      <c r="A305">
        <v>304</v>
      </c>
      <c r="B305" t="s">
        <v>15</v>
      </c>
      <c r="C305" t="s">
        <v>16</v>
      </c>
      <c r="D305" t="s">
        <v>17</v>
      </c>
      <c r="E305" t="s">
        <v>18</v>
      </c>
      <c r="F305">
        <v>476</v>
      </c>
      <c r="G305">
        <v>502.3</v>
      </c>
      <c r="H305">
        <v>104</v>
      </c>
      <c r="I305" s="1">
        <v>45211</v>
      </c>
      <c r="J305" t="s">
        <v>14</v>
      </c>
    </row>
    <row r="306" spans="1:10" x14ac:dyDescent="0.25">
      <c r="A306">
        <v>305</v>
      </c>
      <c r="B306" t="s">
        <v>23</v>
      </c>
      <c r="C306" t="s">
        <v>20</v>
      </c>
      <c r="D306" t="s">
        <v>24</v>
      </c>
      <c r="E306" t="s">
        <v>27</v>
      </c>
      <c r="F306">
        <v>332</v>
      </c>
      <c r="G306">
        <v>491.47</v>
      </c>
      <c r="H306">
        <v>95</v>
      </c>
      <c r="I306" s="1">
        <v>45875</v>
      </c>
      <c r="J306" t="s">
        <v>14</v>
      </c>
    </row>
    <row r="307" spans="1:10" x14ac:dyDescent="0.25">
      <c r="A307">
        <v>306</v>
      </c>
      <c r="B307" t="s">
        <v>33</v>
      </c>
      <c r="C307" t="s">
        <v>34</v>
      </c>
      <c r="D307" t="s">
        <v>21</v>
      </c>
      <c r="E307" t="s">
        <v>37</v>
      </c>
      <c r="F307">
        <v>113</v>
      </c>
      <c r="G307">
        <v>310.58</v>
      </c>
      <c r="H307">
        <v>71</v>
      </c>
      <c r="I307" s="1">
        <v>45948</v>
      </c>
      <c r="J307" t="s">
        <v>14</v>
      </c>
    </row>
    <row r="308" spans="1:10" x14ac:dyDescent="0.25">
      <c r="A308">
        <v>307</v>
      </c>
      <c r="B308" t="s">
        <v>19</v>
      </c>
      <c r="C308" t="s">
        <v>20</v>
      </c>
      <c r="D308" t="s">
        <v>24</v>
      </c>
      <c r="E308" t="s">
        <v>32</v>
      </c>
      <c r="F308">
        <v>265</v>
      </c>
      <c r="G308">
        <v>165.34</v>
      </c>
      <c r="H308">
        <v>148</v>
      </c>
      <c r="I308" s="1">
        <v>45282</v>
      </c>
      <c r="J308" t="s">
        <v>14</v>
      </c>
    </row>
    <row r="309" spans="1:10" x14ac:dyDescent="0.25">
      <c r="A309">
        <v>308</v>
      </c>
      <c r="B309" t="s">
        <v>41</v>
      </c>
      <c r="C309" t="s">
        <v>16</v>
      </c>
      <c r="D309" t="s">
        <v>12</v>
      </c>
      <c r="E309" t="s">
        <v>18</v>
      </c>
      <c r="F309">
        <v>446</v>
      </c>
      <c r="G309">
        <v>528.9</v>
      </c>
      <c r="H309">
        <v>145</v>
      </c>
      <c r="I309" s="1">
        <v>45533</v>
      </c>
      <c r="J309" t="s">
        <v>14</v>
      </c>
    </row>
    <row r="310" spans="1:10" x14ac:dyDescent="0.25">
      <c r="A310">
        <v>309</v>
      </c>
      <c r="B310" t="s">
        <v>46</v>
      </c>
      <c r="C310" t="s">
        <v>34</v>
      </c>
      <c r="D310" t="s">
        <v>30</v>
      </c>
      <c r="E310" t="s">
        <v>37</v>
      </c>
      <c r="F310">
        <v>110</v>
      </c>
      <c r="G310">
        <v>500.85</v>
      </c>
      <c r="H310">
        <v>74</v>
      </c>
      <c r="I310" s="1">
        <v>45737</v>
      </c>
      <c r="J310" t="s">
        <v>14</v>
      </c>
    </row>
    <row r="311" spans="1:10" x14ac:dyDescent="0.25">
      <c r="A311">
        <v>310</v>
      </c>
      <c r="B311" t="s">
        <v>54</v>
      </c>
      <c r="C311" t="s">
        <v>20</v>
      </c>
      <c r="D311" t="s">
        <v>24</v>
      </c>
      <c r="E311" t="s">
        <v>13</v>
      </c>
      <c r="F311">
        <v>295</v>
      </c>
      <c r="G311">
        <v>425.87</v>
      </c>
      <c r="H311">
        <v>87</v>
      </c>
      <c r="I311" s="1">
        <v>45614</v>
      </c>
      <c r="J311" t="s">
        <v>14</v>
      </c>
    </row>
    <row r="312" spans="1:10" x14ac:dyDescent="0.25">
      <c r="A312">
        <v>311</v>
      </c>
      <c r="B312" t="s">
        <v>47</v>
      </c>
      <c r="C312" t="s">
        <v>20</v>
      </c>
      <c r="D312" t="s">
        <v>24</v>
      </c>
      <c r="E312" t="s">
        <v>27</v>
      </c>
      <c r="F312">
        <v>440</v>
      </c>
      <c r="G312">
        <v>491.99</v>
      </c>
      <c r="H312">
        <v>126</v>
      </c>
      <c r="I312" s="1">
        <v>45256</v>
      </c>
      <c r="J312" t="s">
        <v>14</v>
      </c>
    </row>
    <row r="313" spans="1:10" x14ac:dyDescent="0.25">
      <c r="A313">
        <v>312</v>
      </c>
      <c r="B313" t="s">
        <v>35</v>
      </c>
      <c r="C313" t="s">
        <v>11</v>
      </c>
      <c r="D313" t="s">
        <v>21</v>
      </c>
      <c r="E313" t="s">
        <v>37</v>
      </c>
      <c r="F313">
        <v>42</v>
      </c>
      <c r="G313">
        <v>515.54</v>
      </c>
      <c r="H313">
        <v>69</v>
      </c>
      <c r="I313" s="1">
        <v>44937</v>
      </c>
      <c r="J313" t="s">
        <v>28</v>
      </c>
    </row>
    <row r="314" spans="1:10" x14ac:dyDescent="0.25">
      <c r="A314">
        <v>313</v>
      </c>
      <c r="B314" t="s">
        <v>44</v>
      </c>
      <c r="C314" t="s">
        <v>34</v>
      </c>
      <c r="D314" t="s">
        <v>24</v>
      </c>
      <c r="E314" t="s">
        <v>37</v>
      </c>
      <c r="F314">
        <v>256</v>
      </c>
      <c r="G314">
        <v>720.75</v>
      </c>
      <c r="H314">
        <v>52</v>
      </c>
      <c r="I314" s="1">
        <v>45214</v>
      </c>
      <c r="J314" t="s">
        <v>14</v>
      </c>
    </row>
    <row r="315" spans="1:10" x14ac:dyDescent="0.25">
      <c r="A315">
        <v>314</v>
      </c>
      <c r="B315" t="s">
        <v>23</v>
      </c>
      <c r="C315" t="s">
        <v>20</v>
      </c>
      <c r="D315" t="s">
        <v>24</v>
      </c>
      <c r="E315" t="s">
        <v>18</v>
      </c>
      <c r="F315">
        <v>9</v>
      </c>
      <c r="G315">
        <v>683.74</v>
      </c>
      <c r="H315">
        <v>111</v>
      </c>
      <c r="I315" s="1">
        <v>45171</v>
      </c>
      <c r="J315" t="s">
        <v>28</v>
      </c>
    </row>
    <row r="316" spans="1:10" x14ac:dyDescent="0.25">
      <c r="A316">
        <v>315</v>
      </c>
      <c r="B316" t="s">
        <v>22</v>
      </c>
      <c r="C316" t="s">
        <v>11</v>
      </c>
      <c r="D316" t="s">
        <v>21</v>
      </c>
      <c r="E316" t="s">
        <v>39</v>
      </c>
      <c r="F316">
        <v>333</v>
      </c>
      <c r="G316">
        <v>709.29</v>
      </c>
      <c r="H316">
        <v>124</v>
      </c>
      <c r="I316" s="1">
        <v>45273</v>
      </c>
      <c r="J316" t="s">
        <v>14</v>
      </c>
    </row>
    <row r="317" spans="1:10" x14ac:dyDescent="0.25">
      <c r="A317">
        <v>316</v>
      </c>
      <c r="B317" t="s">
        <v>42</v>
      </c>
      <c r="C317" t="s">
        <v>16</v>
      </c>
      <c r="D317" t="s">
        <v>12</v>
      </c>
      <c r="E317" t="s">
        <v>32</v>
      </c>
      <c r="F317">
        <v>133</v>
      </c>
      <c r="G317">
        <v>646.46</v>
      </c>
      <c r="H317">
        <v>88</v>
      </c>
      <c r="I317" s="1">
        <v>45434</v>
      </c>
      <c r="J317" t="s">
        <v>14</v>
      </c>
    </row>
    <row r="318" spans="1:10" x14ac:dyDescent="0.25">
      <c r="A318">
        <v>317</v>
      </c>
      <c r="B318" t="s">
        <v>43</v>
      </c>
      <c r="C318" t="s">
        <v>26</v>
      </c>
      <c r="D318" t="s">
        <v>17</v>
      </c>
      <c r="E318" t="s">
        <v>18</v>
      </c>
      <c r="F318">
        <v>424</v>
      </c>
      <c r="G318">
        <v>664.23</v>
      </c>
      <c r="H318">
        <v>90</v>
      </c>
      <c r="I318" s="1">
        <v>44996</v>
      </c>
      <c r="J318" t="s">
        <v>14</v>
      </c>
    </row>
    <row r="319" spans="1:10" x14ac:dyDescent="0.25">
      <c r="A319">
        <v>318</v>
      </c>
      <c r="B319" t="s">
        <v>29</v>
      </c>
      <c r="C319" t="s">
        <v>16</v>
      </c>
      <c r="D319" t="s">
        <v>21</v>
      </c>
      <c r="E319" t="s">
        <v>32</v>
      </c>
      <c r="F319">
        <v>291</v>
      </c>
      <c r="G319">
        <v>506.45</v>
      </c>
      <c r="H319">
        <v>82</v>
      </c>
      <c r="I319" s="1">
        <v>45083</v>
      </c>
      <c r="J319" t="s">
        <v>14</v>
      </c>
    </row>
    <row r="320" spans="1:10" x14ac:dyDescent="0.25">
      <c r="A320">
        <v>319</v>
      </c>
      <c r="B320" t="s">
        <v>33</v>
      </c>
      <c r="C320" t="s">
        <v>34</v>
      </c>
      <c r="D320" t="s">
        <v>17</v>
      </c>
      <c r="E320" t="s">
        <v>32</v>
      </c>
      <c r="F320">
        <v>277</v>
      </c>
      <c r="G320">
        <v>449.29</v>
      </c>
      <c r="H320">
        <v>83</v>
      </c>
      <c r="I320" s="1">
        <v>44972</v>
      </c>
      <c r="J320" t="s">
        <v>14</v>
      </c>
    </row>
    <row r="321" spans="1:10" x14ac:dyDescent="0.25">
      <c r="A321">
        <v>320</v>
      </c>
      <c r="B321" t="s">
        <v>31</v>
      </c>
      <c r="C321" t="s">
        <v>20</v>
      </c>
      <c r="D321" t="s">
        <v>12</v>
      </c>
      <c r="E321" t="s">
        <v>37</v>
      </c>
      <c r="F321">
        <v>228</v>
      </c>
      <c r="G321">
        <v>75.52</v>
      </c>
      <c r="H321">
        <v>119</v>
      </c>
      <c r="I321" s="1">
        <v>45627</v>
      </c>
      <c r="J321" t="s">
        <v>14</v>
      </c>
    </row>
    <row r="322" spans="1:10" x14ac:dyDescent="0.25">
      <c r="A322">
        <v>321</v>
      </c>
      <c r="B322" t="s">
        <v>54</v>
      </c>
      <c r="C322" t="s">
        <v>20</v>
      </c>
      <c r="D322" t="s">
        <v>12</v>
      </c>
      <c r="E322" t="s">
        <v>32</v>
      </c>
      <c r="F322">
        <v>255</v>
      </c>
      <c r="G322">
        <v>418.56</v>
      </c>
      <c r="H322">
        <v>142</v>
      </c>
      <c r="I322" s="1">
        <v>45735</v>
      </c>
      <c r="J322" t="s">
        <v>14</v>
      </c>
    </row>
    <row r="323" spans="1:10" x14ac:dyDescent="0.25">
      <c r="A323">
        <v>322</v>
      </c>
      <c r="B323" t="s">
        <v>23</v>
      </c>
      <c r="C323" t="s">
        <v>20</v>
      </c>
      <c r="D323" t="s">
        <v>12</v>
      </c>
      <c r="E323" t="s">
        <v>39</v>
      </c>
      <c r="F323">
        <v>491</v>
      </c>
      <c r="G323">
        <v>394.72</v>
      </c>
      <c r="H323">
        <v>71</v>
      </c>
      <c r="I323" s="1">
        <v>45382</v>
      </c>
      <c r="J323" t="s">
        <v>14</v>
      </c>
    </row>
    <row r="324" spans="1:10" x14ac:dyDescent="0.25">
      <c r="A324">
        <v>323</v>
      </c>
      <c r="B324" t="s">
        <v>31</v>
      </c>
      <c r="C324" t="s">
        <v>20</v>
      </c>
      <c r="D324" t="s">
        <v>17</v>
      </c>
      <c r="E324" t="s">
        <v>13</v>
      </c>
      <c r="F324">
        <v>256</v>
      </c>
      <c r="G324">
        <v>472.22</v>
      </c>
      <c r="H324">
        <v>128</v>
      </c>
      <c r="I324" s="1">
        <v>45963</v>
      </c>
      <c r="J324" t="s">
        <v>14</v>
      </c>
    </row>
    <row r="325" spans="1:10" x14ac:dyDescent="0.25">
      <c r="A325">
        <v>324</v>
      </c>
      <c r="B325" t="s">
        <v>52</v>
      </c>
      <c r="C325" t="s">
        <v>16</v>
      </c>
      <c r="D325" t="s">
        <v>17</v>
      </c>
      <c r="E325" t="s">
        <v>32</v>
      </c>
      <c r="F325">
        <v>494</v>
      </c>
      <c r="G325">
        <v>610.77</v>
      </c>
      <c r="H325">
        <v>96</v>
      </c>
      <c r="I325" s="1">
        <v>45438</v>
      </c>
      <c r="J325" t="s">
        <v>14</v>
      </c>
    </row>
    <row r="326" spans="1:10" x14ac:dyDescent="0.25">
      <c r="A326">
        <v>325</v>
      </c>
      <c r="B326" t="s">
        <v>44</v>
      </c>
      <c r="C326" t="s">
        <v>34</v>
      </c>
      <c r="D326" t="s">
        <v>12</v>
      </c>
      <c r="E326" t="s">
        <v>13</v>
      </c>
      <c r="F326">
        <v>442</v>
      </c>
      <c r="G326">
        <v>686.38</v>
      </c>
      <c r="H326">
        <v>90</v>
      </c>
      <c r="I326" s="1">
        <v>45000</v>
      </c>
      <c r="J326" t="s">
        <v>14</v>
      </c>
    </row>
    <row r="327" spans="1:10" x14ac:dyDescent="0.25">
      <c r="A327">
        <v>326</v>
      </c>
      <c r="B327" t="s">
        <v>35</v>
      </c>
      <c r="C327" t="s">
        <v>11</v>
      </c>
      <c r="D327" t="s">
        <v>24</v>
      </c>
      <c r="E327" t="s">
        <v>32</v>
      </c>
      <c r="F327">
        <v>144</v>
      </c>
      <c r="G327">
        <v>596.21</v>
      </c>
      <c r="H327">
        <v>51</v>
      </c>
      <c r="I327" s="1">
        <v>45457</v>
      </c>
      <c r="J327" t="s">
        <v>14</v>
      </c>
    </row>
    <row r="328" spans="1:10" x14ac:dyDescent="0.25">
      <c r="A328">
        <v>327</v>
      </c>
      <c r="B328" t="s">
        <v>45</v>
      </c>
      <c r="C328" t="s">
        <v>26</v>
      </c>
      <c r="D328" t="s">
        <v>21</v>
      </c>
      <c r="E328" t="s">
        <v>13</v>
      </c>
      <c r="F328">
        <v>415</v>
      </c>
      <c r="G328">
        <v>639.26</v>
      </c>
      <c r="H328">
        <v>98</v>
      </c>
      <c r="I328" s="1">
        <v>45988</v>
      </c>
      <c r="J328" t="s">
        <v>14</v>
      </c>
    </row>
    <row r="329" spans="1:10" x14ac:dyDescent="0.25">
      <c r="A329">
        <v>328</v>
      </c>
      <c r="B329" t="s">
        <v>19</v>
      </c>
      <c r="C329" t="s">
        <v>20</v>
      </c>
      <c r="D329" t="s">
        <v>12</v>
      </c>
      <c r="E329" t="s">
        <v>37</v>
      </c>
      <c r="F329">
        <v>428</v>
      </c>
      <c r="G329">
        <v>299.01</v>
      </c>
      <c r="H329">
        <v>55</v>
      </c>
      <c r="I329" s="1">
        <v>45001</v>
      </c>
      <c r="J329" t="s">
        <v>14</v>
      </c>
    </row>
    <row r="330" spans="1:10" x14ac:dyDescent="0.25">
      <c r="A330">
        <v>329</v>
      </c>
      <c r="B330" t="s">
        <v>53</v>
      </c>
      <c r="C330" t="s">
        <v>26</v>
      </c>
      <c r="D330" t="s">
        <v>30</v>
      </c>
      <c r="E330" t="s">
        <v>32</v>
      </c>
      <c r="F330">
        <v>52</v>
      </c>
      <c r="G330">
        <v>110.13</v>
      </c>
      <c r="H330">
        <v>111</v>
      </c>
      <c r="I330" s="1">
        <v>45600</v>
      </c>
      <c r="J330" t="s">
        <v>28</v>
      </c>
    </row>
    <row r="331" spans="1:10" x14ac:dyDescent="0.25">
      <c r="A331">
        <v>330</v>
      </c>
      <c r="B331" t="s">
        <v>46</v>
      </c>
      <c r="C331" t="s">
        <v>34</v>
      </c>
      <c r="D331" t="s">
        <v>17</v>
      </c>
      <c r="E331" t="s">
        <v>27</v>
      </c>
      <c r="F331">
        <v>212</v>
      </c>
      <c r="G331">
        <v>225.79</v>
      </c>
      <c r="H331">
        <v>147</v>
      </c>
      <c r="I331" s="1">
        <v>45102</v>
      </c>
      <c r="J331" t="s">
        <v>14</v>
      </c>
    </row>
    <row r="332" spans="1:10" x14ac:dyDescent="0.25">
      <c r="A332">
        <v>331</v>
      </c>
      <c r="B332" t="s">
        <v>41</v>
      </c>
      <c r="C332" t="s">
        <v>16</v>
      </c>
      <c r="D332" t="s">
        <v>30</v>
      </c>
      <c r="E332" t="s">
        <v>27</v>
      </c>
      <c r="F332">
        <v>247</v>
      </c>
      <c r="G332">
        <v>490.73</v>
      </c>
      <c r="H332">
        <v>140</v>
      </c>
      <c r="I332" s="1">
        <v>44936</v>
      </c>
      <c r="J332" t="s">
        <v>14</v>
      </c>
    </row>
    <row r="333" spans="1:10" x14ac:dyDescent="0.25">
      <c r="A333">
        <v>332</v>
      </c>
      <c r="B333" t="s">
        <v>48</v>
      </c>
      <c r="C333" t="s">
        <v>20</v>
      </c>
      <c r="D333" t="s">
        <v>17</v>
      </c>
      <c r="E333" t="s">
        <v>13</v>
      </c>
      <c r="F333">
        <v>361</v>
      </c>
      <c r="G333">
        <v>514.17999999999995</v>
      </c>
      <c r="H333">
        <v>82</v>
      </c>
      <c r="I333" s="1">
        <v>46009</v>
      </c>
      <c r="J333" t="s">
        <v>14</v>
      </c>
    </row>
    <row r="334" spans="1:10" x14ac:dyDescent="0.25">
      <c r="A334">
        <v>333</v>
      </c>
      <c r="B334" t="s">
        <v>29</v>
      </c>
      <c r="C334" t="s">
        <v>16</v>
      </c>
      <c r="D334" t="s">
        <v>17</v>
      </c>
      <c r="E334" t="s">
        <v>18</v>
      </c>
      <c r="F334">
        <v>426</v>
      </c>
      <c r="G334">
        <v>578.26</v>
      </c>
      <c r="H334">
        <v>83</v>
      </c>
      <c r="I334" s="1">
        <v>45995</v>
      </c>
      <c r="J334" t="s">
        <v>14</v>
      </c>
    </row>
    <row r="335" spans="1:10" x14ac:dyDescent="0.25">
      <c r="A335">
        <v>334</v>
      </c>
      <c r="B335" t="s">
        <v>53</v>
      </c>
      <c r="C335" t="s">
        <v>26</v>
      </c>
      <c r="D335" t="s">
        <v>17</v>
      </c>
      <c r="E335" t="s">
        <v>13</v>
      </c>
      <c r="F335">
        <v>371</v>
      </c>
      <c r="G335">
        <v>757.63</v>
      </c>
      <c r="H335">
        <v>85</v>
      </c>
      <c r="I335" s="1">
        <v>45540</v>
      </c>
      <c r="J335" t="s">
        <v>14</v>
      </c>
    </row>
    <row r="336" spans="1:10" x14ac:dyDescent="0.25">
      <c r="A336">
        <v>335</v>
      </c>
      <c r="B336" t="s">
        <v>48</v>
      </c>
      <c r="C336" t="s">
        <v>20</v>
      </c>
      <c r="D336" t="s">
        <v>30</v>
      </c>
      <c r="E336" t="s">
        <v>37</v>
      </c>
      <c r="F336">
        <v>488</v>
      </c>
      <c r="G336">
        <v>131.22</v>
      </c>
      <c r="H336">
        <v>80</v>
      </c>
      <c r="I336" s="1">
        <v>45964</v>
      </c>
      <c r="J336" t="s">
        <v>14</v>
      </c>
    </row>
    <row r="337" spans="1:10" x14ac:dyDescent="0.25">
      <c r="A337">
        <v>336</v>
      </c>
      <c r="B337" t="s">
        <v>35</v>
      </c>
      <c r="C337" t="s">
        <v>11</v>
      </c>
      <c r="D337" t="s">
        <v>24</v>
      </c>
      <c r="E337" t="s">
        <v>27</v>
      </c>
      <c r="F337">
        <v>456</v>
      </c>
      <c r="G337">
        <v>434.4</v>
      </c>
      <c r="H337">
        <v>132</v>
      </c>
      <c r="I337" s="1">
        <v>45129</v>
      </c>
      <c r="J337" t="s">
        <v>14</v>
      </c>
    </row>
    <row r="338" spans="1:10" x14ac:dyDescent="0.25">
      <c r="A338">
        <v>337</v>
      </c>
      <c r="B338" t="s">
        <v>49</v>
      </c>
      <c r="C338" t="s">
        <v>16</v>
      </c>
      <c r="D338" t="s">
        <v>12</v>
      </c>
      <c r="E338" t="s">
        <v>39</v>
      </c>
      <c r="F338">
        <v>31</v>
      </c>
      <c r="G338">
        <v>149.76</v>
      </c>
      <c r="H338">
        <v>88</v>
      </c>
      <c r="I338" s="1">
        <v>45537</v>
      </c>
      <c r="J338" t="s">
        <v>28</v>
      </c>
    </row>
    <row r="339" spans="1:10" x14ac:dyDescent="0.25">
      <c r="A339">
        <v>338</v>
      </c>
      <c r="B339" t="s">
        <v>23</v>
      </c>
      <c r="C339" t="s">
        <v>20</v>
      </c>
      <c r="D339" t="s">
        <v>12</v>
      </c>
      <c r="E339" t="s">
        <v>27</v>
      </c>
      <c r="F339">
        <v>317</v>
      </c>
      <c r="G339">
        <v>328.18</v>
      </c>
      <c r="H339">
        <v>128</v>
      </c>
      <c r="I339" s="1">
        <v>45980</v>
      </c>
      <c r="J339" t="s">
        <v>14</v>
      </c>
    </row>
    <row r="340" spans="1:10" x14ac:dyDescent="0.25">
      <c r="A340">
        <v>339</v>
      </c>
      <c r="B340" t="s">
        <v>23</v>
      </c>
      <c r="C340" t="s">
        <v>20</v>
      </c>
      <c r="D340" t="s">
        <v>21</v>
      </c>
      <c r="E340" t="s">
        <v>27</v>
      </c>
      <c r="F340">
        <v>90</v>
      </c>
      <c r="G340">
        <v>272.26</v>
      </c>
      <c r="H340">
        <v>131</v>
      </c>
      <c r="I340" s="1">
        <v>45552</v>
      </c>
      <c r="J340" t="s">
        <v>28</v>
      </c>
    </row>
    <row r="341" spans="1:10" x14ac:dyDescent="0.25">
      <c r="A341">
        <v>340</v>
      </c>
      <c r="B341" t="s">
        <v>54</v>
      </c>
      <c r="C341" t="s">
        <v>20</v>
      </c>
      <c r="D341" t="s">
        <v>17</v>
      </c>
      <c r="E341" t="s">
        <v>18</v>
      </c>
      <c r="F341">
        <v>98</v>
      </c>
      <c r="G341">
        <v>555.34</v>
      </c>
      <c r="H341">
        <v>120</v>
      </c>
      <c r="I341" s="1">
        <v>45729</v>
      </c>
      <c r="J341" t="s">
        <v>28</v>
      </c>
    </row>
    <row r="342" spans="1:10" x14ac:dyDescent="0.25">
      <c r="A342">
        <v>341</v>
      </c>
      <c r="B342" t="s">
        <v>22</v>
      </c>
      <c r="C342" t="s">
        <v>11</v>
      </c>
      <c r="D342" t="s">
        <v>12</v>
      </c>
      <c r="E342" t="s">
        <v>13</v>
      </c>
      <c r="F342">
        <v>45</v>
      </c>
      <c r="G342">
        <v>62.18</v>
      </c>
      <c r="H342">
        <v>99</v>
      </c>
      <c r="I342" s="1">
        <v>45897</v>
      </c>
      <c r="J342" t="s">
        <v>28</v>
      </c>
    </row>
    <row r="343" spans="1:10" x14ac:dyDescent="0.25">
      <c r="A343">
        <v>342</v>
      </c>
      <c r="B343" t="s">
        <v>25</v>
      </c>
      <c r="C343" t="s">
        <v>26</v>
      </c>
      <c r="D343" t="s">
        <v>30</v>
      </c>
      <c r="E343" t="s">
        <v>27</v>
      </c>
      <c r="F343">
        <v>405</v>
      </c>
      <c r="G343">
        <v>771.32</v>
      </c>
      <c r="H343">
        <v>84</v>
      </c>
      <c r="I343" s="1">
        <v>45743</v>
      </c>
      <c r="J343" t="s">
        <v>14</v>
      </c>
    </row>
    <row r="344" spans="1:10" x14ac:dyDescent="0.25">
      <c r="A344">
        <v>343</v>
      </c>
      <c r="B344" t="s">
        <v>50</v>
      </c>
      <c r="C344" t="s">
        <v>34</v>
      </c>
      <c r="D344" t="s">
        <v>17</v>
      </c>
      <c r="E344" t="s">
        <v>32</v>
      </c>
      <c r="F344">
        <v>9</v>
      </c>
      <c r="G344">
        <v>51.24</v>
      </c>
      <c r="H344">
        <v>129</v>
      </c>
      <c r="I344" s="1">
        <v>45775</v>
      </c>
      <c r="J344" t="s">
        <v>28</v>
      </c>
    </row>
    <row r="345" spans="1:10" x14ac:dyDescent="0.25">
      <c r="A345">
        <v>344</v>
      </c>
      <c r="B345" t="s">
        <v>19</v>
      </c>
      <c r="C345" t="s">
        <v>20</v>
      </c>
      <c r="D345" t="s">
        <v>17</v>
      </c>
      <c r="E345" t="s">
        <v>32</v>
      </c>
      <c r="F345">
        <v>132</v>
      </c>
      <c r="G345">
        <v>286.99</v>
      </c>
      <c r="H345">
        <v>112</v>
      </c>
      <c r="I345" s="1">
        <v>45024</v>
      </c>
      <c r="J345" t="s">
        <v>14</v>
      </c>
    </row>
    <row r="346" spans="1:10" x14ac:dyDescent="0.25">
      <c r="A346">
        <v>345</v>
      </c>
      <c r="B346" t="s">
        <v>45</v>
      </c>
      <c r="C346" t="s">
        <v>26</v>
      </c>
      <c r="D346" t="s">
        <v>12</v>
      </c>
      <c r="E346" t="s">
        <v>18</v>
      </c>
      <c r="F346">
        <v>42</v>
      </c>
      <c r="G346">
        <v>636.97</v>
      </c>
      <c r="H346">
        <v>106</v>
      </c>
      <c r="I346" s="1">
        <v>45971</v>
      </c>
      <c r="J346" t="s">
        <v>28</v>
      </c>
    </row>
    <row r="347" spans="1:10" x14ac:dyDescent="0.25">
      <c r="A347">
        <v>346</v>
      </c>
      <c r="B347" t="s">
        <v>36</v>
      </c>
      <c r="C347" t="s">
        <v>11</v>
      </c>
      <c r="D347" t="s">
        <v>17</v>
      </c>
      <c r="E347" t="s">
        <v>32</v>
      </c>
      <c r="F347">
        <v>51</v>
      </c>
      <c r="G347">
        <v>495.74</v>
      </c>
      <c r="H347">
        <v>123</v>
      </c>
      <c r="I347" s="1">
        <v>45020</v>
      </c>
      <c r="J347" t="s">
        <v>28</v>
      </c>
    </row>
    <row r="348" spans="1:10" x14ac:dyDescent="0.25">
      <c r="A348">
        <v>347</v>
      </c>
      <c r="B348" t="s">
        <v>25</v>
      </c>
      <c r="C348" t="s">
        <v>26</v>
      </c>
      <c r="D348" t="s">
        <v>30</v>
      </c>
      <c r="E348" t="s">
        <v>32</v>
      </c>
      <c r="F348">
        <v>368</v>
      </c>
      <c r="G348">
        <v>310.43</v>
      </c>
      <c r="H348">
        <v>51</v>
      </c>
      <c r="I348" s="1">
        <v>45138</v>
      </c>
      <c r="J348" t="s">
        <v>14</v>
      </c>
    </row>
    <row r="349" spans="1:10" x14ac:dyDescent="0.25">
      <c r="A349">
        <v>348</v>
      </c>
      <c r="B349" t="s">
        <v>42</v>
      </c>
      <c r="C349" t="s">
        <v>16</v>
      </c>
      <c r="D349" t="s">
        <v>12</v>
      </c>
      <c r="E349" t="s">
        <v>39</v>
      </c>
      <c r="F349">
        <v>220</v>
      </c>
      <c r="G349">
        <v>460.36</v>
      </c>
      <c r="H349">
        <v>53</v>
      </c>
      <c r="I349" s="1">
        <v>45730</v>
      </c>
      <c r="J349" t="s">
        <v>14</v>
      </c>
    </row>
    <row r="350" spans="1:10" x14ac:dyDescent="0.25">
      <c r="A350">
        <v>349</v>
      </c>
      <c r="B350" t="s">
        <v>43</v>
      </c>
      <c r="C350" t="s">
        <v>26</v>
      </c>
      <c r="D350" t="s">
        <v>30</v>
      </c>
      <c r="E350" t="s">
        <v>39</v>
      </c>
      <c r="F350">
        <v>1</v>
      </c>
      <c r="G350">
        <v>494.92</v>
      </c>
      <c r="H350">
        <v>52</v>
      </c>
      <c r="I350" s="1">
        <v>45458</v>
      </c>
      <c r="J350" t="s">
        <v>28</v>
      </c>
    </row>
    <row r="351" spans="1:10" x14ac:dyDescent="0.25">
      <c r="A351">
        <v>350</v>
      </c>
      <c r="B351" t="s">
        <v>15</v>
      </c>
      <c r="C351" t="s">
        <v>16</v>
      </c>
      <c r="D351" t="s">
        <v>30</v>
      </c>
      <c r="E351" t="s">
        <v>39</v>
      </c>
      <c r="F351">
        <v>124</v>
      </c>
      <c r="G351">
        <v>298.08999999999997</v>
      </c>
      <c r="H351">
        <v>68</v>
      </c>
      <c r="I351" s="1">
        <v>45242</v>
      </c>
      <c r="J351" t="s">
        <v>14</v>
      </c>
    </row>
    <row r="352" spans="1:10" x14ac:dyDescent="0.25">
      <c r="A352">
        <v>351</v>
      </c>
      <c r="B352" t="s">
        <v>50</v>
      </c>
      <c r="C352" t="s">
        <v>34</v>
      </c>
      <c r="D352" t="s">
        <v>12</v>
      </c>
      <c r="E352" t="s">
        <v>27</v>
      </c>
      <c r="F352">
        <v>133</v>
      </c>
      <c r="G352">
        <v>660.81</v>
      </c>
      <c r="H352">
        <v>118</v>
      </c>
      <c r="I352" s="1">
        <v>45227</v>
      </c>
      <c r="J352" t="s">
        <v>14</v>
      </c>
    </row>
    <row r="353" spans="1:10" x14ac:dyDescent="0.25">
      <c r="A353">
        <v>352</v>
      </c>
      <c r="B353" t="s">
        <v>33</v>
      </c>
      <c r="C353" t="s">
        <v>34</v>
      </c>
      <c r="D353" t="s">
        <v>12</v>
      </c>
      <c r="E353" t="s">
        <v>32</v>
      </c>
      <c r="F353">
        <v>302</v>
      </c>
      <c r="G353">
        <v>728.55</v>
      </c>
      <c r="H353">
        <v>89</v>
      </c>
      <c r="I353" s="1">
        <v>45636</v>
      </c>
      <c r="J353" t="s">
        <v>14</v>
      </c>
    </row>
    <row r="354" spans="1:10" x14ac:dyDescent="0.25">
      <c r="A354">
        <v>353</v>
      </c>
      <c r="B354" t="s">
        <v>50</v>
      </c>
      <c r="C354" t="s">
        <v>34</v>
      </c>
      <c r="D354" t="s">
        <v>30</v>
      </c>
      <c r="E354" t="s">
        <v>37</v>
      </c>
      <c r="F354">
        <v>219</v>
      </c>
      <c r="G354">
        <v>202.84</v>
      </c>
      <c r="H354">
        <v>117</v>
      </c>
      <c r="I354" s="1">
        <v>45444</v>
      </c>
      <c r="J354" t="s">
        <v>14</v>
      </c>
    </row>
    <row r="355" spans="1:10" x14ac:dyDescent="0.25">
      <c r="A355">
        <v>354</v>
      </c>
      <c r="B355" t="s">
        <v>49</v>
      </c>
      <c r="C355" t="s">
        <v>16</v>
      </c>
      <c r="D355" t="s">
        <v>24</v>
      </c>
      <c r="E355" t="s">
        <v>37</v>
      </c>
      <c r="F355">
        <v>40</v>
      </c>
      <c r="G355">
        <v>644.80999999999995</v>
      </c>
      <c r="H355">
        <v>67</v>
      </c>
      <c r="I355" s="1">
        <v>45619</v>
      </c>
      <c r="J355" t="s">
        <v>28</v>
      </c>
    </row>
    <row r="356" spans="1:10" x14ac:dyDescent="0.25">
      <c r="A356">
        <v>355</v>
      </c>
      <c r="B356" t="s">
        <v>44</v>
      </c>
      <c r="C356" t="s">
        <v>34</v>
      </c>
      <c r="D356" t="s">
        <v>30</v>
      </c>
      <c r="E356" t="s">
        <v>18</v>
      </c>
      <c r="F356">
        <v>320</v>
      </c>
      <c r="G356">
        <v>82.49</v>
      </c>
      <c r="H356">
        <v>111</v>
      </c>
      <c r="I356" s="1">
        <v>45009</v>
      </c>
      <c r="J356" t="s">
        <v>14</v>
      </c>
    </row>
    <row r="357" spans="1:10" x14ac:dyDescent="0.25">
      <c r="A357">
        <v>356</v>
      </c>
      <c r="B357" t="s">
        <v>19</v>
      </c>
      <c r="C357" t="s">
        <v>20</v>
      </c>
      <c r="D357" t="s">
        <v>30</v>
      </c>
      <c r="E357" t="s">
        <v>18</v>
      </c>
      <c r="F357">
        <v>398</v>
      </c>
      <c r="G357">
        <v>46.79</v>
      </c>
      <c r="H357">
        <v>78</v>
      </c>
      <c r="I357" s="1">
        <v>45896</v>
      </c>
      <c r="J357" t="s">
        <v>14</v>
      </c>
    </row>
    <row r="358" spans="1:10" x14ac:dyDescent="0.25">
      <c r="A358">
        <v>357</v>
      </c>
      <c r="B358" t="s">
        <v>49</v>
      </c>
      <c r="C358" t="s">
        <v>16</v>
      </c>
      <c r="D358" t="s">
        <v>12</v>
      </c>
      <c r="E358" t="s">
        <v>32</v>
      </c>
      <c r="F358">
        <v>454</v>
      </c>
      <c r="G358">
        <v>500.87</v>
      </c>
      <c r="H358">
        <v>73</v>
      </c>
      <c r="I358" s="1">
        <v>45160</v>
      </c>
      <c r="J358" t="s">
        <v>14</v>
      </c>
    </row>
    <row r="359" spans="1:10" x14ac:dyDescent="0.25">
      <c r="A359">
        <v>358</v>
      </c>
      <c r="B359" t="s">
        <v>41</v>
      </c>
      <c r="C359" t="s">
        <v>16</v>
      </c>
      <c r="D359" t="s">
        <v>21</v>
      </c>
      <c r="E359" t="s">
        <v>39</v>
      </c>
      <c r="F359">
        <v>375</v>
      </c>
      <c r="G359">
        <v>561.30999999999995</v>
      </c>
      <c r="H359">
        <v>147</v>
      </c>
      <c r="I359" s="1">
        <v>45050</v>
      </c>
      <c r="J359" t="s">
        <v>14</v>
      </c>
    </row>
    <row r="360" spans="1:10" x14ac:dyDescent="0.25">
      <c r="A360">
        <v>359</v>
      </c>
      <c r="B360" t="s">
        <v>29</v>
      </c>
      <c r="C360" t="s">
        <v>16</v>
      </c>
      <c r="D360" t="s">
        <v>17</v>
      </c>
      <c r="E360" t="s">
        <v>13</v>
      </c>
      <c r="F360">
        <v>107</v>
      </c>
      <c r="G360">
        <v>81.58</v>
      </c>
      <c r="H360">
        <v>126</v>
      </c>
      <c r="I360" s="1">
        <v>45817</v>
      </c>
      <c r="J360" t="s">
        <v>28</v>
      </c>
    </row>
    <row r="361" spans="1:10" x14ac:dyDescent="0.25">
      <c r="A361">
        <v>360</v>
      </c>
      <c r="B361" t="s">
        <v>43</v>
      </c>
      <c r="C361" t="s">
        <v>26</v>
      </c>
      <c r="D361" t="s">
        <v>12</v>
      </c>
      <c r="E361" t="s">
        <v>18</v>
      </c>
      <c r="F361">
        <v>49</v>
      </c>
      <c r="G361">
        <v>9.7799999999999994</v>
      </c>
      <c r="H361">
        <v>69</v>
      </c>
      <c r="I361" s="1">
        <v>45958</v>
      </c>
      <c r="J361" t="s">
        <v>28</v>
      </c>
    </row>
    <row r="362" spans="1:10" x14ac:dyDescent="0.25">
      <c r="A362">
        <v>361</v>
      </c>
      <c r="B362" t="s">
        <v>15</v>
      </c>
      <c r="C362" t="s">
        <v>16</v>
      </c>
      <c r="D362" t="s">
        <v>12</v>
      </c>
      <c r="E362" t="s">
        <v>27</v>
      </c>
      <c r="F362">
        <v>464</v>
      </c>
      <c r="G362">
        <v>547.92999999999995</v>
      </c>
      <c r="H362">
        <v>129</v>
      </c>
      <c r="I362" s="1">
        <v>45129</v>
      </c>
      <c r="J362" t="s">
        <v>14</v>
      </c>
    </row>
    <row r="363" spans="1:10" x14ac:dyDescent="0.25">
      <c r="A363">
        <v>362</v>
      </c>
      <c r="B363" t="s">
        <v>10</v>
      </c>
      <c r="C363" t="s">
        <v>11</v>
      </c>
      <c r="D363" t="s">
        <v>21</v>
      </c>
      <c r="E363" t="s">
        <v>27</v>
      </c>
      <c r="F363">
        <v>400</v>
      </c>
      <c r="G363">
        <v>136.85</v>
      </c>
      <c r="H363">
        <v>131</v>
      </c>
      <c r="I363" s="1">
        <v>45165</v>
      </c>
      <c r="J363" t="s">
        <v>14</v>
      </c>
    </row>
    <row r="364" spans="1:10" x14ac:dyDescent="0.25">
      <c r="A364">
        <v>363</v>
      </c>
      <c r="B364" t="s">
        <v>35</v>
      </c>
      <c r="C364" t="s">
        <v>11</v>
      </c>
      <c r="D364" t="s">
        <v>12</v>
      </c>
      <c r="E364" t="s">
        <v>32</v>
      </c>
      <c r="F364">
        <v>389</v>
      </c>
      <c r="G364">
        <v>215.23</v>
      </c>
      <c r="H364">
        <v>115</v>
      </c>
      <c r="I364" s="1">
        <v>45199</v>
      </c>
      <c r="J364" t="s">
        <v>14</v>
      </c>
    </row>
    <row r="365" spans="1:10" x14ac:dyDescent="0.25">
      <c r="A365">
        <v>364</v>
      </c>
      <c r="B365" t="s">
        <v>10</v>
      </c>
      <c r="C365" t="s">
        <v>11</v>
      </c>
      <c r="D365" t="s">
        <v>17</v>
      </c>
      <c r="E365" t="s">
        <v>18</v>
      </c>
      <c r="F365">
        <v>219</v>
      </c>
      <c r="G365">
        <v>516.25</v>
      </c>
      <c r="H365">
        <v>78</v>
      </c>
      <c r="I365" s="1">
        <v>45775</v>
      </c>
      <c r="J365" t="s">
        <v>14</v>
      </c>
    </row>
    <row r="366" spans="1:10" x14ac:dyDescent="0.25">
      <c r="A366">
        <v>365</v>
      </c>
      <c r="B366" t="s">
        <v>25</v>
      </c>
      <c r="C366" t="s">
        <v>26</v>
      </c>
      <c r="D366" t="s">
        <v>24</v>
      </c>
      <c r="E366" t="s">
        <v>27</v>
      </c>
      <c r="F366">
        <v>105</v>
      </c>
      <c r="G366">
        <v>789.92</v>
      </c>
      <c r="H366">
        <v>74</v>
      </c>
      <c r="I366" s="1">
        <v>45254</v>
      </c>
      <c r="J366" t="s">
        <v>14</v>
      </c>
    </row>
    <row r="367" spans="1:10" x14ac:dyDescent="0.25">
      <c r="A367">
        <v>366</v>
      </c>
      <c r="B367" t="s">
        <v>36</v>
      </c>
      <c r="C367" t="s">
        <v>11</v>
      </c>
      <c r="D367" t="s">
        <v>24</v>
      </c>
      <c r="E367" t="s">
        <v>32</v>
      </c>
      <c r="F367">
        <v>315</v>
      </c>
      <c r="G367">
        <v>266.39999999999998</v>
      </c>
      <c r="H367">
        <v>96</v>
      </c>
      <c r="I367" s="1">
        <v>45474</v>
      </c>
      <c r="J367" t="s">
        <v>14</v>
      </c>
    </row>
    <row r="368" spans="1:10" x14ac:dyDescent="0.25">
      <c r="A368">
        <v>367</v>
      </c>
      <c r="B368" t="s">
        <v>44</v>
      </c>
      <c r="C368" t="s">
        <v>34</v>
      </c>
      <c r="D368" t="s">
        <v>21</v>
      </c>
      <c r="E368" t="s">
        <v>13</v>
      </c>
      <c r="F368">
        <v>119</v>
      </c>
      <c r="G368">
        <v>610.12</v>
      </c>
      <c r="H368">
        <v>72</v>
      </c>
      <c r="I368" s="1">
        <v>44987</v>
      </c>
      <c r="J368" t="s">
        <v>14</v>
      </c>
    </row>
    <row r="369" spans="1:10" x14ac:dyDescent="0.25">
      <c r="A369">
        <v>368</v>
      </c>
      <c r="B369" t="s">
        <v>19</v>
      </c>
      <c r="C369" t="s">
        <v>20</v>
      </c>
      <c r="D369" t="s">
        <v>12</v>
      </c>
      <c r="E369" t="s">
        <v>13</v>
      </c>
      <c r="F369">
        <v>3</v>
      </c>
      <c r="G369">
        <v>480.17</v>
      </c>
      <c r="H369">
        <v>50</v>
      </c>
      <c r="I369" s="1">
        <v>45962</v>
      </c>
      <c r="J369" t="s">
        <v>28</v>
      </c>
    </row>
    <row r="370" spans="1:10" x14ac:dyDescent="0.25">
      <c r="A370">
        <v>369</v>
      </c>
      <c r="B370" t="s">
        <v>25</v>
      </c>
      <c r="C370" t="s">
        <v>26</v>
      </c>
      <c r="D370" t="s">
        <v>21</v>
      </c>
      <c r="E370" t="s">
        <v>27</v>
      </c>
      <c r="F370">
        <v>72</v>
      </c>
      <c r="G370">
        <v>618.5</v>
      </c>
      <c r="H370">
        <v>141</v>
      </c>
      <c r="I370" s="1">
        <v>45273</v>
      </c>
      <c r="J370" t="s">
        <v>28</v>
      </c>
    </row>
    <row r="371" spans="1:10" x14ac:dyDescent="0.25">
      <c r="A371">
        <v>370</v>
      </c>
      <c r="B371" t="s">
        <v>23</v>
      </c>
      <c r="C371" t="s">
        <v>20</v>
      </c>
      <c r="D371" t="s">
        <v>12</v>
      </c>
      <c r="E371" t="s">
        <v>13</v>
      </c>
      <c r="F371">
        <v>341</v>
      </c>
      <c r="G371">
        <v>740.26</v>
      </c>
      <c r="H371">
        <v>69</v>
      </c>
      <c r="I371" s="1">
        <v>45993</v>
      </c>
      <c r="J371" t="s">
        <v>14</v>
      </c>
    </row>
    <row r="372" spans="1:10" x14ac:dyDescent="0.25">
      <c r="A372">
        <v>371</v>
      </c>
      <c r="B372" t="s">
        <v>47</v>
      </c>
      <c r="C372" t="s">
        <v>20</v>
      </c>
      <c r="D372" t="s">
        <v>30</v>
      </c>
      <c r="E372" t="s">
        <v>32</v>
      </c>
      <c r="F372">
        <v>475</v>
      </c>
      <c r="G372">
        <v>218.16</v>
      </c>
      <c r="H372">
        <v>58</v>
      </c>
      <c r="I372" s="1">
        <v>44977</v>
      </c>
      <c r="J372" t="s">
        <v>14</v>
      </c>
    </row>
    <row r="373" spans="1:10" x14ac:dyDescent="0.25">
      <c r="A373">
        <v>372</v>
      </c>
      <c r="B373" t="s">
        <v>53</v>
      </c>
      <c r="C373" t="s">
        <v>26</v>
      </c>
      <c r="D373" t="s">
        <v>21</v>
      </c>
      <c r="E373" t="s">
        <v>39</v>
      </c>
      <c r="F373">
        <v>42</v>
      </c>
      <c r="G373">
        <v>327.66000000000003</v>
      </c>
      <c r="H373">
        <v>89</v>
      </c>
      <c r="I373" s="1">
        <v>45438</v>
      </c>
      <c r="J373" t="s">
        <v>28</v>
      </c>
    </row>
    <row r="374" spans="1:10" x14ac:dyDescent="0.25">
      <c r="A374">
        <v>373</v>
      </c>
      <c r="B374" t="s">
        <v>15</v>
      </c>
      <c r="C374" t="s">
        <v>16</v>
      </c>
      <c r="D374" t="s">
        <v>12</v>
      </c>
      <c r="E374" t="s">
        <v>18</v>
      </c>
      <c r="F374">
        <v>131</v>
      </c>
      <c r="G374">
        <v>61.27</v>
      </c>
      <c r="H374">
        <v>102</v>
      </c>
      <c r="I374" s="1">
        <v>45367</v>
      </c>
      <c r="J374" t="s">
        <v>14</v>
      </c>
    </row>
    <row r="375" spans="1:10" x14ac:dyDescent="0.25">
      <c r="A375">
        <v>374</v>
      </c>
      <c r="B375" t="s">
        <v>54</v>
      </c>
      <c r="C375" t="s">
        <v>20</v>
      </c>
      <c r="D375" t="s">
        <v>24</v>
      </c>
      <c r="E375" t="s">
        <v>27</v>
      </c>
      <c r="F375">
        <v>246</v>
      </c>
      <c r="G375">
        <v>430.57</v>
      </c>
      <c r="H375">
        <v>119</v>
      </c>
      <c r="I375" s="1">
        <v>45053</v>
      </c>
      <c r="J375" t="s">
        <v>14</v>
      </c>
    </row>
    <row r="376" spans="1:10" x14ac:dyDescent="0.25">
      <c r="A376">
        <v>375</v>
      </c>
      <c r="B376" t="s">
        <v>29</v>
      </c>
      <c r="C376" t="s">
        <v>16</v>
      </c>
      <c r="D376" t="s">
        <v>21</v>
      </c>
      <c r="E376" t="s">
        <v>27</v>
      </c>
      <c r="F376">
        <v>86</v>
      </c>
      <c r="G376">
        <v>422.14</v>
      </c>
      <c r="H376">
        <v>96</v>
      </c>
      <c r="I376" s="1">
        <v>45577</v>
      </c>
      <c r="J376" t="s">
        <v>28</v>
      </c>
    </row>
    <row r="377" spans="1:10" x14ac:dyDescent="0.25">
      <c r="A377">
        <v>376</v>
      </c>
      <c r="B377" t="s">
        <v>53</v>
      </c>
      <c r="C377" t="s">
        <v>26</v>
      </c>
      <c r="D377" t="s">
        <v>12</v>
      </c>
      <c r="E377" t="s">
        <v>37</v>
      </c>
      <c r="F377">
        <v>309</v>
      </c>
      <c r="G377">
        <v>779.37</v>
      </c>
      <c r="H377">
        <v>57</v>
      </c>
      <c r="I377" s="1">
        <v>45412</v>
      </c>
      <c r="J377" t="s">
        <v>14</v>
      </c>
    </row>
    <row r="378" spans="1:10" x14ac:dyDescent="0.25">
      <c r="A378">
        <v>377</v>
      </c>
      <c r="B378" t="s">
        <v>42</v>
      </c>
      <c r="C378" t="s">
        <v>16</v>
      </c>
      <c r="D378" t="s">
        <v>17</v>
      </c>
      <c r="E378" t="s">
        <v>18</v>
      </c>
      <c r="F378">
        <v>373</v>
      </c>
      <c r="G378">
        <v>675.25</v>
      </c>
      <c r="H378">
        <v>138</v>
      </c>
      <c r="I378" s="1">
        <v>45757</v>
      </c>
      <c r="J378" t="s">
        <v>14</v>
      </c>
    </row>
    <row r="379" spans="1:10" x14ac:dyDescent="0.25">
      <c r="A379">
        <v>378</v>
      </c>
      <c r="B379" t="s">
        <v>50</v>
      </c>
      <c r="C379" t="s">
        <v>34</v>
      </c>
      <c r="D379" t="s">
        <v>17</v>
      </c>
      <c r="E379" t="s">
        <v>27</v>
      </c>
      <c r="F379">
        <v>84</v>
      </c>
      <c r="G379">
        <v>685.01</v>
      </c>
      <c r="H379">
        <v>113</v>
      </c>
      <c r="I379" s="1">
        <v>45703</v>
      </c>
      <c r="J379" t="s">
        <v>28</v>
      </c>
    </row>
    <row r="380" spans="1:10" x14ac:dyDescent="0.25">
      <c r="A380">
        <v>379</v>
      </c>
      <c r="B380" t="s">
        <v>29</v>
      </c>
      <c r="C380" t="s">
        <v>16</v>
      </c>
      <c r="D380" t="s">
        <v>12</v>
      </c>
      <c r="E380" t="s">
        <v>13</v>
      </c>
      <c r="F380">
        <v>349</v>
      </c>
      <c r="G380">
        <v>311.99</v>
      </c>
      <c r="H380">
        <v>144</v>
      </c>
      <c r="I380" s="1">
        <v>45644</v>
      </c>
      <c r="J380" t="s">
        <v>14</v>
      </c>
    </row>
    <row r="381" spans="1:10" x14ac:dyDescent="0.25">
      <c r="A381">
        <v>380</v>
      </c>
      <c r="B381" t="s">
        <v>15</v>
      </c>
      <c r="C381" t="s">
        <v>16</v>
      </c>
      <c r="D381" t="s">
        <v>12</v>
      </c>
      <c r="E381" t="s">
        <v>32</v>
      </c>
      <c r="F381">
        <v>481</v>
      </c>
      <c r="G381">
        <v>481.4</v>
      </c>
      <c r="H381">
        <v>132</v>
      </c>
      <c r="I381" s="1">
        <v>45423</v>
      </c>
      <c r="J381" t="s">
        <v>14</v>
      </c>
    </row>
    <row r="382" spans="1:10" x14ac:dyDescent="0.25">
      <c r="A382">
        <v>381</v>
      </c>
      <c r="B382" t="s">
        <v>51</v>
      </c>
      <c r="C382" t="s">
        <v>11</v>
      </c>
      <c r="D382" t="s">
        <v>12</v>
      </c>
      <c r="E382" t="s">
        <v>39</v>
      </c>
      <c r="F382">
        <v>158</v>
      </c>
      <c r="G382">
        <v>590.64</v>
      </c>
      <c r="H382">
        <v>96</v>
      </c>
      <c r="I382" s="1">
        <v>45848</v>
      </c>
      <c r="J382" t="s">
        <v>14</v>
      </c>
    </row>
    <row r="383" spans="1:10" x14ac:dyDescent="0.25">
      <c r="A383">
        <v>382</v>
      </c>
      <c r="B383" t="s">
        <v>33</v>
      </c>
      <c r="C383" t="s">
        <v>34</v>
      </c>
      <c r="D383" t="s">
        <v>17</v>
      </c>
      <c r="E383" t="s">
        <v>18</v>
      </c>
      <c r="F383">
        <v>432</v>
      </c>
      <c r="G383">
        <v>130.29</v>
      </c>
      <c r="H383">
        <v>65</v>
      </c>
      <c r="I383" s="1">
        <v>45816</v>
      </c>
      <c r="J383" t="s">
        <v>14</v>
      </c>
    </row>
    <row r="384" spans="1:10" x14ac:dyDescent="0.25">
      <c r="A384">
        <v>383</v>
      </c>
      <c r="B384" t="s">
        <v>41</v>
      </c>
      <c r="C384" t="s">
        <v>16</v>
      </c>
      <c r="D384" t="s">
        <v>30</v>
      </c>
      <c r="E384" t="s">
        <v>27</v>
      </c>
      <c r="F384">
        <v>95</v>
      </c>
      <c r="G384">
        <v>341.91</v>
      </c>
      <c r="H384">
        <v>122</v>
      </c>
      <c r="I384" s="1">
        <v>45145</v>
      </c>
      <c r="J384" t="s">
        <v>28</v>
      </c>
    </row>
    <row r="385" spans="1:10" x14ac:dyDescent="0.25">
      <c r="A385">
        <v>384</v>
      </c>
      <c r="B385" t="s">
        <v>43</v>
      </c>
      <c r="C385" t="s">
        <v>26</v>
      </c>
      <c r="D385" t="s">
        <v>12</v>
      </c>
      <c r="E385" t="s">
        <v>37</v>
      </c>
      <c r="F385">
        <v>230</v>
      </c>
      <c r="G385">
        <v>261.61</v>
      </c>
      <c r="H385">
        <v>106</v>
      </c>
      <c r="I385" s="1">
        <v>45222</v>
      </c>
      <c r="J385" t="s">
        <v>14</v>
      </c>
    </row>
    <row r="386" spans="1:10" x14ac:dyDescent="0.25">
      <c r="A386">
        <v>385</v>
      </c>
      <c r="B386" t="s">
        <v>48</v>
      </c>
      <c r="C386" t="s">
        <v>20</v>
      </c>
      <c r="D386" t="s">
        <v>21</v>
      </c>
      <c r="E386" t="s">
        <v>18</v>
      </c>
      <c r="F386">
        <v>488</v>
      </c>
      <c r="G386">
        <v>371.94</v>
      </c>
      <c r="H386">
        <v>127</v>
      </c>
      <c r="I386" s="1">
        <v>45387</v>
      </c>
      <c r="J386" t="s">
        <v>14</v>
      </c>
    </row>
    <row r="387" spans="1:10" x14ac:dyDescent="0.25">
      <c r="A387">
        <v>386</v>
      </c>
      <c r="B387" t="s">
        <v>38</v>
      </c>
      <c r="C387" t="s">
        <v>26</v>
      </c>
      <c r="D387" t="s">
        <v>24</v>
      </c>
      <c r="E387" t="s">
        <v>39</v>
      </c>
      <c r="F387">
        <v>481</v>
      </c>
      <c r="G387">
        <v>125.04</v>
      </c>
      <c r="H387">
        <v>87</v>
      </c>
      <c r="I387" s="1">
        <v>45413</v>
      </c>
      <c r="J387" t="s">
        <v>14</v>
      </c>
    </row>
    <row r="388" spans="1:10" x14ac:dyDescent="0.25">
      <c r="A388">
        <v>387</v>
      </c>
      <c r="B388" t="s">
        <v>53</v>
      </c>
      <c r="C388" t="s">
        <v>26</v>
      </c>
      <c r="D388" t="s">
        <v>30</v>
      </c>
      <c r="E388" t="s">
        <v>18</v>
      </c>
      <c r="F388">
        <v>427</v>
      </c>
      <c r="G388">
        <v>575.78</v>
      </c>
      <c r="H388">
        <v>50</v>
      </c>
      <c r="I388" s="1">
        <v>45677</v>
      </c>
      <c r="J388" t="s">
        <v>14</v>
      </c>
    </row>
    <row r="389" spans="1:10" x14ac:dyDescent="0.25">
      <c r="A389">
        <v>388</v>
      </c>
      <c r="B389" t="s">
        <v>52</v>
      </c>
      <c r="C389" t="s">
        <v>16</v>
      </c>
      <c r="D389" t="s">
        <v>12</v>
      </c>
      <c r="E389" t="s">
        <v>32</v>
      </c>
      <c r="F389">
        <v>127</v>
      </c>
      <c r="G389">
        <v>584.83000000000004</v>
      </c>
      <c r="H389">
        <v>96</v>
      </c>
      <c r="I389" s="1">
        <v>45436</v>
      </c>
      <c r="J389" t="s">
        <v>14</v>
      </c>
    </row>
    <row r="390" spans="1:10" x14ac:dyDescent="0.25">
      <c r="A390">
        <v>389</v>
      </c>
      <c r="B390" t="s">
        <v>47</v>
      </c>
      <c r="C390" t="s">
        <v>20</v>
      </c>
      <c r="D390" t="s">
        <v>12</v>
      </c>
      <c r="E390" t="s">
        <v>32</v>
      </c>
      <c r="F390">
        <v>460</v>
      </c>
      <c r="G390">
        <v>670.16</v>
      </c>
      <c r="H390">
        <v>119</v>
      </c>
      <c r="I390" s="1">
        <v>45575</v>
      </c>
      <c r="J390" t="s">
        <v>14</v>
      </c>
    </row>
    <row r="391" spans="1:10" x14ac:dyDescent="0.25">
      <c r="A391">
        <v>390</v>
      </c>
      <c r="B391" t="s">
        <v>51</v>
      </c>
      <c r="C391" t="s">
        <v>11</v>
      </c>
      <c r="D391" t="s">
        <v>24</v>
      </c>
      <c r="E391" t="s">
        <v>37</v>
      </c>
      <c r="F391">
        <v>436</v>
      </c>
      <c r="G391">
        <v>774.74</v>
      </c>
      <c r="H391">
        <v>78</v>
      </c>
      <c r="I391" s="1">
        <v>45569</v>
      </c>
      <c r="J391" t="s">
        <v>14</v>
      </c>
    </row>
    <row r="392" spans="1:10" x14ac:dyDescent="0.25">
      <c r="A392">
        <v>391</v>
      </c>
      <c r="B392" t="s">
        <v>51</v>
      </c>
      <c r="C392" t="s">
        <v>11</v>
      </c>
      <c r="D392" t="s">
        <v>12</v>
      </c>
      <c r="E392" t="s">
        <v>13</v>
      </c>
      <c r="F392">
        <v>64</v>
      </c>
      <c r="G392">
        <v>687.38</v>
      </c>
      <c r="H392">
        <v>56</v>
      </c>
      <c r="I392" s="1">
        <v>45041</v>
      </c>
      <c r="J392" t="s">
        <v>14</v>
      </c>
    </row>
    <row r="393" spans="1:10" x14ac:dyDescent="0.25">
      <c r="A393">
        <v>392</v>
      </c>
      <c r="B393" t="s">
        <v>52</v>
      </c>
      <c r="C393" t="s">
        <v>16</v>
      </c>
      <c r="D393" t="s">
        <v>24</v>
      </c>
      <c r="E393" t="s">
        <v>39</v>
      </c>
      <c r="F393">
        <v>258</v>
      </c>
      <c r="G393">
        <v>720.91</v>
      </c>
      <c r="H393">
        <v>133</v>
      </c>
      <c r="I393" s="1">
        <v>45954</v>
      </c>
      <c r="J393" t="s">
        <v>14</v>
      </c>
    </row>
    <row r="394" spans="1:10" x14ac:dyDescent="0.25">
      <c r="A394">
        <v>393</v>
      </c>
      <c r="B394" t="s">
        <v>35</v>
      </c>
      <c r="C394" t="s">
        <v>11</v>
      </c>
      <c r="D394" t="s">
        <v>17</v>
      </c>
      <c r="E394" t="s">
        <v>27</v>
      </c>
      <c r="F394">
        <v>7</v>
      </c>
      <c r="G394">
        <v>239.46</v>
      </c>
      <c r="H394">
        <v>93</v>
      </c>
      <c r="I394" s="1">
        <v>45016</v>
      </c>
      <c r="J394" t="s">
        <v>28</v>
      </c>
    </row>
    <row r="395" spans="1:10" x14ac:dyDescent="0.25">
      <c r="A395">
        <v>394</v>
      </c>
      <c r="B395" t="s">
        <v>35</v>
      </c>
      <c r="C395" t="s">
        <v>11</v>
      </c>
      <c r="D395" t="s">
        <v>24</v>
      </c>
      <c r="E395" t="s">
        <v>13</v>
      </c>
      <c r="F395">
        <v>119</v>
      </c>
      <c r="G395">
        <v>214.99</v>
      </c>
      <c r="H395">
        <v>94</v>
      </c>
      <c r="I395" s="1">
        <v>45917</v>
      </c>
      <c r="J395" t="s">
        <v>14</v>
      </c>
    </row>
    <row r="396" spans="1:10" x14ac:dyDescent="0.25">
      <c r="A396">
        <v>395</v>
      </c>
      <c r="B396" t="s">
        <v>43</v>
      </c>
      <c r="C396" t="s">
        <v>26</v>
      </c>
      <c r="D396" t="s">
        <v>30</v>
      </c>
      <c r="E396" t="s">
        <v>18</v>
      </c>
      <c r="F396">
        <v>86</v>
      </c>
      <c r="G396">
        <v>145.19</v>
      </c>
      <c r="H396">
        <v>140</v>
      </c>
      <c r="I396" s="1">
        <v>45082</v>
      </c>
      <c r="J396" t="s">
        <v>28</v>
      </c>
    </row>
    <row r="397" spans="1:10" x14ac:dyDescent="0.25">
      <c r="A397">
        <v>396</v>
      </c>
      <c r="B397" t="s">
        <v>15</v>
      </c>
      <c r="C397" t="s">
        <v>16</v>
      </c>
      <c r="D397" t="s">
        <v>17</v>
      </c>
      <c r="E397" t="s">
        <v>27</v>
      </c>
      <c r="F397">
        <v>43</v>
      </c>
      <c r="G397">
        <v>732.7</v>
      </c>
      <c r="H397">
        <v>59</v>
      </c>
      <c r="I397" s="1">
        <v>45110</v>
      </c>
      <c r="J397" t="s">
        <v>28</v>
      </c>
    </row>
    <row r="398" spans="1:10" x14ac:dyDescent="0.25">
      <c r="A398">
        <v>397</v>
      </c>
      <c r="B398" t="s">
        <v>53</v>
      </c>
      <c r="C398" t="s">
        <v>26</v>
      </c>
      <c r="D398" t="s">
        <v>12</v>
      </c>
      <c r="E398" t="s">
        <v>39</v>
      </c>
      <c r="F398">
        <v>478</v>
      </c>
      <c r="G398">
        <v>371.45</v>
      </c>
      <c r="H398">
        <v>75</v>
      </c>
      <c r="I398" s="1">
        <v>45181</v>
      </c>
      <c r="J398" t="s">
        <v>14</v>
      </c>
    </row>
    <row r="399" spans="1:10" x14ac:dyDescent="0.25">
      <c r="A399">
        <v>398</v>
      </c>
      <c r="B399" t="s">
        <v>44</v>
      </c>
      <c r="C399" t="s">
        <v>34</v>
      </c>
      <c r="D399" t="s">
        <v>24</v>
      </c>
      <c r="E399" t="s">
        <v>39</v>
      </c>
      <c r="F399">
        <v>83</v>
      </c>
      <c r="G399">
        <v>442.97</v>
      </c>
      <c r="H399">
        <v>131</v>
      </c>
      <c r="I399" s="1">
        <v>45666</v>
      </c>
      <c r="J399" t="s">
        <v>28</v>
      </c>
    </row>
    <row r="400" spans="1:10" x14ac:dyDescent="0.25">
      <c r="A400">
        <v>399</v>
      </c>
      <c r="B400" t="s">
        <v>33</v>
      </c>
      <c r="C400" t="s">
        <v>34</v>
      </c>
      <c r="D400" t="s">
        <v>17</v>
      </c>
      <c r="E400" t="s">
        <v>18</v>
      </c>
      <c r="F400">
        <v>448</v>
      </c>
      <c r="G400">
        <v>192.96</v>
      </c>
      <c r="H400">
        <v>143</v>
      </c>
      <c r="I400" s="1">
        <v>45895</v>
      </c>
      <c r="J400" t="s">
        <v>14</v>
      </c>
    </row>
    <row r="401" spans="1:10" x14ac:dyDescent="0.25">
      <c r="A401">
        <v>400</v>
      </c>
      <c r="B401" t="s">
        <v>53</v>
      </c>
      <c r="C401" t="s">
        <v>26</v>
      </c>
      <c r="D401" t="s">
        <v>12</v>
      </c>
      <c r="E401" t="s">
        <v>18</v>
      </c>
      <c r="F401">
        <v>193</v>
      </c>
      <c r="G401">
        <v>661.81</v>
      </c>
      <c r="H401">
        <v>116</v>
      </c>
      <c r="I401" s="1">
        <v>45812</v>
      </c>
      <c r="J401" t="s">
        <v>14</v>
      </c>
    </row>
    <row r="402" spans="1:10" x14ac:dyDescent="0.25">
      <c r="A402">
        <v>401</v>
      </c>
      <c r="B402" t="s">
        <v>15</v>
      </c>
      <c r="C402" t="s">
        <v>16</v>
      </c>
      <c r="D402" t="s">
        <v>21</v>
      </c>
      <c r="E402" t="s">
        <v>18</v>
      </c>
      <c r="F402">
        <v>40</v>
      </c>
      <c r="G402">
        <v>199.93</v>
      </c>
      <c r="H402">
        <v>50</v>
      </c>
      <c r="I402" s="1">
        <v>45964</v>
      </c>
      <c r="J402" t="s">
        <v>28</v>
      </c>
    </row>
    <row r="403" spans="1:10" x14ac:dyDescent="0.25">
      <c r="A403">
        <v>402</v>
      </c>
      <c r="B403" t="s">
        <v>40</v>
      </c>
      <c r="C403" t="s">
        <v>34</v>
      </c>
      <c r="D403" t="s">
        <v>30</v>
      </c>
      <c r="E403" t="s">
        <v>27</v>
      </c>
      <c r="F403">
        <v>277</v>
      </c>
      <c r="G403">
        <v>583.47</v>
      </c>
      <c r="H403">
        <v>149</v>
      </c>
      <c r="I403" s="1">
        <v>45669</v>
      </c>
      <c r="J403" t="s">
        <v>14</v>
      </c>
    </row>
    <row r="404" spans="1:10" x14ac:dyDescent="0.25">
      <c r="A404">
        <v>403</v>
      </c>
      <c r="B404" t="s">
        <v>19</v>
      </c>
      <c r="C404" t="s">
        <v>20</v>
      </c>
      <c r="D404" t="s">
        <v>30</v>
      </c>
      <c r="E404" t="s">
        <v>32</v>
      </c>
      <c r="F404">
        <v>452</v>
      </c>
      <c r="G404">
        <v>364.93</v>
      </c>
      <c r="H404">
        <v>137</v>
      </c>
      <c r="I404" s="1">
        <v>45903</v>
      </c>
      <c r="J404" t="s">
        <v>14</v>
      </c>
    </row>
    <row r="405" spans="1:10" x14ac:dyDescent="0.25">
      <c r="A405">
        <v>404</v>
      </c>
      <c r="B405" t="s">
        <v>22</v>
      </c>
      <c r="C405" t="s">
        <v>11</v>
      </c>
      <c r="D405" t="s">
        <v>30</v>
      </c>
      <c r="E405" t="s">
        <v>39</v>
      </c>
      <c r="F405">
        <v>175</v>
      </c>
      <c r="G405">
        <v>465.04</v>
      </c>
      <c r="H405">
        <v>140</v>
      </c>
      <c r="I405" s="1">
        <v>45177</v>
      </c>
      <c r="J405" t="s">
        <v>14</v>
      </c>
    </row>
    <row r="406" spans="1:10" x14ac:dyDescent="0.25">
      <c r="A406">
        <v>405</v>
      </c>
      <c r="B406" t="s">
        <v>41</v>
      </c>
      <c r="C406" t="s">
        <v>16</v>
      </c>
      <c r="D406" t="s">
        <v>21</v>
      </c>
      <c r="E406" t="s">
        <v>18</v>
      </c>
      <c r="F406">
        <v>391</v>
      </c>
      <c r="G406">
        <v>234.33</v>
      </c>
      <c r="H406">
        <v>62</v>
      </c>
      <c r="I406" s="1">
        <v>45772</v>
      </c>
      <c r="J406" t="s">
        <v>14</v>
      </c>
    </row>
    <row r="407" spans="1:10" x14ac:dyDescent="0.25">
      <c r="A407">
        <v>406</v>
      </c>
      <c r="B407" t="s">
        <v>50</v>
      </c>
      <c r="C407" t="s">
        <v>34</v>
      </c>
      <c r="D407" t="s">
        <v>24</v>
      </c>
      <c r="E407" t="s">
        <v>18</v>
      </c>
      <c r="F407">
        <v>266</v>
      </c>
      <c r="G407">
        <v>466.14</v>
      </c>
      <c r="H407">
        <v>70</v>
      </c>
      <c r="I407" s="1">
        <v>44987</v>
      </c>
      <c r="J407" t="s">
        <v>14</v>
      </c>
    </row>
    <row r="408" spans="1:10" x14ac:dyDescent="0.25">
      <c r="A408">
        <v>407</v>
      </c>
      <c r="B408" t="s">
        <v>29</v>
      </c>
      <c r="C408" t="s">
        <v>16</v>
      </c>
      <c r="D408" t="s">
        <v>24</v>
      </c>
      <c r="E408" t="s">
        <v>39</v>
      </c>
      <c r="F408">
        <v>377</v>
      </c>
      <c r="G408">
        <v>483.62</v>
      </c>
      <c r="H408">
        <v>51</v>
      </c>
      <c r="I408" s="1">
        <v>45045</v>
      </c>
      <c r="J408" t="s">
        <v>14</v>
      </c>
    </row>
    <row r="409" spans="1:10" x14ac:dyDescent="0.25">
      <c r="A409">
        <v>408</v>
      </c>
      <c r="B409" t="s">
        <v>36</v>
      </c>
      <c r="C409" t="s">
        <v>11</v>
      </c>
      <c r="D409" t="s">
        <v>24</v>
      </c>
      <c r="E409" t="s">
        <v>18</v>
      </c>
      <c r="F409">
        <v>65</v>
      </c>
      <c r="G409">
        <v>224.12</v>
      </c>
      <c r="H409">
        <v>78</v>
      </c>
      <c r="I409" s="1">
        <v>45355</v>
      </c>
      <c r="J409" t="s">
        <v>28</v>
      </c>
    </row>
    <row r="410" spans="1:10" x14ac:dyDescent="0.25">
      <c r="A410">
        <v>409</v>
      </c>
      <c r="B410" t="s">
        <v>48</v>
      </c>
      <c r="C410" t="s">
        <v>20</v>
      </c>
      <c r="D410" t="s">
        <v>24</v>
      </c>
      <c r="E410" t="s">
        <v>37</v>
      </c>
      <c r="F410">
        <v>315</v>
      </c>
      <c r="G410">
        <v>635.78</v>
      </c>
      <c r="H410">
        <v>108</v>
      </c>
      <c r="I410" s="1">
        <v>45001</v>
      </c>
      <c r="J410" t="s">
        <v>14</v>
      </c>
    </row>
    <row r="411" spans="1:10" x14ac:dyDescent="0.25">
      <c r="A411">
        <v>410</v>
      </c>
      <c r="B411" t="s">
        <v>33</v>
      </c>
      <c r="C411" t="s">
        <v>34</v>
      </c>
      <c r="D411" t="s">
        <v>12</v>
      </c>
      <c r="E411" t="s">
        <v>37</v>
      </c>
      <c r="F411">
        <v>47</v>
      </c>
      <c r="G411">
        <v>376.87</v>
      </c>
      <c r="H411">
        <v>51</v>
      </c>
      <c r="I411" s="1">
        <v>45449</v>
      </c>
      <c r="J411" t="s">
        <v>28</v>
      </c>
    </row>
    <row r="412" spans="1:10" x14ac:dyDescent="0.25">
      <c r="A412">
        <v>411</v>
      </c>
      <c r="B412" t="s">
        <v>19</v>
      </c>
      <c r="C412" t="s">
        <v>20</v>
      </c>
      <c r="D412" t="s">
        <v>17</v>
      </c>
      <c r="E412" t="s">
        <v>27</v>
      </c>
      <c r="F412">
        <v>308</v>
      </c>
      <c r="G412">
        <v>410.12</v>
      </c>
      <c r="H412">
        <v>100</v>
      </c>
      <c r="I412" s="1">
        <v>45602</v>
      </c>
      <c r="J412" t="s">
        <v>14</v>
      </c>
    </row>
    <row r="413" spans="1:10" x14ac:dyDescent="0.25">
      <c r="A413">
        <v>412</v>
      </c>
      <c r="B413" t="s">
        <v>19</v>
      </c>
      <c r="C413" t="s">
        <v>20</v>
      </c>
      <c r="D413" t="s">
        <v>24</v>
      </c>
      <c r="E413" t="s">
        <v>39</v>
      </c>
      <c r="F413">
        <v>290</v>
      </c>
      <c r="G413">
        <v>621.79</v>
      </c>
      <c r="H413">
        <v>122</v>
      </c>
      <c r="I413" s="1">
        <v>45927</v>
      </c>
      <c r="J413" t="s">
        <v>14</v>
      </c>
    </row>
    <row r="414" spans="1:10" x14ac:dyDescent="0.25">
      <c r="A414">
        <v>413</v>
      </c>
      <c r="B414" t="s">
        <v>49</v>
      </c>
      <c r="C414" t="s">
        <v>16</v>
      </c>
      <c r="D414" t="s">
        <v>12</v>
      </c>
      <c r="E414" t="s">
        <v>13</v>
      </c>
      <c r="F414">
        <v>112</v>
      </c>
      <c r="G414">
        <v>435.01</v>
      </c>
      <c r="H414">
        <v>121</v>
      </c>
      <c r="I414" s="1">
        <v>45067</v>
      </c>
      <c r="J414" t="s">
        <v>28</v>
      </c>
    </row>
    <row r="415" spans="1:10" x14ac:dyDescent="0.25">
      <c r="A415">
        <v>414</v>
      </c>
      <c r="B415" t="s">
        <v>40</v>
      </c>
      <c r="C415" t="s">
        <v>34</v>
      </c>
      <c r="D415" t="s">
        <v>30</v>
      </c>
      <c r="E415" t="s">
        <v>39</v>
      </c>
      <c r="F415">
        <v>476</v>
      </c>
      <c r="G415">
        <v>787.06</v>
      </c>
      <c r="H415">
        <v>124</v>
      </c>
      <c r="I415" s="1">
        <v>45983</v>
      </c>
      <c r="J415" t="s">
        <v>14</v>
      </c>
    </row>
    <row r="416" spans="1:10" x14ac:dyDescent="0.25">
      <c r="A416">
        <v>415</v>
      </c>
      <c r="B416" t="s">
        <v>19</v>
      </c>
      <c r="C416" t="s">
        <v>20</v>
      </c>
      <c r="D416" t="s">
        <v>17</v>
      </c>
      <c r="E416" t="s">
        <v>37</v>
      </c>
      <c r="F416">
        <v>130</v>
      </c>
      <c r="G416">
        <v>616.71</v>
      </c>
      <c r="H416">
        <v>72</v>
      </c>
      <c r="I416" s="1">
        <v>45741</v>
      </c>
      <c r="J416" t="s">
        <v>14</v>
      </c>
    </row>
    <row r="417" spans="1:10" x14ac:dyDescent="0.25">
      <c r="A417">
        <v>416</v>
      </c>
      <c r="B417" t="s">
        <v>10</v>
      </c>
      <c r="C417" t="s">
        <v>11</v>
      </c>
      <c r="D417" t="s">
        <v>24</v>
      </c>
      <c r="E417" t="s">
        <v>18</v>
      </c>
      <c r="F417">
        <v>286</v>
      </c>
      <c r="G417">
        <v>651.33000000000004</v>
      </c>
      <c r="H417">
        <v>91</v>
      </c>
      <c r="I417" s="1">
        <v>45180</v>
      </c>
      <c r="J417" t="s">
        <v>14</v>
      </c>
    </row>
    <row r="418" spans="1:10" x14ac:dyDescent="0.25">
      <c r="A418">
        <v>417</v>
      </c>
      <c r="B418" t="s">
        <v>41</v>
      </c>
      <c r="C418" t="s">
        <v>16</v>
      </c>
      <c r="D418" t="s">
        <v>30</v>
      </c>
      <c r="E418" t="s">
        <v>32</v>
      </c>
      <c r="F418">
        <v>219</v>
      </c>
      <c r="G418">
        <v>125.71</v>
      </c>
      <c r="H418">
        <v>78</v>
      </c>
      <c r="I418" s="1">
        <v>45668</v>
      </c>
      <c r="J418" t="s">
        <v>14</v>
      </c>
    </row>
    <row r="419" spans="1:10" x14ac:dyDescent="0.25">
      <c r="A419">
        <v>418</v>
      </c>
      <c r="B419" t="s">
        <v>53</v>
      </c>
      <c r="C419" t="s">
        <v>26</v>
      </c>
      <c r="D419" t="s">
        <v>30</v>
      </c>
      <c r="E419" t="s">
        <v>13</v>
      </c>
      <c r="F419">
        <v>325</v>
      </c>
      <c r="G419">
        <v>742.93</v>
      </c>
      <c r="H419">
        <v>82</v>
      </c>
      <c r="I419" s="1">
        <v>45294</v>
      </c>
      <c r="J419" t="s">
        <v>14</v>
      </c>
    </row>
    <row r="420" spans="1:10" x14ac:dyDescent="0.25">
      <c r="A420">
        <v>419</v>
      </c>
      <c r="B420" t="s">
        <v>53</v>
      </c>
      <c r="C420" t="s">
        <v>26</v>
      </c>
      <c r="D420" t="s">
        <v>30</v>
      </c>
      <c r="E420" t="s">
        <v>39</v>
      </c>
      <c r="F420">
        <v>336</v>
      </c>
      <c r="G420">
        <v>530.46</v>
      </c>
      <c r="H420">
        <v>81</v>
      </c>
      <c r="I420" s="1">
        <v>45817</v>
      </c>
      <c r="J420" t="s">
        <v>14</v>
      </c>
    </row>
    <row r="421" spans="1:10" x14ac:dyDescent="0.25">
      <c r="A421">
        <v>420</v>
      </c>
      <c r="B421" t="s">
        <v>47</v>
      </c>
      <c r="C421" t="s">
        <v>20</v>
      </c>
      <c r="D421" t="s">
        <v>17</v>
      </c>
      <c r="E421" t="s">
        <v>32</v>
      </c>
      <c r="F421">
        <v>452</v>
      </c>
      <c r="G421">
        <v>51.62</v>
      </c>
      <c r="H421">
        <v>76</v>
      </c>
      <c r="I421" s="1">
        <v>45568</v>
      </c>
      <c r="J421" t="s">
        <v>14</v>
      </c>
    </row>
    <row r="422" spans="1:10" x14ac:dyDescent="0.25">
      <c r="A422">
        <v>421</v>
      </c>
      <c r="B422" t="s">
        <v>38</v>
      </c>
      <c r="C422" t="s">
        <v>26</v>
      </c>
      <c r="D422" t="s">
        <v>30</v>
      </c>
      <c r="E422" t="s">
        <v>37</v>
      </c>
      <c r="F422">
        <v>102</v>
      </c>
      <c r="G422">
        <v>245.61</v>
      </c>
      <c r="H422">
        <v>94</v>
      </c>
      <c r="I422" s="1">
        <v>45065</v>
      </c>
      <c r="J422" t="s">
        <v>14</v>
      </c>
    </row>
    <row r="423" spans="1:10" x14ac:dyDescent="0.25">
      <c r="A423">
        <v>422</v>
      </c>
      <c r="B423" t="s">
        <v>33</v>
      </c>
      <c r="C423" t="s">
        <v>34</v>
      </c>
      <c r="D423" t="s">
        <v>30</v>
      </c>
      <c r="E423" t="s">
        <v>37</v>
      </c>
      <c r="F423">
        <v>236</v>
      </c>
      <c r="G423">
        <v>725.86</v>
      </c>
      <c r="H423">
        <v>84</v>
      </c>
      <c r="I423" s="1">
        <v>45647</v>
      </c>
      <c r="J423" t="s">
        <v>14</v>
      </c>
    </row>
    <row r="424" spans="1:10" x14ac:dyDescent="0.25">
      <c r="A424">
        <v>423</v>
      </c>
      <c r="B424" t="s">
        <v>10</v>
      </c>
      <c r="C424" t="s">
        <v>11</v>
      </c>
      <c r="D424" t="s">
        <v>21</v>
      </c>
      <c r="E424" t="s">
        <v>39</v>
      </c>
      <c r="F424">
        <v>329</v>
      </c>
      <c r="G424">
        <v>628.29</v>
      </c>
      <c r="H424">
        <v>79</v>
      </c>
      <c r="I424" s="1">
        <v>45354</v>
      </c>
      <c r="J424" t="s">
        <v>14</v>
      </c>
    </row>
    <row r="425" spans="1:10" x14ac:dyDescent="0.25">
      <c r="A425">
        <v>424</v>
      </c>
      <c r="B425" t="s">
        <v>41</v>
      </c>
      <c r="C425" t="s">
        <v>16</v>
      </c>
      <c r="D425" t="s">
        <v>21</v>
      </c>
      <c r="E425" t="s">
        <v>37</v>
      </c>
      <c r="F425">
        <v>334</v>
      </c>
      <c r="G425">
        <v>88.84</v>
      </c>
      <c r="H425">
        <v>91</v>
      </c>
      <c r="I425" s="1">
        <v>45913</v>
      </c>
      <c r="J425" t="s">
        <v>14</v>
      </c>
    </row>
    <row r="426" spans="1:10" x14ac:dyDescent="0.25">
      <c r="A426">
        <v>425</v>
      </c>
      <c r="B426" t="s">
        <v>10</v>
      </c>
      <c r="C426" t="s">
        <v>11</v>
      </c>
      <c r="D426" t="s">
        <v>12</v>
      </c>
      <c r="E426" t="s">
        <v>39</v>
      </c>
      <c r="F426">
        <v>103</v>
      </c>
      <c r="G426">
        <v>193.53</v>
      </c>
      <c r="H426">
        <v>59</v>
      </c>
      <c r="I426" s="1">
        <v>45450</v>
      </c>
      <c r="J426" t="s">
        <v>14</v>
      </c>
    </row>
    <row r="427" spans="1:10" x14ac:dyDescent="0.25">
      <c r="A427">
        <v>426</v>
      </c>
      <c r="B427" t="s">
        <v>42</v>
      </c>
      <c r="C427" t="s">
        <v>16</v>
      </c>
      <c r="D427" t="s">
        <v>24</v>
      </c>
      <c r="E427" t="s">
        <v>13</v>
      </c>
      <c r="F427">
        <v>402</v>
      </c>
      <c r="G427">
        <v>47.42</v>
      </c>
      <c r="H427">
        <v>96</v>
      </c>
      <c r="I427" s="1">
        <v>45365</v>
      </c>
      <c r="J427" t="s">
        <v>14</v>
      </c>
    </row>
    <row r="428" spans="1:10" x14ac:dyDescent="0.25">
      <c r="A428">
        <v>427</v>
      </c>
      <c r="B428" t="s">
        <v>45</v>
      </c>
      <c r="C428" t="s">
        <v>26</v>
      </c>
      <c r="D428" t="s">
        <v>30</v>
      </c>
      <c r="E428" t="s">
        <v>18</v>
      </c>
      <c r="F428">
        <v>305</v>
      </c>
      <c r="G428">
        <v>60.26</v>
      </c>
      <c r="H428">
        <v>137</v>
      </c>
      <c r="I428" s="1">
        <v>45038</v>
      </c>
      <c r="J428" t="s">
        <v>14</v>
      </c>
    </row>
    <row r="429" spans="1:10" x14ac:dyDescent="0.25">
      <c r="A429">
        <v>428</v>
      </c>
      <c r="B429" t="s">
        <v>22</v>
      </c>
      <c r="C429" t="s">
        <v>11</v>
      </c>
      <c r="D429" t="s">
        <v>17</v>
      </c>
      <c r="E429" t="s">
        <v>37</v>
      </c>
      <c r="F429">
        <v>36</v>
      </c>
      <c r="G429">
        <v>394.68</v>
      </c>
      <c r="H429">
        <v>61</v>
      </c>
      <c r="I429" s="1">
        <v>45264</v>
      </c>
      <c r="J429" t="s">
        <v>28</v>
      </c>
    </row>
    <row r="430" spans="1:10" x14ac:dyDescent="0.25">
      <c r="A430">
        <v>429</v>
      </c>
      <c r="B430" t="s">
        <v>10</v>
      </c>
      <c r="C430" t="s">
        <v>11</v>
      </c>
      <c r="D430" t="s">
        <v>21</v>
      </c>
      <c r="E430" t="s">
        <v>39</v>
      </c>
      <c r="F430">
        <v>139</v>
      </c>
      <c r="G430">
        <v>707.99</v>
      </c>
      <c r="H430">
        <v>87</v>
      </c>
      <c r="I430" s="1">
        <v>45561</v>
      </c>
      <c r="J430" t="s">
        <v>14</v>
      </c>
    </row>
    <row r="431" spans="1:10" x14ac:dyDescent="0.25">
      <c r="A431">
        <v>430</v>
      </c>
      <c r="B431" t="s">
        <v>52</v>
      </c>
      <c r="C431" t="s">
        <v>16</v>
      </c>
      <c r="D431" t="s">
        <v>12</v>
      </c>
      <c r="E431" t="s">
        <v>18</v>
      </c>
      <c r="F431">
        <v>45</v>
      </c>
      <c r="G431">
        <v>411.36</v>
      </c>
      <c r="H431">
        <v>103</v>
      </c>
      <c r="I431" s="1">
        <v>45121</v>
      </c>
      <c r="J431" t="s">
        <v>28</v>
      </c>
    </row>
    <row r="432" spans="1:10" x14ac:dyDescent="0.25">
      <c r="A432">
        <v>431</v>
      </c>
      <c r="B432" t="s">
        <v>52</v>
      </c>
      <c r="C432" t="s">
        <v>16</v>
      </c>
      <c r="D432" t="s">
        <v>24</v>
      </c>
      <c r="E432" t="s">
        <v>37</v>
      </c>
      <c r="F432">
        <v>346</v>
      </c>
      <c r="G432">
        <v>63.24</v>
      </c>
      <c r="H432">
        <v>59</v>
      </c>
      <c r="I432" s="1">
        <v>45055</v>
      </c>
      <c r="J432" t="s">
        <v>14</v>
      </c>
    </row>
    <row r="433" spans="1:10" x14ac:dyDescent="0.25">
      <c r="A433">
        <v>432</v>
      </c>
      <c r="B433" t="s">
        <v>42</v>
      </c>
      <c r="C433" t="s">
        <v>16</v>
      </c>
      <c r="D433" t="s">
        <v>30</v>
      </c>
      <c r="E433" t="s">
        <v>32</v>
      </c>
      <c r="F433">
        <v>136</v>
      </c>
      <c r="G433">
        <v>495.3</v>
      </c>
      <c r="H433">
        <v>89</v>
      </c>
      <c r="I433" s="1">
        <v>45161</v>
      </c>
      <c r="J433" t="s">
        <v>14</v>
      </c>
    </row>
    <row r="434" spans="1:10" x14ac:dyDescent="0.25">
      <c r="A434">
        <v>433</v>
      </c>
      <c r="B434" t="s">
        <v>33</v>
      </c>
      <c r="C434" t="s">
        <v>34</v>
      </c>
      <c r="D434" t="s">
        <v>24</v>
      </c>
      <c r="E434" t="s">
        <v>13</v>
      </c>
      <c r="F434">
        <v>258</v>
      </c>
      <c r="G434">
        <v>532.03</v>
      </c>
      <c r="H434">
        <v>79</v>
      </c>
      <c r="I434" s="1">
        <v>45413</v>
      </c>
      <c r="J434" t="s">
        <v>14</v>
      </c>
    </row>
    <row r="435" spans="1:10" x14ac:dyDescent="0.25">
      <c r="A435">
        <v>434</v>
      </c>
      <c r="B435" t="s">
        <v>10</v>
      </c>
      <c r="C435" t="s">
        <v>11</v>
      </c>
      <c r="D435" t="s">
        <v>17</v>
      </c>
      <c r="E435" t="s">
        <v>32</v>
      </c>
      <c r="F435">
        <v>142</v>
      </c>
      <c r="G435">
        <v>570.20000000000005</v>
      </c>
      <c r="H435">
        <v>79</v>
      </c>
      <c r="I435" s="1">
        <v>45713</v>
      </c>
      <c r="J435" t="s">
        <v>14</v>
      </c>
    </row>
    <row r="436" spans="1:10" x14ac:dyDescent="0.25">
      <c r="A436">
        <v>435</v>
      </c>
      <c r="B436" t="s">
        <v>51</v>
      </c>
      <c r="C436" t="s">
        <v>11</v>
      </c>
      <c r="D436" t="s">
        <v>12</v>
      </c>
      <c r="E436" t="s">
        <v>18</v>
      </c>
      <c r="F436">
        <v>413</v>
      </c>
      <c r="G436">
        <v>228.39</v>
      </c>
      <c r="H436">
        <v>97</v>
      </c>
      <c r="I436" s="1">
        <v>45643</v>
      </c>
      <c r="J436" t="s">
        <v>14</v>
      </c>
    </row>
    <row r="437" spans="1:10" x14ac:dyDescent="0.25">
      <c r="A437">
        <v>436</v>
      </c>
      <c r="B437" t="s">
        <v>36</v>
      </c>
      <c r="C437" t="s">
        <v>11</v>
      </c>
      <c r="D437" t="s">
        <v>24</v>
      </c>
      <c r="E437" t="s">
        <v>27</v>
      </c>
      <c r="F437">
        <v>347</v>
      </c>
      <c r="G437">
        <v>117.04</v>
      </c>
      <c r="H437">
        <v>96</v>
      </c>
      <c r="I437" s="1">
        <v>45381</v>
      </c>
      <c r="J437" t="s">
        <v>14</v>
      </c>
    </row>
    <row r="438" spans="1:10" x14ac:dyDescent="0.25">
      <c r="A438">
        <v>437</v>
      </c>
      <c r="B438" t="s">
        <v>48</v>
      </c>
      <c r="C438" t="s">
        <v>20</v>
      </c>
      <c r="D438" t="s">
        <v>12</v>
      </c>
      <c r="E438" t="s">
        <v>37</v>
      </c>
      <c r="F438">
        <v>217</v>
      </c>
      <c r="G438">
        <v>779.73</v>
      </c>
      <c r="H438">
        <v>74</v>
      </c>
      <c r="I438" s="1">
        <v>45649</v>
      </c>
      <c r="J438" t="s">
        <v>14</v>
      </c>
    </row>
    <row r="439" spans="1:10" x14ac:dyDescent="0.25">
      <c r="A439">
        <v>438</v>
      </c>
      <c r="B439" t="s">
        <v>43</v>
      </c>
      <c r="C439" t="s">
        <v>26</v>
      </c>
      <c r="D439" t="s">
        <v>12</v>
      </c>
      <c r="E439" t="s">
        <v>18</v>
      </c>
      <c r="F439">
        <v>165</v>
      </c>
      <c r="G439">
        <v>468.12</v>
      </c>
      <c r="H439">
        <v>71</v>
      </c>
      <c r="I439" s="1">
        <v>45515</v>
      </c>
      <c r="J439" t="s">
        <v>14</v>
      </c>
    </row>
    <row r="440" spans="1:10" x14ac:dyDescent="0.25">
      <c r="A440">
        <v>439</v>
      </c>
      <c r="B440" t="s">
        <v>52</v>
      </c>
      <c r="C440" t="s">
        <v>16</v>
      </c>
      <c r="D440" t="s">
        <v>17</v>
      </c>
      <c r="E440" t="s">
        <v>37</v>
      </c>
      <c r="F440">
        <v>492</v>
      </c>
      <c r="G440">
        <v>648.86</v>
      </c>
      <c r="H440">
        <v>126</v>
      </c>
      <c r="I440" s="1">
        <v>45361</v>
      </c>
      <c r="J440" t="s">
        <v>14</v>
      </c>
    </row>
    <row r="441" spans="1:10" x14ac:dyDescent="0.25">
      <c r="A441">
        <v>440</v>
      </c>
      <c r="B441" t="s">
        <v>49</v>
      </c>
      <c r="C441" t="s">
        <v>16</v>
      </c>
      <c r="D441" t="s">
        <v>17</v>
      </c>
      <c r="E441" t="s">
        <v>39</v>
      </c>
      <c r="F441">
        <v>403</v>
      </c>
      <c r="G441">
        <v>321.60000000000002</v>
      </c>
      <c r="H441">
        <v>81</v>
      </c>
      <c r="I441" s="1">
        <v>45663</v>
      </c>
      <c r="J441" t="s">
        <v>14</v>
      </c>
    </row>
    <row r="442" spans="1:10" x14ac:dyDescent="0.25">
      <c r="A442">
        <v>441</v>
      </c>
      <c r="B442" t="s">
        <v>23</v>
      </c>
      <c r="C442" t="s">
        <v>20</v>
      </c>
      <c r="D442" t="s">
        <v>24</v>
      </c>
      <c r="E442" t="s">
        <v>37</v>
      </c>
      <c r="F442">
        <v>272</v>
      </c>
      <c r="G442">
        <v>360.29</v>
      </c>
      <c r="H442">
        <v>59</v>
      </c>
      <c r="I442" s="1">
        <v>45467</v>
      </c>
      <c r="J442" t="s">
        <v>14</v>
      </c>
    </row>
    <row r="443" spans="1:10" x14ac:dyDescent="0.25">
      <c r="A443">
        <v>442</v>
      </c>
      <c r="B443" t="s">
        <v>38</v>
      </c>
      <c r="C443" t="s">
        <v>26</v>
      </c>
      <c r="D443" t="s">
        <v>24</v>
      </c>
      <c r="E443" t="s">
        <v>32</v>
      </c>
      <c r="F443">
        <v>21</v>
      </c>
      <c r="G443">
        <v>155.38</v>
      </c>
      <c r="H443">
        <v>86</v>
      </c>
      <c r="I443" s="1">
        <v>45273</v>
      </c>
      <c r="J443" t="s">
        <v>28</v>
      </c>
    </row>
    <row r="444" spans="1:10" x14ac:dyDescent="0.25">
      <c r="A444">
        <v>443</v>
      </c>
      <c r="B444" t="s">
        <v>36</v>
      </c>
      <c r="C444" t="s">
        <v>11</v>
      </c>
      <c r="D444" t="s">
        <v>12</v>
      </c>
      <c r="E444" t="s">
        <v>18</v>
      </c>
      <c r="F444">
        <v>410</v>
      </c>
      <c r="G444">
        <v>104.3</v>
      </c>
      <c r="H444">
        <v>141</v>
      </c>
      <c r="I444" s="1">
        <v>45380</v>
      </c>
      <c r="J444" t="s">
        <v>14</v>
      </c>
    </row>
    <row r="445" spans="1:10" x14ac:dyDescent="0.25">
      <c r="A445">
        <v>444</v>
      </c>
      <c r="B445" t="s">
        <v>53</v>
      </c>
      <c r="C445" t="s">
        <v>26</v>
      </c>
      <c r="D445" t="s">
        <v>17</v>
      </c>
      <c r="E445" t="s">
        <v>27</v>
      </c>
      <c r="F445">
        <v>90</v>
      </c>
      <c r="G445">
        <v>778.79</v>
      </c>
      <c r="H445">
        <v>101</v>
      </c>
      <c r="I445" s="1">
        <v>45778</v>
      </c>
      <c r="J445" t="s">
        <v>28</v>
      </c>
    </row>
    <row r="446" spans="1:10" x14ac:dyDescent="0.25">
      <c r="A446">
        <v>445</v>
      </c>
      <c r="B446" t="s">
        <v>43</v>
      </c>
      <c r="C446" t="s">
        <v>26</v>
      </c>
      <c r="D446" t="s">
        <v>12</v>
      </c>
      <c r="E446" t="s">
        <v>32</v>
      </c>
      <c r="F446">
        <v>392</v>
      </c>
      <c r="G446">
        <v>604.84</v>
      </c>
      <c r="H446">
        <v>67</v>
      </c>
      <c r="I446" s="1">
        <v>46020</v>
      </c>
      <c r="J446" t="s">
        <v>14</v>
      </c>
    </row>
    <row r="447" spans="1:10" x14ac:dyDescent="0.25">
      <c r="A447">
        <v>446</v>
      </c>
      <c r="B447" t="s">
        <v>40</v>
      </c>
      <c r="C447" t="s">
        <v>34</v>
      </c>
      <c r="D447" t="s">
        <v>21</v>
      </c>
      <c r="E447" t="s">
        <v>27</v>
      </c>
      <c r="F447">
        <v>234</v>
      </c>
      <c r="G447">
        <v>490.64</v>
      </c>
      <c r="H447">
        <v>68</v>
      </c>
      <c r="I447" s="1">
        <v>45763</v>
      </c>
      <c r="J447" t="s">
        <v>14</v>
      </c>
    </row>
    <row r="448" spans="1:10" x14ac:dyDescent="0.25">
      <c r="A448">
        <v>447</v>
      </c>
      <c r="B448" t="s">
        <v>22</v>
      </c>
      <c r="C448" t="s">
        <v>11</v>
      </c>
      <c r="D448" t="s">
        <v>17</v>
      </c>
      <c r="E448" t="s">
        <v>27</v>
      </c>
      <c r="F448">
        <v>466</v>
      </c>
      <c r="G448">
        <v>73.61</v>
      </c>
      <c r="H448">
        <v>118</v>
      </c>
      <c r="I448" s="1">
        <v>45253</v>
      </c>
      <c r="J448" t="s">
        <v>14</v>
      </c>
    </row>
    <row r="449" spans="1:10" x14ac:dyDescent="0.25">
      <c r="A449">
        <v>448</v>
      </c>
      <c r="B449" t="s">
        <v>51</v>
      </c>
      <c r="C449" t="s">
        <v>11</v>
      </c>
      <c r="D449" t="s">
        <v>17</v>
      </c>
      <c r="E449" t="s">
        <v>18</v>
      </c>
      <c r="F449">
        <v>52</v>
      </c>
      <c r="G449">
        <v>158.16</v>
      </c>
      <c r="H449">
        <v>105</v>
      </c>
      <c r="I449" s="1">
        <v>45957</v>
      </c>
      <c r="J449" t="s">
        <v>28</v>
      </c>
    </row>
    <row r="450" spans="1:10" x14ac:dyDescent="0.25">
      <c r="A450">
        <v>449</v>
      </c>
      <c r="B450" t="s">
        <v>45</v>
      </c>
      <c r="C450" t="s">
        <v>26</v>
      </c>
      <c r="D450" t="s">
        <v>21</v>
      </c>
      <c r="E450" t="s">
        <v>32</v>
      </c>
      <c r="F450">
        <v>224</v>
      </c>
      <c r="G450">
        <v>368.35</v>
      </c>
      <c r="H450">
        <v>116</v>
      </c>
      <c r="I450" s="1">
        <v>45026</v>
      </c>
      <c r="J450" t="s">
        <v>14</v>
      </c>
    </row>
    <row r="451" spans="1:10" x14ac:dyDescent="0.25">
      <c r="A451">
        <v>450</v>
      </c>
      <c r="B451" t="s">
        <v>52</v>
      </c>
      <c r="C451" t="s">
        <v>16</v>
      </c>
      <c r="D451" t="s">
        <v>17</v>
      </c>
      <c r="E451" t="s">
        <v>27</v>
      </c>
      <c r="F451">
        <v>453</v>
      </c>
      <c r="G451">
        <v>136.16999999999999</v>
      </c>
      <c r="H451">
        <v>134</v>
      </c>
      <c r="I451" s="1">
        <v>45094</v>
      </c>
      <c r="J451" t="s">
        <v>14</v>
      </c>
    </row>
    <row r="452" spans="1:10" x14ac:dyDescent="0.25">
      <c r="A452">
        <v>451</v>
      </c>
      <c r="B452" t="s">
        <v>54</v>
      </c>
      <c r="C452" t="s">
        <v>20</v>
      </c>
      <c r="D452" t="s">
        <v>30</v>
      </c>
      <c r="E452" t="s">
        <v>39</v>
      </c>
      <c r="F452">
        <v>350</v>
      </c>
      <c r="G452">
        <v>312.99</v>
      </c>
      <c r="H452">
        <v>84</v>
      </c>
      <c r="I452" s="1">
        <v>45338</v>
      </c>
      <c r="J452" t="s">
        <v>14</v>
      </c>
    </row>
    <row r="453" spans="1:10" x14ac:dyDescent="0.25">
      <c r="A453">
        <v>452</v>
      </c>
      <c r="B453" t="s">
        <v>40</v>
      </c>
      <c r="C453" t="s">
        <v>34</v>
      </c>
      <c r="D453" t="s">
        <v>30</v>
      </c>
      <c r="E453" t="s">
        <v>18</v>
      </c>
      <c r="F453">
        <v>288</v>
      </c>
      <c r="G453">
        <v>388.28</v>
      </c>
      <c r="H453">
        <v>69</v>
      </c>
      <c r="I453" s="1">
        <v>45870</v>
      </c>
      <c r="J453" t="s">
        <v>14</v>
      </c>
    </row>
    <row r="454" spans="1:10" x14ac:dyDescent="0.25">
      <c r="A454">
        <v>453</v>
      </c>
      <c r="B454" t="s">
        <v>45</v>
      </c>
      <c r="C454" t="s">
        <v>26</v>
      </c>
      <c r="D454" t="s">
        <v>21</v>
      </c>
      <c r="E454" t="s">
        <v>32</v>
      </c>
      <c r="F454">
        <v>73</v>
      </c>
      <c r="G454">
        <v>694.1</v>
      </c>
      <c r="H454">
        <v>85</v>
      </c>
      <c r="I454" s="1">
        <v>44997</v>
      </c>
      <c r="J454" t="s">
        <v>28</v>
      </c>
    </row>
    <row r="455" spans="1:10" x14ac:dyDescent="0.25">
      <c r="A455">
        <v>454</v>
      </c>
      <c r="B455" t="s">
        <v>47</v>
      </c>
      <c r="C455" t="s">
        <v>20</v>
      </c>
      <c r="D455" t="s">
        <v>21</v>
      </c>
      <c r="E455" t="s">
        <v>18</v>
      </c>
      <c r="F455">
        <v>110</v>
      </c>
      <c r="G455">
        <v>794.66</v>
      </c>
      <c r="H455">
        <v>58</v>
      </c>
      <c r="I455" s="1">
        <v>45441</v>
      </c>
      <c r="J455" t="s">
        <v>14</v>
      </c>
    </row>
    <row r="456" spans="1:10" x14ac:dyDescent="0.25">
      <c r="A456">
        <v>455</v>
      </c>
      <c r="B456" t="s">
        <v>25</v>
      </c>
      <c r="C456" t="s">
        <v>26</v>
      </c>
      <c r="D456" t="s">
        <v>24</v>
      </c>
      <c r="E456" t="s">
        <v>18</v>
      </c>
      <c r="F456">
        <v>322</v>
      </c>
      <c r="G456">
        <v>73.790000000000006</v>
      </c>
      <c r="H456">
        <v>106</v>
      </c>
      <c r="I456" s="1">
        <v>45379</v>
      </c>
      <c r="J456" t="s">
        <v>14</v>
      </c>
    </row>
    <row r="457" spans="1:10" x14ac:dyDescent="0.25">
      <c r="A457">
        <v>456</v>
      </c>
      <c r="B457" t="s">
        <v>10</v>
      </c>
      <c r="C457" t="s">
        <v>11</v>
      </c>
      <c r="D457" t="s">
        <v>12</v>
      </c>
      <c r="E457" t="s">
        <v>37</v>
      </c>
      <c r="F457">
        <v>206</v>
      </c>
      <c r="G457">
        <v>669.07</v>
      </c>
      <c r="H457">
        <v>85</v>
      </c>
      <c r="I457" s="1">
        <v>45017</v>
      </c>
      <c r="J457" t="s">
        <v>14</v>
      </c>
    </row>
    <row r="458" spans="1:10" x14ac:dyDescent="0.25">
      <c r="A458">
        <v>457</v>
      </c>
      <c r="B458" t="s">
        <v>36</v>
      </c>
      <c r="C458" t="s">
        <v>11</v>
      </c>
      <c r="D458" t="s">
        <v>24</v>
      </c>
      <c r="E458" t="s">
        <v>32</v>
      </c>
      <c r="F458">
        <v>494</v>
      </c>
      <c r="G458">
        <v>166.34</v>
      </c>
      <c r="H458">
        <v>144</v>
      </c>
      <c r="I458" s="1">
        <v>45907</v>
      </c>
      <c r="J458" t="s">
        <v>14</v>
      </c>
    </row>
    <row r="459" spans="1:10" x14ac:dyDescent="0.25">
      <c r="A459">
        <v>458</v>
      </c>
      <c r="B459" t="s">
        <v>50</v>
      </c>
      <c r="C459" t="s">
        <v>34</v>
      </c>
      <c r="D459" t="s">
        <v>17</v>
      </c>
      <c r="E459" t="s">
        <v>32</v>
      </c>
      <c r="F459">
        <v>236</v>
      </c>
      <c r="G459">
        <v>676.25</v>
      </c>
      <c r="H459">
        <v>100</v>
      </c>
      <c r="I459" s="1">
        <v>45426</v>
      </c>
      <c r="J459" t="s">
        <v>14</v>
      </c>
    </row>
    <row r="460" spans="1:10" x14ac:dyDescent="0.25">
      <c r="A460">
        <v>459</v>
      </c>
      <c r="B460" t="s">
        <v>50</v>
      </c>
      <c r="C460" t="s">
        <v>34</v>
      </c>
      <c r="D460" t="s">
        <v>30</v>
      </c>
      <c r="E460" t="s">
        <v>32</v>
      </c>
      <c r="F460">
        <v>114</v>
      </c>
      <c r="G460">
        <v>111.14</v>
      </c>
      <c r="H460">
        <v>130</v>
      </c>
      <c r="I460" s="1">
        <v>44993</v>
      </c>
      <c r="J460" t="s">
        <v>28</v>
      </c>
    </row>
    <row r="461" spans="1:10" x14ac:dyDescent="0.25">
      <c r="A461">
        <v>460</v>
      </c>
      <c r="B461" t="s">
        <v>43</v>
      </c>
      <c r="C461" t="s">
        <v>26</v>
      </c>
      <c r="D461" t="s">
        <v>21</v>
      </c>
      <c r="E461" t="s">
        <v>18</v>
      </c>
      <c r="F461">
        <v>50</v>
      </c>
      <c r="G461">
        <v>23.16</v>
      </c>
      <c r="H461">
        <v>142</v>
      </c>
      <c r="I461" s="1">
        <v>45937</v>
      </c>
      <c r="J461" t="s">
        <v>28</v>
      </c>
    </row>
    <row r="462" spans="1:10" x14ac:dyDescent="0.25">
      <c r="A462">
        <v>461</v>
      </c>
      <c r="B462" t="s">
        <v>19</v>
      </c>
      <c r="C462" t="s">
        <v>20</v>
      </c>
      <c r="D462" t="s">
        <v>21</v>
      </c>
      <c r="E462" t="s">
        <v>27</v>
      </c>
      <c r="F462">
        <v>438</v>
      </c>
      <c r="G462">
        <v>190.69</v>
      </c>
      <c r="H462">
        <v>122</v>
      </c>
      <c r="I462" s="1">
        <v>45723</v>
      </c>
      <c r="J462" t="s">
        <v>14</v>
      </c>
    </row>
    <row r="463" spans="1:10" x14ac:dyDescent="0.25">
      <c r="A463">
        <v>462</v>
      </c>
      <c r="B463" t="s">
        <v>35</v>
      </c>
      <c r="C463" t="s">
        <v>11</v>
      </c>
      <c r="D463" t="s">
        <v>17</v>
      </c>
      <c r="E463" t="s">
        <v>27</v>
      </c>
      <c r="F463">
        <v>26</v>
      </c>
      <c r="G463">
        <v>15.8</v>
      </c>
      <c r="H463">
        <v>95</v>
      </c>
      <c r="I463" s="1">
        <v>45439</v>
      </c>
      <c r="J463" t="s">
        <v>28</v>
      </c>
    </row>
    <row r="464" spans="1:10" x14ac:dyDescent="0.25">
      <c r="A464">
        <v>463</v>
      </c>
      <c r="B464" t="s">
        <v>42</v>
      </c>
      <c r="C464" t="s">
        <v>16</v>
      </c>
      <c r="D464" t="s">
        <v>12</v>
      </c>
      <c r="E464" t="s">
        <v>13</v>
      </c>
      <c r="F464">
        <v>23</v>
      </c>
      <c r="G464">
        <v>537.70000000000005</v>
      </c>
      <c r="H464">
        <v>104</v>
      </c>
      <c r="I464" s="1">
        <v>45881</v>
      </c>
      <c r="J464" t="s">
        <v>28</v>
      </c>
    </row>
    <row r="465" spans="1:10" x14ac:dyDescent="0.25">
      <c r="A465">
        <v>464</v>
      </c>
      <c r="B465" t="s">
        <v>23</v>
      </c>
      <c r="C465" t="s">
        <v>20</v>
      </c>
      <c r="D465" t="s">
        <v>30</v>
      </c>
      <c r="E465" t="s">
        <v>18</v>
      </c>
      <c r="F465">
        <v>474</v>
      </c>
      <c r="G465">
        <v>195.36</v>
      </c>
      <c r="H465">
        <v>112</v>
      </c>
      <c r="I465" s="1">
        <v>45035</v>
      </c>
      <c r="J465" t="s">
        <v>14</v>
      </c>
    </row>
    <row r="466" spans="1:10" x14ac:dyDescent="0.25">
      <c r="A466">
        <v>465</v>
      </c>
      <c r="B466" t="s">
        <v>49</v>
      </c>
      <c r="C466" t="s">
        <v>16</v>
      </c>
      <c r="D466" t="s">
        <v>30</v>
      </c>
      <c r="E466" t="s">
        <v>27</v>
      </c>
      <c r="F466">
        <v>209</v>
      </c>
      <c r="G466">
        <v>548.16</v>
      </c>
      <c r="H466">
        <v>91</v>
      </c>
      <c r="I466" s="1">
        <v>45631</v>
      </c>
      <c r="J466" t="s">
        <v>14</v>
      </c>
    </row>
    <row r="467" spans="1:10" x14ac:dyDescent="0.25">
      <c r="A467">
        <v>466</v>
      </c>
      <c r="B467" t="s">
        <v>36</v>
      </c>
      <c r="C467" t="s">
        <v>11</v>
      </c>
      <c r="D467" t="s">
        <v>17</v>
      </c>
      <c r="E467" t="s">
        <v>27</v>
      </c>
      <c r="F467">
        <v>162</v>
      </c>
      <c r="G467">
        <v>583.89</v>
      </c>
      <c r="H467">
        <v>55</v>
      </c>
      <c r="I467" s="1">
        <v>45132</v>
      </c>
      <c r="J467" t="s">
        <v>14</v>
      </c>
    </row>
    <row r="468" spans="1:10" x14ac:dyDescent="0.25">
      <c r="A468">
        <v>467</v>
      </c>
      <c r="B468" t="s">
        <v>29</v>
      </c>
      <c r="C468" t="s">
        <v>16</v>
      </c>
      <c r="D468" t="s">
        <v>17</v>
      </c>
      <c r="E468" t="s">
        <v>32</v>
      </c>
      <c r="F468">
        <v>367</v>
      </c>
      <c r="G468">
        <v>50.31</v>
      </c>
      <c r="H468">
        <v>52</v>
      </c>
      <c r="I468" s="1">
        <v>44939</v>
      </c>
      <c r="J468" t="s">
        <v>14</v>
      </c>
    </row>
    <row r="469" spans="1:10" x14ac:dyDescent="0.25">
      <c r="A469">
        <v>468</v>
      </c>
      <c r="B469" t="s">
        <v>15</v>
      </c>
      <c r="C469" t="s">
        <v>16</v>
      </c>
      <c r="D469" t="s">
        <v>24</v>
      </c>
      <c r="E469" t="s">
        <v>32</v>
      </c>
      <c r="F469">
        <v>368</v>
      </c>
      <c r="G469">
        <v>187.72</v>
      </c>
      <c r="H469">
        <v>96</v>
      </c>
      <c r="I469" s="1">
        <v>45943</v>
      </c>
      <c r="J469" t="s">
        <v>14</v>
      </c>
    </row>
    <row r="470" spans="1:10" x14ac:dyDescent="0.25">
      <c r="A470">
        <v>469</v>
      </c>
      <c r="B470" t="s">
        <v>46</v>
      </c>
      <c r="C470" t="s">
        <v>34</v>
      </c>
      <c r="D470" t="s">
        <v>21</v>
      </c>
      <c r="E470" t="s">
        <v>39</v>
      </c>
      <c r="F470">
        <v>186</v>
      </c>
      <c r="G470">
        <v>428.31</v>
      </c>
      <c r="H470">
        <v>68</v>
      </c>
      <c r="I470" s="1">
        <v>45087</v>
      </c>
      <c r="J470" t="s">
        <v>14</v>
      </c>
    </row>
    <row r="471" spans="1:10" x14ac:dyDescent="0.25">
      <c r="A471">
        <v>470</v>
      </c>
      <c r="B471" t="s">
        <v>45</v>
      </c>
      <c r="C471" t="s">
        <v>26</v>
      </c>
      <c r="D471" t="s">
        <v>17</v>
      </c>
      <c r="E471" t="s">
        <v>13</v>
      </c>
      <c r="F471">
        <v>204</v>
      </c>
      <c r="G471">
        <v>78.040000000000006</v>
      </c>
      <c r="H471">
        <v>144</v>
      </c>
      <c r="I471" s="1">
        <v>45506</v>
      </c>
      <c r="J471" t="s">
        <v>14</v>
      </c>
    </row>
    <row r="472" spans="1:10" x14ac:dyDescent="0.25">
      <c r="A472">
        <v>471</v>
      </c>
      <c r="B472" t="s">
        <v>51</v>
      </c>
      <c r="C472" t="s">
        <v>11</v>
      </c>
      <c r="D472" t="s">
        <v>24</v>
      </c>
      <c r="E472" t="s">
        <v>13</v>
      </c>
      <c r="F472">
        <v>110</v>
      </c>
      <c r="G472">
        <v>25.14</v>
      </c>
      <c r="H472">
        <v>63</v>
      </c>
      <c r="I472" s="1">
        <v>44933</v>
      </c>
      <c r="J472" t="s">
        <v>14</v>
      </c>
    </row>
    <row r="473" spans="1:10" x14ac:dyDescent="0.25">
      <c r="A473">
        <v>472</v>
      </c>
      <c r="B473" t="s">
        <v>40</v>
      </c>
      <c r="C473" t="s">
        <v>34</v>
      </c>
      <c r="D473" t="s">
        <v>30</v>
      </c>
      <c r="E473" t="s">
        <v>13</v>
      </c>
      <c r="F473">
        <v>56</v>
      </c>
      <c r="G473">
        <v>324.68</v>
      </c>
      <c r="H473">
        <v>60</v>
      </c>
      <c r="I473" s="1">
        <v>45469</v>
      </c>
      <c r="J473" t="s">
        <v>28</v>
      </c>
    </row>
    <row r="474" spans="1:10" x14ac:dyDescent="0.25">
      <c r="A474">
        <v>473</v>
      </c>
      <c r="B474" t="s">
        <v>36</v>
      </c>
      <c r="C474" t="s">
        <v>11</v>
      </c>
      <c r="D474" t="s">
        <v>30</v>
      </c>
      <c r="E474" t="s">
        <v>39</v>
      </c>
      <c r="F474">
        <v>16</v>
      </c>
      <c r="G474">
        <v>66.599999999999994</v>
      </c>
      <c r="H474">
        <v>102</v>
      </c>
      <c r="I474" s="1">
        <v>45460</v>
      </c>
      <c r="J474" t="s">
        <v>28</v>
      </c>
    </row>
    <row r="475" spans="1:10" x14ac:dyDescent="0.25">
      <c r="A475">
        <v>474</v>
      </c>
      <c r="B475" t="s">
        <v>22</v>
      </c>
      <c r="C475" t="s">
        <v>11</v>
      </c>
      <c r="D475" t="s">
        <v>24</v>
      </c>
      <c r="E475" t="s">
        <v>18</v>
      </c>
      <c r="F475">
        <v>51</v>
      </c>
      <c r="G475">
        <v>732.07</v>
      </c>
      <c r="H475">
        <v>55</v>
      </c>
      <c r="I475" s="1">
        <v>45968</v>
      </c>
      <c r="J475" t="s">
        <v>28</v>
      </c>
    </row>
    <row r="476" spans="1:10" x14ac:dyDescent="0.25">
      <c r="A476">
        <v>475</v>
      </c>
      <c r="B476" t="s">
        <v>48</v>
      </c>
      <c r="C476" t="s">
        <v>20</v>
      </c>
      <c r="D476" t="s">
        <v>17</v>
      </c>
      <c r="E476" t="s">
        <v>27</v>
      </c>
      <c r="F476">
        <v>246</v>
      </c>
      <c r="G476">
        <v>788.87</v>
      </c>
      <c r="H476">
        <v>131</v>
      </c>
      <c r="I476" s="1">
        <v>45447</v>
      </c>
      <c r="J476" t="s">
        <v>14</v>
      </c>
    </row>
    <row r="477" spans="1:10" x14ac:dyDescent="0.25">
      <c r="A477">
        <v>476</v>
      </c>
      <c r="B477" t="s">
        <v>22</v>
      </c>
      <c r="C477" t="s">
        <v>11</v>
      </c>
      <c r="D477" t="s">
        <v>21</v>
      </c>
      <c r="E477" t="s">
        <v>39</v>
      </c>
      <c r="F477">
        <v>392</v>
      </c>
      <c r="G477">
        <v>799.15</v>
      </c>
      <c r="H477">
        <v>142</v>
      </c>
      <c r="I477" s="1">
        <v>45078</v>
      </c>
      <c r="J477" t="s">
        <v>14</v>
      </c>
    </row>
    <row r="478" spans="1:10" x14ac:dyDescent="0.25">
      <c r="A478">
        <v>477</v>
      </c>
      <c r="B478" t="s">
        <v>22</v>
      </c>
      <c r="C478" t="s">
        <v>11</v>
      </c>
      <c r="D478" t="s">
        <v>30</v>
      </c>
      <c r="E478" t="s">
        <v>37</v>
      </c>
      <c r="F478">
        <v>191</v>
      </c>
      <c r="G478">
        <v>709.36</v>
      </c>
      <c r="H478">
        <v>90</v>
      </c>
      <c r="I478" s="1">
        <v>45559</v>
      </c>
      <c r="J478" t="s">
        <v>14</v>
      </c>
    </row>
    <row r="479" spans="1:10" x14ac:dyDescent="0.25">
      <c r="A479">
        <v>478</v>
      </c>
      <c r="B479" t="s">
        <v>46</v>
      </c>
      <c r="C479" t="s">
        <v>34</v>
      </c>
      <c r="D479" t="s">
        <v>24</v>
      </c>
      <c r="E479" t="s">
        <v>37</v>
      </c>
      <c r="F479">
        <v>15</v>
      </c>
      <c r="G479">
        <v>398.35</v>
      </c>
      <c r="H479">
        <v>66</v>
      </c>
      <c r="I479" s="1">
        <v>45395</v>
      </c>
      <c r="J479" t="s">
        <v>28</v>
      </c>
    </row>
    <row r="480" spans="1:10" x14ac:dyDescent="0.25">
      <c r="A480">
        <v>479</v>
      </c>
      <c r="B480" t="s">
        <v>36</v>
      </c>
      <c r="C480" t="s">
        <v>11</v>
      </c>
      <c r="D480" t="s">
        <v>30</v>
      </c>
      <c r="E480" t="s">
        <v>18</v>
      </c>
      <c r="F480">
        <v>164</v>
      </c>
      <c r="G480">
        <v>195.27</v>
      </c>
      <c r="H480">
        <v>146</v>
      </c>
      <c r="I480" s="1">
        <v>45246</v>
      </c>
      <c r="J480" t="s">
        <v>14</v>
      </c>
    </row>
    <row r="481" spans="1:10" x14ac:dyDescent="0.25">
      <c r="A481">
        <v>480</v>
      </c>
      <c r="B481" t="s">
        <v>10</v>
      </c>
      <c r="C481" t="s">
        <v>11</v>
      </c>
      <c r="D481" t="s">
        <v>12</v>
      </c>
      <c r="E481" t="s">
        <v>27</v>
      </c>
      <c r="F481">
        <v>142</v>
      </c>
      <c r="G481">
        <v>747.91</v>
      </c>
      <c r="H481">
        <v>114</v>
      </c>
      <c r="I481" s="1">
        <v>45750</v>
      </c>
      <c r="J481" t="s">
        <v>14</v>
      </c>
    </row>
    <row r="482" spans="1:10" x14ac:dyDescent="0.25">
      <c r="A482">
        <v>481</v>
      </c>
      <c r="B482" t="s">
        <v>36</v>
      </c>
      <c r="C482" t="s">
        <v>11</v>
      </c>
      <c r="D482" t="s">
        <v>30</v>
      </c>
      <c r="E482" t="s">
        <v>39</v>
      </c>
      <c r="F482">
        <v>36</v>
      </c>
      <c r="G482">
        <v>319.69</v>
      </c>
      <c r="H482">
        <v>135</v>
      </c>
      <c r="I482" s="1">
        <v>45466</v>
      </c>
      <c r="J482" t="s">
        <v>28</v>
      </c>
    </row>
    <row r="483" spans="1:10" x14ac:dyDescent="0.25">
      <c r="A483">
        <v>482</v>
      </c>
      <c r="B483" t="s">
        <v>45</v>
      </c>
      <c r="C483" t="s">
        <v>26</v>
      </c>
      <c r="D483" t="s">
        <v>24</v>
      </c>
      <c r="E483" t="s">
        <v>39</v>
      </c>
      <c r="F483">
        <v>94</v>
      </c>
      <c r="G483">
        <v>600.33000000000004</v>
      </c>
      <c r="H483">
        <v>77</v>
      </c>
      <c r="I483" s="1">
        <v>45916</v>
      </c>
      <c r="J483" t="s">
        <v>14</v>
      </c>
    </row>
    <row r="484" spans="1:10" x14ac:dyDescent="0.25">
      <c r="A484">
        <v>483</v>
      </c>
      <c r="B484" t="s">
        <v>36</v>
      </c>
      <c r="C484" t="s">
        <v>11</v>
      </c>
      <c r="D484" t="s">
        <v>12</v>
      </c>
      <c r="E484" t="s">
        <v>32</v>
      </c>
      <c r="F484">
        <v>327</v>
      </c>
      <c r="G484">
        <v>635.85</v>
      </c>
      <c r="H484">
        <v>90</v>
      </c>
      <c r="I484" s="1">
        <v>45284</v>
      </c>
      <c r="J484" t="s">
        <v>14</v>
      </c>
    </row>
    <row r="485" spans="1:10" x14ac:dyDescent="0.25">
      <c r="A485">
        <v>484</v>
      </c>
      <c r="B485" t="s">
        <v>40</v>
      </c>
      <c r="C485" t="s">
        <v>34</v>
      </c>
      <c r="D485" t="s">
        <v>24</v>
      </c>
      <c r="E485" t="s">
        <v>37</v>
      </c>
      <c r="F485">
        <v>444</v>
      </c>
      <c r="G485">
        <v>105.04</v>
      </c>
      <c r="H485">
        <v>61</v>
      </c>
      <c r="I485" s="1">
        <v>45287</v>
      </c>
      <c r="J485" t="s">
        <v>14</v>
      </c>
    </row>
    <row r="486" spans="1:10" x14ac:dyDescent="0.25">
      <c r="A486">
        <v>485</v>
      </c>
      <c r="B486" t="s">
        <v>43</v>
      </c>
      <c r="C486" t="s">
        <v>26</v>
      </c>
      <c r="D486" t="s">
        <v>30</v>
      </c>
      <c r="E486" t="s">
        <v>39</v>
      </c>
      <c r="F486">
        <v>190</v>
      </c>
      <c r="G486">
        <v>605.54999999999995</v>
      </c>
      <c r="H486">
        <v>143</v>
      </c>
      <c r="I486" s="1">
        <v>45514</v>
      </c>
      <c r="J486" t="s">
        <v>14</v>
      </c>
    </row>
    <row r="487" spans="1:10" x14ac:dyDescent="0.25">
      <c r="A487">
        <v>486</v>
      </c>
      <c r="B487" t="s">
        <v>48</v>
      </c>
      <c r="C487" t="s">
        <v>20</v>
      </c>
      <c r="D487" t="s">
        <v>17</v>
      </c>
      <c r="E487" t="s">
        <v>18</v>
      </c>
      <c r="F487">
        <v>47</v>
      </c>
      <c r="G487">
        <v>19.52</v>
      </c>
      <c r="H487">
        <v>122</v>
      </c>
      <c r="I487" s="1">
        <v>45983</v>
      </c>
      <c r="J487" t="s">
        <v>28</v>
      </c>
    </row>
    <row r="488" spans="1:10" x14ac:dyDescent="0.25">
      <c r="A488">
        <v>487</v>
      </c>
      <c r="B488" t="s">
        <v>41</v>
      </c>
      <c r="C488" t="s">
        <v>16</v>
      </c>
      <c r="D488" t="s">
        <v>30</v>
      </c>
      <c r="E488" t="s">
        <v>37</v>
      </c>
      <c r="F488">
        <v>352</v>
      </c>
      <c r="G488">
        <v>460.9</v>
      </c>
      <c r="H488">
        <v>133</v>
      </c>
      <c r="I488" s="1">
        <v>45290</v>
      </c>
      <c r="J488" t="s">
        <v>14</v>
      </c>
    </row>
    <row r="489" spans="1:10" x14ac:dyDescent="0.25">
      <c r="A489">
        <v>488</v>
      </c>
      <c r="B489" t="s">
        <v>25</v>
      </c>
      <c r="C489" t="s">
        <v>26</v>
      </c>
      <c r="D489" t="s">
        <v>12</v>
      </c>
      <c r="E489" t="s">
        <v>32</v>
      </c>
      <c r="F489">
        <v>330</v>
      </c>
      <c r="G489">
        <v>714.01</v>
      </c>
      <c r="H489">
        <v>109</v>
      </c>
      <c r="I489" s="1">
        <v>45861</v>
      </c>
      <c r="J489" t="s">
        <v>14</v>
      </c>
    </row>
    <row r="490" spans="1:10" x14ac:dyDescent="0.25">
      <c r="A490">
        <v>489</v>
      </c>
      <c r="B490" t="s">
        <v>45</v>
      </c>
      <c r="C490" t="s">
        <v>26</v>
      </c>
      <c r="D490" t="s">
        <v>30</v>
      </c>
      <c r="E490" t="s">
        <v>39</v>
      </c>
      <c r="F490">
        <v>434</v>
      </c>
      <c r="G490">
        <v>359.7</v>
      </c>
      <c r="H490">
        <v>85</v>
      </c>
      <c r="I490" s="1">
        <v>45054</v>
      </c>
      <c r="J490" t="s">
        <v>14</v>
      </c>
    </row>
    <row r="491" spans="1:10" x14ac:dyDescent="0.25">
      <c r="A491">
        <v>490</v>
      </c>
      <c r="B491" t="s">
        <v>22</v>
      </c>
      <c r="C491" t="s">
        <v>11</v>
      </c>
      <c r="D491" t="s">
        <v>21</v>
      </c>
      <c r="E491" t="s">
        <v>18</v>
      </c>
      <c r="F491">
        <v>349</v>
      </c>
      <c r="G491">
        <v>781.14</v>
      </c>
      <c r="H491">
        <v>122</v>
      </c>
      <c r="I491" s="1">
        <v>45367</v>
      </c>
      <c r="J491" t="s">
        <v>14</v>
      </c>
    </row>
    <row r="492" spans="1:10" x14ac:dyDescent="0.25">
      <c r="A492">
        <v>491</v>
      </c>
      <c r="B492" t="s">
        <v>50</v>
      </c>
      <c r="C492" t="s">
        <v>34</v>
      </c>
      <c r="D492" t="s">
        <v>24</v>
      </c>
      <c r="E492" t="s">
        <v>37</v>
      </c>
      <c r="F492">
        <v>263</v>
      </c>
      <c r="G492">
        <v>430.37</v>
      </c>
      <c r="H492">
        <v>120</v>
      </c>
      <c r="I492" s="1">
        <v>45773</v>
      </c>
      <c r="J492" t="s">
        <v>14</v>
      </c>
    </row>
    <row r="493" spans="1:10" x14ac:dyDescent="0.25">
      <c r="A493">
        <v>492</v>
      </c>
      <c r="B493" t="s">
        <v>41</v>
      </c>
      <c r="C493" t="s">
        <v>16</v>
      </c>
      <c r="D493" t="s">
        <v>12</v>
      </c>
      <c r="E493" t="s">
        <v>32</v>
      </c>
      <c r="F493">
        <v>367</v>
      </c>
      <c r="G493">
        <v>417.3</v>
      </c>
      <c r="H493">
        <v>124</v>
      </c>
      <c r="I493" s="1">
        <v>45098</v>
      </c>
      <c r="J493" t="s">
        <v>14</v>
      </c>
    </row>
    <row r="494" spans="1:10" x14ac:dyDescent="0.25">
      <c r="A494">
        <v>493</v>
      </c>
      <c r="B494" t="s">
        <v>23</v>
      </c>
      <c r="C494" t="s">
        <v>20</v>
      </c>
      <c r="D494" t="s">
        <v>21</v>
      </c>
      <c r="E494" t="s">
        <v>18</v>
      </c>
      <c r="F494">
        <v>337</v>
      </c>
      <c r="G494">
        <v>80.95</v>
      </c>
      <c r="H494">
        <v>119</v>
      </c>
      <c r="I494" s="1">
        <v>45780</v>
      </c>
      <c r="J494" t="s">
        <v>14</v>
      </c>
    </row>
    <row r="495" spans="1:10" x14ac:dyDescent="0.25">
      <c r="A495">
        <v>494</v>
      </c>
      <c r="B495" t="s">
        <v>35</v>
      </c>
      <c r="C495" t="s">
        <v>11</v>
      </c>
      <c r="D495" t="s">
        <v>21</v>
      </c>
      <c r="E495" t="s">
        <v>37</v>
      </c>
      <c r="F495">
        <v>363</v>
      </c>
      <c r="G495">
        <v>422.03</v>
      </c>
      <c r="H495">
        <v>122</v>
      </c>
      <c r="I495" s="1">
        <v>45804</v>
      </c>
      <c r="J495" t="s">
        <v>14</v>
      </c>
    </row>
    <row r="496" spans="1:10" x14ac:dyDescent="0.25">
      <c r="A496">
        <v>495</v>
      </c>
      <c r="B496" t="s">
        <v>29</v>
      </c>
      <c r="C496" t="s">
        <v>16</v>
      </c>
      <c r="D496" t="s">
        <v>21</v>
      </c>
      <c r="E496" t="s">
        <v>39</v>
      </c>
      <c r="F496">
        <v>430</v>
      </c>
      <c r="G496">
        <v>235.72</v>
      </c>
      <c r="H496">
        <v>59</v>
      </c>
      <c r="I496" s="1">
        <v>45948</v>
      </c>
      <c r="J496" t="s">
        <v>14</v>
      </c>
    </row>
    <row r="497" spans="1:10" x14ac:dyDescent="0.25">
      <c r="A497">
        <v>496</v>
      </c>
      <c r="B497" t="s">
        <v>35</v>
      </c>
      <c r="C497" t="s">
        <v>11</v>
      </c>
      <c r="D497" t="s">
        <v>12</v>
      </c>
      <c r="E497" t="s">
        <v>39</v>
      </c>
      <c r="F497">
        <v>301</v>
      </c>
      <c r="G497">
        <v>776.3</v>
      </c>
      <c r="H497">
        <v>55</v>
      </c>
      <c r="I497" s="1">
        <v>45232</v>
      </c>
      <c r="J497" t="s">
        <v>14</v>
      </c>
    </row>
    <row r="498" spans="1:10" x14ac:dyDescent="0.25">
      <c r="A498">
        <v>497</v>
      </c>
      <c r="B498" t="s">
        <v>46</v>
      </c>
      <c r="C498" t="s">
        <v>34</v>
      </c>
      <c r="D498" t="s">
        <v>21</v>
      </c>
      <c r="E498" t="s">
        <v>32</v>
      </c>
      <c r="F498">
        <v>162</v>
      </c>
      <c r="G498">
        <v>679.57</v>
      </c>
      <c r="H498">
        <v>108</v>
      </c>
      <c r="I498" s="1">
        <v>45281</v>
      </c>
      <c r="J498" t="s">
        <v>14</v>
      </c>
    </row>
    <row r="499" spans="1:10" x14ac:dyDescent="0.25">
      <c r="A499">
        <v>498</v>
      </c>
      <c r="B499" t="s">
        <v>25</v>
      </c>
      <c r="C499" t="s">
        <v>26</v>
      </c>
      <c r="D499" t="s">
        <v>12</v>
      </c>
      <c r="E499" t="s">
        <v>27</v>
      </c>
      <c r="F499">
        <v>336</v>
      </c>
      <c r="G499">
        <v>108.19</v>
      </c>
      <c r="H499">
        <v>110</v>
      </c>
      <c r="I499" s="1">
        <v>45478</v>
      </c>
      <c r="J499" t="s">
        <v>14</v>
      </c>
    </row>
    <row r="500" spans="1:10" x14ac:dyDescent="0.25">
      <c r="A500">
        <v>499</v>
      </c>
      <c r="B500" t="s">
        <v>19</v>
      </c>
      <c r="C500" t="s">
        <v>20</v>
      </c>
      <c r="D500" t="s">
        <v>12</v>
      </c>
      <c r="E500" t="s">
        <v>27</v>
      </c>
      <c r="F500">
        <v>480</v>
      </c>
      <c r="G500">
        <v>81.349999999999994</v>
      </c>
      <c r="H500">
        <v>115</v>
      </c>
      <c r="I500" s="1">
        <v>45166</v>
      </c>
      <c r="J500" t="s">
        <v>14</v>
      </c>
    </row>
    <row r="501" spans="1:10" x14ac:dyDescent="0.25">
      <c r="A501">
        <v>500</v>
      </c>
      <c r="B501" t="s">
        <v>43</v>
      </c>
      <c r="C501" t="s">
        <v>26</v>
      </c>
      <c r="D501" t="s">
        <v>24</v>
      </c>
      <c r="E501" t="s">
        <v>27</v>
      </c>
      <c r="F501">
        <v>308</v>
      </c>
      <c r="G501">
        <v>171.53</v>
      </c>
      <c r="H501">
        <v>130</v>
      </c>
      <c r="I501" s="1">
        <v>45455</v>
      </c>
      <c r="J501" t="s">
        <v>14</v>
      </c>
    </row>
    <row r="502" spans="1:10" x14ac:dyDescent="0.25">
      <c r="A502">
        <v>501</v>
      </c>
      <c r="B502" t="s">
        <v>15</v>
      </c>
      <c r="C502" t="s">
        <v>16</v>
      </c>
      <c r="D502" t="s">
        <v>24</v>
      </c>
      <c r="E502" t="s">
        <v>18</v>
      </c>
      <c r="F502">
        <v>193</v>
      </c>
      <c r="G502">
        <v>33.31</v>
      </c>
      <c r="H502">
        <v>63</v>
      </c>
      <c r="I502" s="1">
        <v>45463</v>
      </c>
      <c r="J502" t="s">
        <v>14</v>
      </c>
    </row>
    <row r="503" spans="1:10" x14ac:dyDescent="0.25">
      <c r="A503">
        <v>502</v>
      </c>
      <c r="B503" t="s">
        <v>51</v>
      </c>
      <c r="C503" t="s">
        <v>11</v>
      </c>
      <c r="D503" t="s">
        <v>24</v>
      </c>
      <c r="E503" t="s">
        <v>39</v>
      </c>
      <c r="F503">
        <v>439</v>
      </c>
      <c r="G503">
        <v>466.53</v>
      </c>
      <c r="H503">
        <v>130</v>
      </c>
      <c r="I503" s="1">
        <v>45413</v>
      </c>
      <c r="J503" t="s">
        <v>14</v>
      </c>
    </row>
    <row r="504" spans="1:10" x14ac:dyDescent="0.25">
      <c r="A504">
        <v>503</v>
      </c>
      <c r="B504" t="s">
        <v>15</v>
      </c>
      <c r="C504" t="s">
        <v>16</v>
      </c>
      <c r="D504" t="s">
        <v>24</v>
      </c>
      <c r="E504" t="s">
        <v>37</v>
      </c>
      <c r="F504">
        <v>363</v>
      </c>
      <c r="G504">
        <v>136.36000000000001</v>
      </c>
      <c r="H504">
        <v>67</v>
      </c>
      <c r="I504" s="1">
        <v>45277</v>
      </c>
      <c r="J504" t="s">
        <v>14</v>
      </c>
    </row>
    <row r="505" spans="1:10" x14ac:dyDescent="0.25">
      <c r="A505">
        <v>504</v>
      </c>
      <c r="B505" t="s">
        <v>53</v>
      </c>
      <c r="C505" t="s">
        <v>26</v>
      </c>
      <c r="D505" t="s">
        <v>24</v>
      </c>
      <c r="E505" t="s">
        <v>18</v>
      </c>
      <c r="F505">
        <v>63</v>
      </c>
      <c r="G505">
        <v>634.02</v>
      </c>
      <c r="H505">
        <v>100</v>
      </c>
      <c r="I505" s="1">
        <v>45223</v>
      </c>
      <c r="J505" t="s">
        <v>28</v>
      </c>
    </row>
    <row r="506" spans="1:10" x14ac:dyDescent="0.25">
      <c r="A506">
        <v>505</v>
      </c>
      <c r="B506" t="s">
        <v>49</v>
      </c>
      <c r="C506" t="s">
        <v>16</v>
      </c>
      <c r="D506" t="s">
        <v>24</v>
      </c>
      <c r="E506" t="s">
        <v>13</v>
      </c>
      <c r="F506">
        <v>155</v>
      </c>
      <c r="G506">
        <v>336.49</v>
      </c>
      <c r="H506">
        <v>99</v>
      </c>
      <c r="I506" s="1">
        <v>45925</v>
      </c>
      <c r="J506" t="s">
        <v>14</v>
      </c>
    </row>
    <row r="507" spans="1:10" x14ac:dyDescent="0.25">
      <c r="A507">
        <v>506</v>
      </c>
      <c r="B507" t="s">
        <v>50</v>
      </c>
      <c r="C507" t="s">
        <v>34</v>
      </c>
      <c r="D507" t="s">
        <v>12</v>
      </c>
      <c r="E507" t="s">
        <v>37</v>
      </c>
      <c r="F507">
        <v>485</v>
      </c>
      <c r="G507">
        <v>622.91999999999996</v>
      </c>
      <c r="H507">
        <v>93</v>
      </c>
      <c r="I507" s="1">
        <v>45568</v>
      </c>
      <c r="J507" t="s">
        <v>14</v>
      </c>
    </row>
    <row r="508" spans="1:10" x14ac:dyDescent="0.25">
      <c r="A508">
        <v>507</v>
      </c>
      <c r="B508" t="s">
        <v>42</v>
      </c>
      <c r="C508" t="s">
        <v>16</v>
      </c>
      <c r="D508" t="s">
        <v>21</v>
      </c>
      <c r="E508" t="s">
        <v>32</v>
      </c>
      <c r="F508">
        <v>248</v>
      </c>
      <c r="G508">
        <v>680.66</v>
      </c>
      <c r="H508">
        <v>128</v>
      </c>
      <c r="I508" s="1">
        <v>45495</v>
      </c>
      <c r="J508" t="s">
        <v>14</v>
      </c>
    </row>
    <row r="509" spans="1:10" x14ac:dyDescent="0.25">
      <c r="A509">
        <v>508</v>
      </c>
      <c r="B509" t="s">
        <v>31</v>
      </c>
      <c r="C509" t="s">
        <v>20</v>
      </c>
      <c r="D509" t="s">
        <v>17</v>
      </c>
      <c r="E509" t="s">
        <v>32</v>
      </c>
      <c r="F509">
        <v>472</v>
      </c>
      <c r="G509">
        <v>729.48</v>
      </c>
      <c r="H509">
        <v>149</v>
      </c>
      <c r="I509" s="1">
        <v>45125</v>
      </c>
      <c r="J509" t="s">
        <v>14</v>
      </c>
    </row>
    <row r="510" spans="1:10" x14ac:dyDescent="0.25">
      <c r="A510">
        <v>509</v>
      </c>
      <c r="B510" t="s">
        <v>25</v>
      </c>
      <c r="C510" t="s">
        <v>26</v>
      </c>
      <c r="D510" t="s">
        <v>12</v>
      </c>
      <c r="E510" t="s">
        <v>13</v>
      </c>
      <c r="F510">
        <v>482</v>
      </c>
      <c r="G510">
        <v>344.73</v>
      </c>
      <c r="H510">
        <v>138</v>
      </c>
      <c r="I510" s="1">
        <v>45892</v>
      </c>
      <c r="J510" t="s">
        <v>14</v>
      </c>
    </row>
    <row r="511" spans="1:10" x14ac:dyDescent="0.25">
      <c r="A511">
        <v>510</v>
      </c>
      <c r="B511" t="s">
        <v>33</v>
      </c>
      <c r="C511" t="s">
        <v>34</v>
      </c>
      <c r="D511" t="s">
        <v>21</v>
      </c>
      <c r="E511" t="s">
        <v>39</v>
      </c>
      <c r="F511">
        <v>194</v>
      </c>
      <c r="G511">
        <v>280.08999999999997</v>
      </c>
      <c r="H511">
        <v>101</v>
      </c>
      <c r="I511" s="1">
        <v>45192</v>
      </c>
      <c r="J511" t="s">
        <v>14</v>
      </c>
    </row>
    <row r="512" spans="1:10" x14ac:dyDescent="0.25">
      <c r="A512">
        <v>511</v>
      </c>
      <c r="B512" t="s">
        <v>36</v>
      </c>
      <c r="C512" t="s">
        <v>11</v>
      </c>
      <c r="D512" t="s">
        <v>21</v>
      </c>
      <c r="E512" t="s">
        <v>27</v>
      </c>
      <c r="F512">
        <v>404</v>
      </c>
      <c r="G512">
        <v>668.7</v>
      </c>
      <c r="H512">
        <v>60</v>
      </c>
      <c r="I512" s="1">
        <v>45549</v>
      </c>
      <c r="J512" t="s">
        <v>14</v>
      </c>
    </row>
    <row r="513" spans="1:10" x14ac:dyDescent="0.25">
      <c r="A513">
        <v>512</v>
      </c>
      <c r="B513" t="s">
        <v>31</v>
      </c>
      <c r="C513" t="s">
        <v>20</v>
      </c>
      <c r="D513" t="s">
        <v>21</v>
      </c>
      <c r="E513" t="s">
        <v>13</v>
      </c>
      <c r="F513">
        <v>216</v>
      </c>
      <c r="G513">
        <v>260.18</v>
      </c>
      <c r="H513">
        <v>128</v>
      </c>
      <c r="I513" s="1">
        <v>45288</v>
      </c>
      <c r="J513" t="s">
        <v>14</v>
      </c>
    </row>
    <row r="514" spans="1:10" x14ac:dyDescent="0.25">
      <c r="A514">
        <v>513</v>
      </c>
      <c r="B514" t="s">
        <v>47</v>
      </c>
      <c r="C514" t="s">
        <v>20</v>
      </c>
      <c r="D514" t="s">
        <v>17</v>
      </c>
      <c r="E514" t="s">
        <v>13</v>
      </c>
      <c r="F514">
        <v>1</v>
      </c>
      <c r="G514">
        <v>679.3</v>
      </c>
      <c r="H514">
        <v>146</v>
      </c>
      <c r="I514" s="1">
        <v>45576</v>
      </c>
      <c r="J514" t="s">
        <v>28</v>
      </c>
    </row>
    <row r="515" spans="1:10" x14ac:dyDescent="0.25">
      <c r="A515">
        <v>514</v>
      </c>
      <c r="B515" t="s">
        <v>33</v>
      </c>
      <c r="C515" t="s">
        <v>34</v>
      </c>
      <c r="D515" t="s">
        <v>12</v>
      </c>
      <c r="E515" t="s">
        <v>39</v>
      </c>
      <c r="F515">
        <v>367</v>
      </c>
      <c r="G515">
        <v>783.92</v>
      </c>
      <c r="H515">
        <v>63</v>
      </c>
      <c r="I515" s="1">
        <v>45721</v>
      </c>
      <c r="J515" t="s">
        <v>14</v>
      </c>
    </row>
    <row r="516" spans="1:10" x14ac:dyDescent="0.25">
      <c r="A516">
        <v>515</v>
      </c>
      <c r="B516" t="s">
        <v>54</v>
      </c>
      <c r="C516" t="s">
        <v>20</v>
      </c>
      <c r="D516" t="s">
        <v>30</v>
      </c>
      <c r="E516" t="s">
        <v>39</v>
      </c>
      <c r="F516">
        <v>154</v>
      </c>
      <c r="G516">
        <v>388.35</v>
      </c>
      <c r="H516">
        <v>87</v>
      </c>
      <c r="I516" s="1">
        <v>45006</v>
      </c>
      <c r="J516" t="s">
        <v>14</v>
      </c>
    </row>
    <row r="517" spans="1:10" x14ac:dyDescent="0.25">
      <c r="A517">
        <v>516</v>
      </c>
      <c r="B517" t="s">
        <v>36</v>
      </c>
      <c r="C517" t="s">
        <v>11</v>
      </c>
      <c r="D517" t="s">
        <v>17</v>
      </c>
      <c r="E517" t="s">
        <v>18</v>
      </c>
      <c r="F517">
        <v>423</v>
      </c>
      <c r="G517">
        <v>7.98</v>
      </c>
      <c r="H517">
        <v>87</v>
      </c>
      <c r="I517" s="1">
        <v>45234</v>
      </c>
      <c r="J517" t="s">
        <v>14</v>
      </c>
    </row>
    <row r="518" spans="1:10" x14ac:dyDescent="0.25">
      <c r="A518">
        <v>517</v>
      </c>
      <c r="B518" t="s">
        <v>31</v>
      </c>
      <c r="C518" t="s">
        <v>20</v>
      </c>
      <c r="D518" t="s">
        <v>30</v>
      </c>
      <c r="E518" t="s">
        <v>32</v>
      </c>
      <c r="F518">
        <v>327</v>
      </c>
      <c r="G518">
        <v>749.45</v>
      </c>
      <c r="H518">
        <v>67</v>
      </c>
      <c r="I518" s="1">
        <v>45804</v>
      </c>
      <c r="J518" t="s">
        <v>14</v>
      </c>
    </row>
    <row r="519" spans="1:10" x14ac:dyDescent="0.25">
      <c r="A519">
        <v>518</v>
      </c>
      <c r="B519" t="s">
        <v>38</v>
      </c>
      <c r="C519" t="s">
        <v>26</v>
      </c>
      <c r="D519" t="s">
        <v>21</v>
      </c>
      <c r="E519" t="s">
        <v>37</v>
      </c>
      <c r="F519">
        <v>196</v>
      </c>
      <c r="G519">
        <v>392.27</v>
      </c>
      <c r="H519">
        <v>54</v>
      </c>
      <c r="I519" s="1">
        <v>45288</v>
      </c>
      <c r="J519" t="s">
        <v>14</v>
      </c>
    </row>
    <row r="520" spans="1:10" x14ac:dyDescent="0.25">
      <c r="A520">
        <v>519</v>
      </c>
      <c r="B520" t="s">
        <v>35</v>
      </c>
      <c r="C520" t="s">
        <v>11</v>
      </c>
      <c r="D520" t="s">
        <v>17</v>
      </c>
      <c r="E520" t="s">
        <v>32</v>
      </c>
      <c r="F520">
        <v>474</v>
      </c>
      <c r="G520">
        <v>217.9</v>
      </c>
      <c r="H520">
        <v>100</v>
      </c>
      <c r="I520" s="1">
        <v>45271</v>
      </c>
      <c r="J520" t="s">
        <v>14</v>
      </c>
    </row>
    <row r="521" spans="1:10" x14ac:dyDescent="0.25">
      <c r="A521">
        <v>520</v>
      </c>
      <c r="B521" t="s">
        <v>10</v>
      </c>
      <c r="C521" t="s">
        <v>11</v>
      </c>
      <c r="D521" t="s">
        <v>21</v>
      </c>
      <c r="E521" t="s">
        <v>32</v>
      </c>
      <c r="F521">
        <v>97</v>
      </c>
      <c r="G521">
        <v>660.46</v>
      </c>
      <c r="H521">
        <v>88</v>
      </c>
      <c r="I521" s="1">
        <v>45583</v>
      </c>
      <c r="J521" t="s">
        <v>14</v>
      </c>
    </row>
    <row r="522" spans="1:10" x14ac:dyDescent="0.25">
      <c r="A522">
        <v>521</v>
      </c>
      <c r="B522" t="s">
        <v>54</v>
      </c>
      <c r="C522" t="s">
        <v>20</v>
      </c>
      <c r="D522" t="s">
        <v>17</v>
      </c>
      <c r="E522" t="s">
        <v>32</v>
      </c>
      <c r="F522">
        <v>315</v>
      </c>
      <c r="G522">
        <v>434.27</v>
      </c>
      <c r="H522">
        <v>103</v>
      </c>
      <c r="I522" s="1">
        <v>44977</v>
      </c>
      <c r="J522" t="s">
        <v>14</v>
      </c>
    </row>
    <row r="523" spans="1:10" x14ac:dyDescent="0.25">
      <c r="A523">
        <v>522</v>
      </c>
      <c r="B523" t="s">
        <v>52</v>
      </c>
      <c r="C523" t="s">
        <v>16</v>
      </c>
      <c r="D523" t="s">
        <v>30</v>
      </c>
      <c r="E523" t="s">
        <v>39</v>
      </c>
      <c r="F523">
        <v>458</v>
      </c>
      <c r="G523">
        <v>28.54</v>
      </c>
      <c r="H523">
        <v>125</v>
      </c>
      <c r="I523" s="1">
        <v>45947</v>
      </c>
      <c r="J523" t="s">
        <v>14</v>
      </c>
    </row>
    <row r="524" spans="1:10" x14ac:dyDescent="0.25">
      <c r="A524">
        <v>523</v>
      </c>
      <c r="B524" t="s">
        <v>45</v>
      </c>
      <c r="C524" t="s">
        <v>26</v>
      </c>
      <c r="D524" t="s">
        <v>17</v>
      </c>
      <c r="E524" t="s">
        <v>39</v>
      </c>
      <c r="F524">
        <v>462</v>
      </c>
      <c r="G524">
        <v>489.4</v>
      </c>
      <c r="H524">
        <v>67</v>
      </c>
      <c r="I524" s="1">
        <v>45810</v>
      </c>
      <c r="J524" t="s">
        <v>14</v>
      </c>
    </row>
    <row r="525" spans="1:10" x14ac:dyDescent="0.25">
      <c r="A525">
        <v>524</v>
      </c>
      <c r="B525" t="s">
        <v>33</v>
      </c>
      <c r="C525" t="s">
        <v>34</v>
      </c>
      <c r="D525" t="s">
        <v>24</v>
      </c>
      <c r="E525" t="s">
        <v>32</v>
      </c>
      <c r="F525">
        <v>468</v>
      </c>
      <c r="G525">
        <v>388.04</v>
      </c>
      <c r="H525">
        <v>132</v>
      </c>
      <c r="I525" s="1">
        <v>45408</v>
      </c>
      <c r="J525" t="s">
        <v>14</v>
      </c>
    </row>
    <row r="526" spans="1:10" x14ac:dyDescent="0.25">
      <c r="A526">
        <v>525</v>
      </c>
      <c r="B526" t="s">
        <v>51</v>
      </c>
      <c r="C526" t="s">
        <v>11</v>
      </c>
      <c r="D526" t="s">
        <v>12</v>
      </c>
      <c r="E526" t="s">
        <v>13</v>
      </c>
      <c r="F526">
        <v>106</v>
      </c>
      <c r="G526">
        <v>256.01</v>
      </c>
      <c r="H526">
        <v>58</v>
      </c>
      <c r="I526" s="1">
        <v>45494</v>
      </c>
      <c r="J526" t="s">
        <v>14</v>
      </c>
    </row>
    <row r="527" spans="1:10" x14ac:dyDescent="0.25">
      <c r="A527">
        <v>526</v>
      </c>
      <c r="B527" t="s">
        <v>51</v>
      </c>
      <c r="C527" t="s">
        <v>11</v>
      </c>
      <c r="D527" t="s">
        <v>21</v>
      </c>
      <c r="E527" t="s">
        <v>37</v>
      </c>
      <c r="F527">
        <v>382</v>
      </c>
      <c r="G527">
        <v>495.61</v>
      </c>
      <c r="H527">
        <v>88</v>
      </c>
      <c r="I527" s="1">
        <v>45968</v>
      </c>
      <c r="J527" t="s">
        <v>14</v>
      </c>
    </row>
    <row r="528" spans="1:10" x14ac:dyDescent="0.25">
      <c r="A528">
        <v>527</v>
      </c>
      <c r="B528" t="s">
        <v>53</v>
      </c>
      <c r="C528" t="s">
        <v>26</v>
      </c>
      <c r="D528" t="s">
        <v>12</v>
      </c>
      <c r="E528" t="s">
        <v>18</v>
      </c>
      <c r="F528">
        <v>54</v>
      </c>
      <c r="G528">
        <v>126.35</v>
      </c>
      <c r="H528">
        <v>59</v>
      </c>
      <c r="I528" s="1">
        <v>45045</v>
      </c>
      <c r="J528" t="s">
        <v>28</v>
      </c>
    </row>
    <row r="529" spans="1:10" x14ac:dyDescent="0.25">
      <c r="A529">
        <v>528</v>
      </c>
      <c r="B529" t="s">
        <v>23</v>
      </c>
      <c r="C529" t="s">
        <v>20</v>
      </c>
      <c r="D529" t="s">
        <v>12</v>
      </c>
      <c r="E529" t="s">
        <v>39</v>
      </c>
      <c r="F529">
        <v>140</v>
      </c>
      <c r="G529">
        <v>124.28</v>
      </c>
      <c r="H529">
        <v>81</v>
      </c>
      <c r="I529" s="1">
        <v>45377</v>
      </c>
      <c r="J529" t="s">
        <v>14</v>
      </c>
    </row>
    <row r="530" spans="1:10" x14ac:dyDescent="0.25">
      <c r="A530">
        <v>529</v>
      </c>
      <c r="B530" t="s">
        <v>50</v>
      </c>
      <c r="C530" t="s">
        <v>34</v>
      </c>
      <c r="D530" t="s">
        <v>30</v>
      </c>
      <c r="E530" t="s">
        <v>18</v>
      </c>
      <c r="F530">
        <v>7</v>
      </c>
      <c r="G530">
        <v>598.72</v>
      </c>
      <c r="H530">
        <v>54</v>
      </c>
      <c r="I530" s="1">
        <v>45187</v>
      </c>
      <c r="J530" t="s">
        <v>28</v>
      </c>
    </row>
    <row r="531" spans="1:10" x14ac:dyDescent="0.25">
      <c r="A531">
        <v>530</v>
      </c>
      <c r="B531" t="s">
        <v>33</v>
      </c>
      <c r="C531" t="s">
        <v>34</v>
      </c>
      <c r="D531" t="s">
        <v>30</v>
      </c>
      <c r="E531" t="s">
        <v>27</v>
      </c>
      <c r="F531">
        <v>154</v>
      </c>
      <c r="G531">
        <v>213.85</v>
      </c>
      <c r="H531">
        <v>116</v>
      </c>
      <c r="I531" s="1">
        <v>45245</v>
      </c>
      <c r="J531" t="s">
        <v>14</v>
      </c>
    </row>
    <row r="532" spans="1:10" x14ac:dyDescent="0.25">
      <c r="A532">
        <v>531</v>
      </c>
      <c r="B532" t="s">
        <v>15</v>
      </c>
      <c r="C532" t="s">
        <v>16</v>
      </c>
      <c r="D532" t="s">
        <v>12</v>
      </c>
      <c r="E532" t="s">
        <v>37</v>
      </c>
      <c r="F532">
        <v>259</v>
      </c>
      <c r="G532">
        <v>479.08</v>
      </c>
      <c r="H532">
        <v>55</v>
      </c>
      <c r="I532" s="1">
        <v>45724</v>
      </c>
      <c r="J532" t="s">
        <v>14</v>
      </c>
    </row>
    <row r="533" spans="1:10" x14ac:dyDescent="0.25">
      <c r="A533">
        <v>532</v>
      </c>
      <c r="B533" t="s">
        <v>53</v>
      </c>
      <c r="C533" t="s">
        <v>26</v>
      </c>
      <c r="D533" t="s">
        <v>12</v>
      </c>
      <c r="E533" t="s">
        <v>39</v>
      </c>
      <c r="F533">
        <v>124</v>
      </c>
      <c r="G533">
        <v>274.45</v>
      </c>
      <c r="H533">
        <v>87</v>
      </c>
      <c r="I533" s="1">
        <v>45201</v>
      </c>
      <c r="J533" t="s">
        <v>14</v>
      </c>
    </row>
    <row r="534" spans="1:10" x14ac:dyDescent="0.25">
      <c r="A534">
        <v>533</v>
      </c>
      <c r="B534" t="s">
        <v>25</v>
      </c>
      <c r="C534" t="s">
        <v>26</v>
      </c>
      <c r="D534" t="s">
        <v>30</v>
      </c>
      <c r="E534" t="s">
        <v>39</v>
      </c>
      <c r="F534">
        <v>5</v>
      </c>
      <c r="G534">
        <v>740.01</v>
      </c>
      <c r="H534">
        <v>68</v>
      </c>
      <c r="I534" s="1">
        <v>44938</v>
      </c>
      <c r="J534" t="s">
        <v>28</v>
      </c>
    </row>
    <row r="535" spans="1:10" x14ac:dyDescent="0.25">
      <c r="A535">
        <v>534</v>
      </c>
      <c r="B535" t="s">
        <v>47</v>
      </c>
      <c r="C535" t="s">
        <v>20</v>
      </c>
      <c r="D535" t="s">
        <v>21</v>
      </c>
      <c r="E535" t="s">
        <v>32</v>
      </c>
      <c r="F535">
        <v>205</v>
      </c>
      <c r="G535">
        <v>703.33</v>
      </c>
      <c r="H535">
        <v>78</v>
      </c>
      <c r="I535" s="1">
        <v>45189</v>
      </c>
      <c r="J535" t="s">
        <v>14</v>
      </c>
    </row>
    <row r="536" spans="1:10" x14ac:dyDescent="0.25">
      <c r="A536">
        <v>535</v>
      </c>
      <c r="B536" t="s">
        <v>41</v>
      </c>
      <c r="C536" t="s">
        <v>16</v>
      </c>
      <c r="D536" t="s">
        <v>12</v>
      </c>
      <c r="E536" t="s">
        <v>18</v>
      </c>
      <c r="F536">
        <v>45</v>
      </c>
      <c r="G536">
        <v>619.87</v>
      </c>
      <c r="H536">
        <v>87</v>
      </c>
      <c r="I536" s="1">
        <v>45749</v>
      </c>
      <c r="J536" t="s">
        <v>28</v>
      </c>
    </row>
    <row r="537" spans="1:10" x14ac:dyDescent="0.25">
      <c r="A537">
        <v>536</v>
      </c>
      <c r="B537" t="s">
        <v>48</v>
      </c>
      <c r="C537" t="s">
        <v>20</v>
      </c>
      <c r="D537" t="s">
        <v>21</v>
      </c>
      <c r="E537" t="s">
        <v>27</v>
      </c>
      <c r="F537">
        <v>360</v>
      </c>
      <c r="G537">
        <v>492.9</v>
      </c>
      <c r="H537">
        <v>148</v>
      </c>
      <c r="I537" s="1">
        <v>45449</v>
      </c>
      <c r="J537" t="s">
        <v>14</v>
      </c>
    </row>
    <row r="538" spans="1:10" x14ac:dyDescent="0.25">
      <c r="A538">
        <v>537</v>
      </c>
      <c r="B538" t="s">
        <v>52</v>
      </c>
      <c r="C538" t="s">
        <v>16</v>
      </c>
      <c r="D538" t="s">
        <v>12</v>
      </c>
      <c r="E538" t="s">
        <v>39</v>
      </c>
      <c r="F538">
        <v>169</v>
      </c>
      <c r="G538">
        <v>233.22</v>
      </c>
      <c r="H538">
        <v>100</v>
      </c>
      <c r="I538" s="1">
        <v>45453</v>
      </c>
      <c r="J538" t="s">
        <v>14</v>
      </c>
    </row>
    <row r="539" spans="1:10" x14ac:dyDescent="0.25">
      <c r="A539">
        <v>538</v>
      </c>
      <c r="B539" t="s">
        <v>15</v>
      </c>
      <c r="C539" t="s">
        <v>16</v>
      </c>
      <c r="D539" t="s">
        <v>30</v>
      </c>
      <c r="E539" t="s">
        <v>18</v>
      </c>
      <c r="F539">
        <v>176</v>
      </c>
      <c r="G539">
        <v>226.14</v>
      </c>
      <c r="H539">
        <v>116</v>
      </c>
      <c r="I539" s="1">
        <v>45293</v>
      </c>
      <c r="J539" t="s">
        <v>14</v>
      </c>
    </row>
    <row r="540" spans="1:10" x14ac:dyDescent="0.25">
      <c r="A540">
        <v>539</v>
      </c>
      <c r="B540" t="s">
        <v>42</v>
      </c>
      <c r="C540" t="s">
        <v>16</v>
      </c>
      <c r="D540" t="s">
        <v>17</v>
      </c>
      <c r="E540" t="s">
        <v>18</v>
      </c>
      <c r="F540">
        <v>414</v>
      </c>
      <c r="G540">
        <v>299.14</v>
      </c>
      <c r="H540">
        <v>131</v>
      </c>
      <c r="I540" s="1">
        <v>45846</v>
      </c>
      <c r="J540" t="s">
        <v>14</v>
      </c>
    </row>
    <row r="541" spans="1:10" x14ac:dyDescent="0.25">
      <c r="A541">
        <v>540</v>
      </c>
      <c r="B541" t="s">
        <v>43</v>
      </c>
      <c r="C541" t="s">
        <v>26</v>
      </c>
      <c r="D541" t="s">
        <v>24</v>
      </c>
      <c r="E541" t="s">
        <v>37</v>
      </c>
      <c r="F541">
        <v>136</v>
      </c>
      <c r="G541">
        <v>334.81</v>
      </c>
      <c r="H541">
        <v>90</v>
      </c>
      <c r="I541" s="1">
        <v>45380</v>
      </c>
      <c r="J541" t="s">
        <v>14</v>
      </c>
    </row>
    <row r="542" spans="1:10" x14ac:dyDescent="0.25">
      <c r="A542">
        <v>541</v>
      </c>
      <c r="B542" t="s">
        <v>38</v>
      </c>
      <c r="C542" t="s">
        <v>26</v>
      </c>
      <c r="D542" t="s">
        <v>21</v>
      </c>
      <c r="E542" t="s">
        <v>37</v>
      </c>
      <c r="F542">
        <v>113</v>
      </c>
      <c r="G542">
        <v>403.57</v>
      </c>
      <c r="H542">
        <v>67</v>
      </c>
      <c r="I542" s="1">
        <v>45522</v>
      </c>
      <c r="J542" t="s">
        <v>14</v>
      </c>
    </row>
    <row r="543" spans="1:10" x14ac:dyDescent="0.25">
      <c r="A543">
        <v>542</v>
      </c>
      <c r="B543" t="s">
        <v>31</v>
      </c>
      <c r="C543" t="s">
        <v>20</v>
      </c>
      <c r="D543" t="s">
        <v>30</v>
      </c>
      <c r="E543" t="s">
        <v>32</v>
      </c>
      <c r="F543">
        <v>399</v>
      </c>
      <c r="G543">
        <v>763.94</v>
      </c>
      <c r="H543">
        <v>94</v>
      </c>
      <c r="I543" s="1">
        <v>45139</v>
      </c>
      <c r="J543" t="s">
        <v>14</v>
      </c>
    </row>
    <row r="544" spans="1:10" x14ac:dyDescent="0.25">
      <c r="A544">
        <v>543</v>
      </c>
      <c r="B544" t="s">
        <v>19</v>
      </c>
      <c r="C544" t="s">
        <v>20</v>
      </c>
      <c r="D544" t="s">
        <v>17</v>
      </c>
      <c r="E544" t="s">
        <v>37</v>
      </c>
      <c r="F544">
        <v>281</v>
      </c>
      <c r="G544">
        <v>279.57</v>
      </c>
      <c r="H544">
        <v>56</v>
      </c>
      <c r="I544" s="1">
        <v>45685</v>
      </c>
      <c r="J544" t="s">
        <v>14</v>
      </c>
    </row>
    <row r="545" spans="1:10" x14ac:dyDescent="0.25">
      <c r="A545">
        <v>544</v>
      </c>
      <c r="B545" t="s">
        <v>50</v>
      </c>
      <c r="C545" t="s">
        <v>34</v>
      </c>
      <c r="D545" t="s">
        <v>30</v>
      </c>
      <c r="E545" t="s">
        <v>27</v>
      </c>
      <c r="F545">
        <v>484</v>
      </c>
      <c r="G545">
        <v>440.77</v>
      </c>
      <c r="H545">
        <v>91</v>
      </c>
      <c r="I545" s="1">
        <v>45194</v>
      </c>
      <c r="J545" t="s">
        <v>14</v>
      </c>
    </row>
    <row r="546" spans="1:10" x14ac:dyDescent="0.25">
      <c r="A546">
        <v>545</v>
      </c>
      <c r="B546" t="s">
        <v>46</v>
      </c>
      <c r="C546" t="s">
        <v>34</v>
      </c>
      <c r="D546" t="s">
        <v>17</v>
      </c>
      <c r="E546" t="s">
        <v>37</v>
      </c>
      <c r="F546">
        <v>12</v>
      </c>
      <c r="G546">
        <v>110.23</v>
      </c>
      <c r="H546">
        <v>84</v>
      </c>
      <c r="I546" s="1">
        <v>45264</v>
      </c>
      <c r="J546" t="s">
        <v>28</v>
      </c>
    </row>
    <row r="547" spans="1:10" x14ac:dyDescent="0.25">
      <c r="A547">
        <v>546</v>
      </c>
      <c r="B547" t="s">
        <v>49</v>
      </c>
      <c r="C547" t="s">
        <v>16</v>
      </c>
      <c r="D547" t="s">
        <v>17</v>
      </c>
      <c r="E547" t="s">
        <v>13</v>
      </c>
      <c r="F547">
        <v>314</v>
      </c>
      <c r="G547">
        <v>749.88</v>
      </c>
      <c r="H547">
        <v>95</v>
      </c>
      <c r="I547" s="1">
        <v>45268</v>
      </c>
      <c r="J547" t="s">
        <v>14</v>
      </c>
    </row>
    <row r="548" spans="1:10" x14ac:dyDescent="0.25">
      <c r="A548">
        <v>547</v>
      </c>
      <c r="B548" t="s">
        <v>54</v>
      </c>
      <c r="C548" t="s">
        <v>20</v>
      </c>
      <c r="D548" t="s">
        <v>12</v>
      </c>
      <c r="E548" t="s">
        <v>39</v>
      </c>
      <c r="F548">
        <v>343</v>
      </c>
      <c r="G548">
        <v>283.72000000000003</v>
      </c>
      <c r="H548">
        <v>136</v>
      </c>
      <c r="I548" s="1">
        <v>45338</v>
      </c>
      <c r="J548" t="s">
        <v>14</v>
      </c>
    </row>
    <row r="549" spans="1:10" x14ac:dyDescent="0.25">
      <c r="A549">
        <v>548</v>
      </c>
      <c r="B549" t="s">
        <v>44</v>
      </c>
      <c r="C549" t="s">
        <v>34</v>
      </c>
      <c r="D549" t="s">
        <v>24</v>
      </c>
      <c r="E549" t="s">
        <v>37</v>
      </c>
      <c r="F549">
        <v>220</v>
      </c>
      <c r="G549">
        <v>542.29</v>
      </c>
      <c r="H549">
        <v>76</v>
      </c>
      <c r="I549" s="1">
        <v>45212</v>
      </c>
      <c r="J549" t="s">
        <v>14</v>
      </c>
    </row>
    <row r="550" spans="1:10" x14ac:dyDescent="0.25">
      <c r="A550">
        <v>549</v>
      </c>
      <c r="B550" t="s">
        <v>48</v>
      </c>
      <c r="C550" t="s">
        <v>20</v>
      </c>
      <c r="D550" t="s">
        <v>24</v>
      </c>
      <c r="E550" t="s">
        <v>39</v>
      </c>
      <c r="F550">
        <v>463</v>
      </c>
      <c r="G550">
        <v>750.48</v>
      </c>
      <c r="H550">
        <v>103</v>
      </c>
      <c r="I550" s="1">
        <v>45509</v>
      </c>
      <c r="J550" t="s">
        <v>14</v>
      </c>
    </row>
    <row r="551" spans="1:10" x14ac:dyDescent="0.25">
      <c r="A551">
        <v>550</v>
      </c>
      <c r="B551" t="s">
        <v>38</v>
      </c>
      <c r="C551" t="s">
        <v>26</v>
      </c>
      <c r="D551" t="s">
        <v>30</v>
      </c>
      <c r="E551" t="s">
        <v>13</v>
      </c>
      <c r="F551">
        <v>134</v>
      </c>
      <c r="G551">
        <v>19.170000000000002</v>
      </c>
      <c r="H551">
        <v>133</v>
      </c>
      <c r="I551" s="1">
        <v>45840</v>
      </c>
      <c r="J551" t="s">
        <v>14</v>
      </c>
    </row>
    <row r="552" spans="1:10" x14ac:dyDescent="0.25">
      <c r="A552">
        <v>551</v>
      </c>
      <c r="B552" t="s">
        <v>41</v>
      </c>
      <c r="C552" t="s">
        <v>16</v>
      </c>
      <c r="D552" t="s">
        <v>30</v>
      </c>
      <c r="E552" t="s">
        <v>13</v>
      </c>
      <c r="F552">
        <v>323</v>
      </c>
      <c r="G552">
        <v>468.91</v>
      </c>
      <c r="H552">
        <v>123</v>
      </c>
      <c r="I552" s="1">
        <v>45573</v>
      </c>
      <c r="J552" t="s">
        <v>14</v>
      </c>
    </row>
    <row r="553" spans="1:10" x14ac:dyDescent="0.25">
      <c r="A553">
        <v>552</v>
      </c>
      <c r="B553" t="s">
        <v>44</v>
      </c>
      <c r="C553" t="s">
        <v>34</v>
      </c>
      <c r="D553" t="s">
        <v>12</v>
      </c>
      <c r="E553" t="s">
        <v>39</v>
      </c>
      <c r="F553">
        <v>413</v>
      </c>
      <c r="G553">
        <v>132.71</v>
      </c>
      <c r="H553">
        <v>123</v>
      </c>
      <c r="I553" s="1">
        <v>45879</v>
      </c>
      <c r="J553" t="s">
        <v>14</v>
      </c>
    </row>
    <row r="554" spans="1:10" x14ac:dyDescent="0.25">
      <c r="A554">
        <v>553</v>
      </c>
      <c r="B554" t="s">
        <v>36</v>
      </c>
      <c r="C554" t="s">
        <v>11</v>
      </c>
      <c r="D554" t="s">
        <v>17</v>
      </c>
      <c r="E554" t="s">
        <v>39</v>
      </c>
      <c r="F554">
        <v>411</v>
      </c>
      <c r="G554">
        <v>330.13</v>
      </c>
      <c r="H554">
        <v>81</v>
      </c>
      <c r="I554" s="1">
        <v>45536</v>
      </c>
      <c r="J554" t="s">
        <v>14</v>
      </c>
    </row>
    <row r="555" spans="1:10" x14ac:dyDescent="0.25">
      <c r="A555">
        <v>554</v>
      </c>
      <c r="B555" t="s">
        <v>22</v>
      </c>
      <c r="C555" t="s">
        <v>11</v>
      </c>
      <c r="D555" t="s">
        <v>17</v>
      </c>
      <c r="E555" t="s">
        <v>37</v>
      </c>
      <c r="F555">
        <v>402</v>
      </c>
      <c r="G555">
        <v>193.88</v>
      </c>
      <c r="H555">
        <v>63</v>
      </c>
      <c r="I555" s="1">
        <v>45269</v>
      </c>
      <c r="J555" t="s">
        <v>14</v>
      </c>
    </row>
    <row r="556" spans="1:10" x14ac:dyDescent="0.25">
      <c r="A556">
        <v>555</v>
      </c>
      <c r="B556" t="s">
        <v>54</v>
      </c>
      <c r="C556" t="s">
        <v>20</v>
      </c>
      <c r="D556" t="s">
        <v>21</v>
      </c>
      <c r="E556" t="s">
        <v>13</v>
      </c>
      <c r="F556">
        <v>233</v>
      </c>
      <c r="G556">
        <v>244.06</v>
      </c>
      <c r="H556">
        <v>147</v>
      </c>
      <c r="I556" s="1">
        <v>45304</v>
      </c>
      <c r="J556" t="s">
        <v>14</v>
      </c>
    </row>
    <row r="557" spans="1:10" x14ac:dyDescent="0.25">
      <c r="A557">
        <v>556</v>
      </c>
      <c r="B557" t="s">
        <v>43</v>
      </c>
      <c r="C557" t="s">
        <v>26</v>
      </c>
      <c r="D557" t="s">
        <v>21</v>
      </c>
      <c r="E557" t="s">
        <v>37</v>
      </c>
      <c r="F557">
        <v>487</v>
      </c>
      <c r="G557">
        <v>745.06</v>
      </c>
      <c r="H557">
        <v>89</v>
      </c>
      <c r="I557" s="1">
        <v>45336</v>
      </c>
      <c r="J557" t="s">
        <v>14</v>
      </c>
    </row>
    <row r="558" spans="1:10" x14ac:dyDescent="0.25">
      <c r="A558">
        <v>557</v>
      </c>
      <c r="B558" t="s">
        <v>15</v>
      </c>
      <c r="C558" t="s">
        <v>16</v>
      </c>
      <c r="D558" t="s">
        <v>17</v>
      </c>
      <c r="E558" t="s">
        <v>39</v>
      </c>
      <c r="F558">
        <v>340</v>
      </c>
      <c r="G558">
        <v>434.72</v>
      </c>
      <c r="H558">
        <v>125</v>
      </c>
      <c r="I558" s="1">
        <v>45733</v>
      </c>
      <c r="J558" t="s">
        <v>14</v>
      </c>
    </row>
    <row r="559" spans="1:10" x14ac:dyDescent="0.25">
      <c r="A559">
        <v>558</v>
      </c>
      <c r="B559" t="s">
        <v>10</v>
      </c>
      <c r="C559" t="s">
        <v>11</v>
      </c>
      <c r="D559" t="s">
        <v>30</v>
      </c>
      <c r="E559" t="s">
        <v>18</v>
      </c>
      <c r="F559">
        <v>77</v>
      </c>
      <c r="G559">
        <v>119.53</v>
      </c>
      <c r="H559">
        <v>134</v>
      </c>
      <c r="I559" s="1">
        <v>45599</v>
      </c>
      <c r="J559" t="s">
        <v>28</v>
      </c>
    </row>
    <row r="560" spans="1:10" x14ac:dyDescent="0.25">
      <c r="A560">
        <v>559</v>
      </c>
      <c r="B560" t="s">
        <v>35</v>
      </c>
      <c r="C560" t="s">
        <v>11</v>
      </c>
      <c r="D560" t="s">
        <v>30</v>
      </c>
      <c r="E560" t="s">
        <v>39</v>
      </c>
      <c r="F560">
        <v>396</v>
      </c>
      <c r="G560">
        <v>364.97</v>
      </c>
      <c r="H560">
        <v>81</v>
      </c>
      <c r="I560" s="1">
        <v>45212</v>
      </c>
      <c r="J560" t="s">
        <v>14</v>
      </c>
    </row>
    <row r="561" spans="1:10" x14ac:dyDescent="0.25">
      <c r="A561">
        <v>560</v>
      </c>
      <c r="B561" t="s">
        <v>40</v>
      </c>
      <c r="C561" t="s">
        <v>34</v>
      </c>
      <c r="D561" t="s">
        <v>12</v>
      </c>
      <c r="E561" t="s">
        <v>18</v>
      </c>
      <c r="F561">
        <v>22</v>
      </c>
      <c r="G561">
        <v>342.82</v>
      </c>
      <c r="H561">
        <v>66</v>
      </c>
      <c r="I561" s="1">
        <v>45008</v>
      </c>
      <c r="J561" t="s">
        <v>28</v>
      </c>
    </row>
    <row r="562" spans="1:10" x14ac:dyDescent="0.25">
      <c r="A562">
        <v>561</v>
      </c>
      <c r="B562" t="s">
        <v>33</v>
      </c>
      <c r="C562" t="s">
        <v>34</v>
      </c>
      <c r="D562" t="s">
        <v>17</v>
      </c>
      <c r="E562" t="s">
        <v>18</v>
      </c>
      <c r="F562">
        <v>261</v>
      </c>
      <c r="G562">
        <v>692.34</v>
      </c>
      <c r="H562">
        <v>133</v>
      </c>
      <c r="I562" s="1">
        <v>45355</v>
      </c>
      <c r="J562" t="s">
        <v>14</v>
      </c>
    </row>
    <row r="563" spans="1:10" x14ac:dyDescent="0.25">
      <c r="A563">
        <v>562</v>
      </c>
      <c r="B563" t="s">
        <v>42</v>
      </c>
      <c r="C563" t="s">
        <v>16</v>
      </c>
      <c r="D563" t="s">
        <v>17</v>
      </c>
      <c r="E563" t="s">
        <v>37</v>
      </c>
      <c r="F563">
        <v>296</v>
      </c>
      <c r="G563">
        <v>288.05</v>
      </c>
      <c r="H563">
        <v>106</v>
      </c>
      <c r="I563" s="1">
        <v>45156</v>
      </c>
      <c r="J563" t="s">
        <v>14</v>
      </c>
    </row>
    <row r="564" spans="1:10" x14ac:dyDescent="0.25">
      <c r="A564">
        <v>563</v>
      </c>
      <c r="B564" t="s">
        <v>51</v>
      </c>
      <c r="C564" t="s">
        <v>11</v>
      </c>
      <c r="D564" t="s">
        <v>24</v>
      </c>
      <c r="E564" t="s">
        <v>18</v>
      </c>
      <c r="F564">
        <v>58</v>
      </c>
      <c r="G564">
        <v>731.76</v>
      </c>
      <c r="H564">
        <v>74</v>
      </c>
      <c r="I564" s="1">
        <v>45262</v>
      </c>
      <c r="J564" t="s">
        <v>28</v>
      </c>
    </row>
    <row r="565" spans="1:10" x14ac:dyDescent="0.25">
      <c r="A565">
        <v>564</v>
      </c>
      <c r="B565" t="s">
        <v>47</v>
      </c>
      <c r="C565" t="s">
        <v>20</v>
      </c>
      <c r="D565" t="s">
        <v>30</v>
      </c>
      <c r="E565" t="s">
        <v>13</v>
      </c>
      <c r="F565">
        <v>374</v>
      </c>
      <c r="G565">
        <v>315.37</v>
      </c>
      <c r="H565">
        <v>104</v>
      </c>
      <c r="I565" s="1">
        <v>45814</v>
      </c>
      <c r="J565" t="s">
        <v>14</v>
      </c>
    </row>
    <row r="566" spans="1:10" x14ac:dyDescent="0.25">
      <c r="A566">
        <v>565</v>
      </c>
      <c r="B566" t="s">
        <v>42</v>
      </c>
      <c r="C566" t="s">
        <v>16</v>
      </c>
      <c r="D566" t="s">
        <v>24</v>
      </c>
      <c r="E566" t="s">
        <v>32</v>
      </c>
      <c r="F566">
        <v>395</v>
      </c>
      <c r="G566">
        <v>574.80999999999995</v>
      </c>
      <c r="H566">
        <v>84</v>
      </c>
      <c r="I566" s="1">
        <v>45518</v>
      </c>
      <c r="J566" t="s">
        <v>14</v>
      </c>
    </row>
    <row r="567" spans="1:10" x14ac:dyDescent="0.25">
      <c r="A567">
        <v>566</v>
      </c>
      <c r="B567" t="s">
        <v>10</v>
      </c>
      <c r="C567" t="s">
        <v>11</v>
      </c>
      <c r="D567" t="s">
        <v>24</v>
      </c>
      <c r="E567" t="s">
        <v>27</v>
      </c>
      <c r="F567">
        <v>395</v>
      </c>
      <c r="G567">
        <v>659.63</v>
      </c>
      <c r="H567">
        <v>90</v>
      </c>
      <c r="I567" s="1">
        <v>45472</v>
      </c>
      <c r="J567" t="s">
        <v>14</v>
      </c>
    </row>
    <row r="568" spans="1:10" x14ac:dyDescent="0.25">
      <c r="A568">
        <v>567</v>
      </c>
      <c r="B568" t="s">
        <v>15</v>
      </c>
      <c r="C568" t="s">
        <v>16</v>
      </c>
      <c r="D568" t="s">
        <v>24</v>
      </c>
      <c r="E568" t="s">
        <v>18</v>
      </c>
      <c r="F568">
        <v>239</v>
      </c>
      <c r="G568">
        <v>423.17</v>
      </c>
      <c r="H568">
        <v>130</v>
      </c>
      <c r="I568" s="1">
        <v>44966</v>
      </c>
      <c r="J568" t="s">
        <v>14</v>
      </c>
    </row>
    <row r="569" spans="1:10" x14ac:dyDescent="0.25">
      <c r="A569">
        <v>568</v>
      </c>
      <c r="B569" t="s">
        <v>46</v>
      </c>
      <c r="C569" t="s">
        <v>34</v>
      </c>
      <c r="D569" t="s">
        <v>12</v>
      </c>
      <c r="E569" t="s">
        <v>37</v>
      </c>
      <c r="F569">
        <v>363</v>
      </c>
      <c r="G569">
        <v>688.63</v>
      </c>
      <c r="H569">
        <v>122</v>
      </c>
      <c r="I569" s="1">
        <v>45990</v>
      </c>
      <c r="J569" t="s">
        <v>14</v>
      </c>
    </row>
    <row r="570" spans="1:10" x14ac:dyDescent="0.25">
      <c r="A570">
        <v>569</v>
      </c>
      <c r="B570" t="s">
        <v>42</v>
      </c>
      <c r="C570" t="s">
        <v>16</v>
      </c>
      <c r="D570" t="s">
        <v>12</v>
      </c>
      <c r="E570" t="s">
        <v>37</v>
      </c>
      <c r="F570">
        <v>79</v>
      </c>
      <c r="G570">
        <v>491.71</v>
      </c>
      <c r="H570">
        <v>144</v>
      </c>
      <c r="I570" s="1">
        <v>45730</v>
      </c>
      <c r="J570" t="s">
        <v>28</v>
      </c>
    </row>
    <row r="571" spans="1:10" x14ac:dyDescent="0.25">
      <c r="A571">
        <v>570</v>
      </c>
      <c r="B571" t="s">
        <v>25</v>
      </c>
      <c r="C571" t="s">
        <v>26</v>
      </c>
      <c r="D571" t="s">
        <v>21</v>
      </c>
      <c r="E571" t="s">
        <v>18</v>
      </c>
      <c r="F571">
        <v>337</v>
      </c>
      <c r="G571">
        <v>295.08999999999997</v>
      </c>
      <c r="H571">
        <v>58</v>
      </c>
      <c r="I571" s="1">
        <v>45421</v>
      </c>
      <c r="J571" t="s">
        <v>14</v>
      </c>
    </row>
    <row r="572" spans="1:10" x14ac:dyDescent="0.25">
      <c r="A572">
        <v>571</v>
      </c>
      <c r="B572" t="s">
        <v>45</v>
      </c>
      <c r="C572" t="s">
        <v>26</v>
      </c>
      <c r="D572" t="s">
        <v>17</v>
      </c>
      <c r="E572" t="s">
        <v>27</v>
      </c>
      <c r="F572">
        <v>233</v>
      </c>
      <c r="G572">
        <v>83.3</v>
      </c>
      <c r="H572">
        <v>72</v>
      </c>
      <c r="I572" s="1">
        <v>45543</v>
      </c>
      <c r="J572" t="s">
        <v>14</v>
      </c>
    </row>
    <row r="573" spans="1:10" x14ac:dyDescent="0.25">
      <c r="A573">
        <v>572</v>
      </c>
      <c r="B573" t="s">
        <v>46</v>
      </c>
      <c r="C573" t="s">
        <v>34</v>
      </c>
      <c r="D573" t="s">
        <v>12</v>
      </c>
      <c r="E573" t="s">
        <v>32</v>
      </c>
      <c r="F573">
        <v>369</v>
      </c>
      <c r="G573">
        <v>756.86</v>
      </c>
      <c r="H573">
        <v>136</v>
      </c>
      <c r="I573" s="1">
        <v>45057</v>
      </c>
      <c r="J573" t="s">
        <v>14</v>
      </c>
    </row>
    <row r="574" spans="1:10" x14ac:dyDescent="0.25">
      <c r="A574">
        <v>573</v>
      </c>
      <c r="B574" t="s">
        <v>43</v>
      </c>
      <c r="C574" t="s">
        <v>26</v>
      </c>
      <c r="D574" t="s">
        <v>30</v>
      </c>
      <c r="E574" t="s">
        <v>13</v>
      </c>
      <c r="F574">
        <v>423</v>
      </c>
      <c r="G574">
        <v>734.1</v>
      </c>
      <c r="H574">
        <v>50</v>
      </c>
      <c r="I574" s="1">
        <v>45541</v>
      </c>
      <c r="J574" t="s">
        <v>14</v>
      </c>
    </row>
    <row r="575" spans="1:10" x14ac:dyDescent="0.25">
      <c r="A575">
        <v>574</v>
      </c>
      <c r="B575" t="s">
        <v>47</v>
      </c>
      <c r="C575" t="s">
        <v>20</v>
      </c>
      <c r="D575" t="s">
        <v>30</v>
      </c>
      <c r="E575" t="s">
        <v>18</v>
      </c>
      <c r="F575">
        <v>438</v>
      </c>
      <c r="G575">
        <v>572.41999999999996</v>
      </c>
      <c r="H575">
        <v>139</v>
      </c>
      <c r="I575" s="1">
        <v>45363</v>
      </c>
      <c r="J575" t="s">
        <v>14</v>
      </c>
    </row>
    <row r="576" spans="1:10" x14ac:dyDescent="0.25">
      <c r="A576">
        <v>575</v>
      </c>
      <c r="B576" t="s">
        <v>23</v>
      </c>
      <c r="C576" t="s">
        <v>20</v>
      </c>
      <c r="D576" t="s">
        <v>21</v>
      </c>
      <c r="E576" t="s">
        <v>27</v>
      </c>
      <c r="F576">
        <v>206</v>
      </c>
      <c r="G576">
        <v>313.89999999999998</v>
      </c>
      <c r="H576">
        <v>144</v>
      </c>
      <c r="I576" s="1">
        <v>45214</v>
      </c>
      <c r="J576" t="s">
        <v>14</v>
      </c>
    </row>
    <row r="577" spans="1:10" x14ac:dyDescent="0.25">
      <c r="A577">
        <v>576</v>
      </c>
      <c r="B577" t="s">
        <v>35</v>
      </c>
      <c r="C577" t="s">
        <v>11</v>
      </c>
      <c r="D577" t="s">
        <v>30</v>
      </c>
      <c r="E577" t="s">
        <v>27</v>
      </c>
      <c r="F577">
        <v>463</v>
      </c>
      <c r="G577">
        <v>51.28</v>
      </c>
      <c r="H577">
        <v>63</v>
      </c>
      <c r="I577" s="1">
        <v>45221</v>
      </c>
      <c r="J577" t="s">
        <v>14</v>
      </c>
    </row>
    <row r="578" spans="1:10" x14ac:dyDescent="0.25">
      <c r="A578">
        <v>577</v>
      </c>
      <c r="B578" t="s">
        <v>54</v>
      </c>
      <c r="C578" t="s">
        <v>20</v>
      </c>
      <c r="D578" t="s">
        <v>24</v>
      </c>
      <c r="E578" t="s">
        <v>27</v>
      </c>
      <c r="F578">
        <v>208</v>
      </c>
      <c r="G578">
        <v>410.03</v>
      </c>
      <c r="H578">
        <v>103</v>
      </c>
      <c r="I578" s="1">
        <v>45428</v>
      </c>
      <c r="J578" t="s">
        <v>14</v>
      </c>
    </row>
    <row r="579" spans="1:10" x14ac:dyDescent="0.25">
      <c r="A579">
        <v>578</v>
      </c>
      <c r="B579" t="s">
        <v>45</v>
      </c>
      <c r="C579" t="s">
        <v>26</v>
      </c>
      <c r="D579" t="s">
        <v>21</v>
      </c>
      <c r="E579" t="s">
        <v>32</v>
      </c>
      <c r="F579">
        <v>498</v>
      </c>
      <c r="G579">
        <v>530.64</v>
      </c>
      <c r="H579">
        <v>61</v>
      </c>
      <c r="I579" s="1">
        <v>45733</v>
      </c>
      <c r="J579" t="s">
        <v>14</v>
      </c>
    </row>
    <row r="580" spans="1:10" x14ac:dyDescent="0.25">
      <c r="A580">
        <v>579</v>
      </c>
      <c r="B580" t="s">
        <v>51</v>
      </c>
      <c r="C580" t="s">
        <v>11</v>
      </c>
      <c r="D580" t="s">
        <v>24</v>
      </c>
      <c r="E580" t="s">
        <v>32</v>
      </c>
      <c r="F580">
        <v>354</v>
      </c>
      <c r="G580">
        <v>239.66</v>
      </c>
      <c r="H580">
        <v>76</v>
      </c>
      <c r="I580" s="1">
        <v>45366</v>
      </c>
      <c r="J580" t="s">
        <v>14</v>
      </c>
    </row>
    <row r="581" spans="1:10" x14ac:dyDescent="0.25">
      <c r="A581">
        <v>580</v>
      </c>
      <c r="B581" t="s">
        <v>44</v>
      </c>
      <c r="C581" t="s">
        <v>34</v>
      </c>
      <c r="D581" t="s">
        <v>30</v>
      </c>
      <c r="E581" t="s">
        <v>18</v>
      </c>
      <c r="F581">
        <v>347</v>
      </c>
      <c r="G581">
        <v>360.28</v>
      </c>
      <c r="H581">
        <v>75</v>
      </c>
      <c r="I581" s="1">
        <v>45804</v>
      </c>
      <c r="J581" t="s">
        <v>14</v>
      </c>
    </row>
    <row r="582" spans="1:10" x14ac:dyDescent="0.25">
      <c r="A582">
        <v>581</v>
      </c>
      <c r="B582" t="s">
        <v>35</v>
      </c>
      <c r="C582" t="s">
        <v>11</v>
      </c>
      <c r="D582" t="s">
        <v>12</v>
      </c>
      <c r="E582" t="s">
        <v>18</v>
      </c>
      <c r="F582">
        <v>393</v>
      </c>
      <c r="G582">
        <v>137</v>
      </c>
      <c r="H582">
        <v>141</v>
      </c>
      <c r="I582" s="1">
        <v>45784</v>
      </c>
      <c r="J582" t="s">
        <v>14</v>
      </c>
    </row>
    <row r="583" spans="1:10" x14ac:dyDescent="0.25">
      <c r="A583">
        <v>582</v>
      </c>
      <c r="B583" t="s">
        <v>41</v>
      </c>
      <c r="C583" t="s">
        <v>16</v>
      </c>
      <c r="D583" t="s">
        <v>12</v>
      </c>
      <c r="E583" t="s">
        <v>39</v>
      </c>
      <c r="F583">
        <v>286</v>
      </c>
      <c r="G583">
        <v>146.38999999999999</v>
      </c>
      <c r="H583">
        <v>142</v>
      </c>
      <c r="I583" s="1">
        <v>45645</v>
      </c>
      <c r="J583" t="s">
        <v>14</v>
      </c>
    </row>
    <row r="584" spans="1:10" x14ac:dyDescent="0.25">
      <c r="A584">
        <v>583</v>
      </c>
      <c r="B584" t="s">
        <v>45</v>
      </c>
      <c r="C584" t="s">
        <v>26</v>
      </c>
      <c r="D584" t="s">
        <v>21</v>
      </c>
      <c r="E584" t="s">
        <v>18</v>
      </c>
      <c r="F584">
        <v>81</v>
      </c>
      <c r="G584">
        <v>32.74</v>
      </c>
      <c r="H584">
        <v>130</v>
      </c>
      <c r="I584" s="1">
        <v>45088</v>
      </c>
      <c r="J584" t="s">
        <v>28</v>
      </c>
    </row>
    <row r="585" spans="1:10" x14ac:dyDescent="0.25">
      <c r="A585">
        <v>584</v>
      </c>
      <c r="B585" t="s">
        <v>51</v>
      </c>
      <c r="C585" t="s">
        <v>11</v>
      </c>
      <c r="D585" t="s">
        <v>21</v>
      </c>
      <c r="E585" t="s">
        <v>39</v>
      </c>
      <c r="F585">
        <v>25</v>
      </c>
      <c r="G585">
        <v>18.46</v>
      </c>
      <c r="H585">
        <v>94</v>
      </c>
      <c r="I585" s="1">
        <v>45143</v>
      </c>
      <c r="J585" t="s">
        <v>28</v>
      </c>
    </row>
    <row r="586" spans="1:10" x14ac:dyDescent="0.25">
      <c r="A586">
        <v>585</v>
      </c>
      <c r="B586" t="s">
        <v>19</v>
      </c>
      <c r="C586" t="s">
        <v>20</v>
      </c>
      <c r="D586" t="s">
        <v>30</v>
      </c>
      <c r="E586" t="s">
        <v>18</v>
      </c>
      <c r="F586">
        <v>98</v>
      </c>
      <c r="G586">
        <v>256.68</v>
      </c>
      <c r="H586">
        <v>106</v>
      </c>
      <c r="I586" s="1">
        <v>45432</v>
      </c>
      <c r="J586" t="s">
        <v>28</v>
      </c>
    </row>
    <row r="587" spans="1:10" x14ac:dyDescent="0.25">
      <c r="A587">
        <v>586</v>
      </c>
      <c r="B587" t="s">
        <v>35</v>
      </c>
      <c r="C587" t="s">
        <v>11</v>
      </c>
      <c r="D587" t="s">
        <v>17</v>
      </c>
      <c r="E587" t="s">
        <v>18</v>
      </c>
      <c r="F587">
        <v>407</v>
      </c>
      <c r="G587">
        <v>220.41</v>
      </c>
      <c r="H587">
        <v>128</v>
      </c>
      <c r="I587" s="1">
        <v>45188</v>
      </c>
      <c r="J587" t="s">
        <v>14</v>
      </c>
    </row>
    <row r="588" spans="1:10" x14ac:dyDescent="0.25">
      <c r="A588">
        <v>587</v>
      </c>
      <c r="B588" t="s">
        <v>15</v>
      </c>
      <c r="C588" t="s">
        <v>16</v>
      </c>
      <c r="D588" t="s">
        <v>30</v>
      </c>
      <c r="E588" t="s">
        <v>39</v>
      </c>
      <c r="F588">
        <v>165</v>
      </c>
      <c r="G588">
        <v>502.89</v>
      </c>
      <c r="H588">
        <v>93</v>
      </c>
      <c r="I588" s="1">
        <v>45869</v>
      </c>
      <c r="J588" t="s">
        <v>14</v>
      </c>
    </row>
    <row r="589" spans="1:10" x14ac:dyDescent="0.25">
      <c r="A589">
        <v>588</v>
      </c>
      <c r="B589" t="s">
        <v>15</v>
      </c>
      <c r="C589" t="s">
        <v>16</v>
      </c>
      <c r="D589" t="s">
        <v>30</v>
      </c>
      <c r="E589" t="s">
        <v>39</v>
      </c>
      <c r="F589">
        <v>23</v>
      </c>
      <c r="G589">
        <v>538.42999999999995</v>
      </c>
      <c r="H589">
        <v>116</v>
      </c>
      <c r="I589" s="1">
        <v>45642</v>
      </c>
      <c r="J589" t="s">
        <v>28</v>
      </c>
    </row>
    <row r="590" spans="1:10" x14ac:dyDescent="0.25">
      <c r="A590">
        <v>589</v>
      </c>
      <c r="B590" t="s">
        <v>50</v>
      </c>
      <c r="C590" t="s">
        <v>34</v>
      </c>
      <c r="D590" t="s">
        <v>17</v>
      </c>
      <c r="E590" t="s">
        <v>18</v>
      </c>
      <c r="F590">
        <v>18</v>
      </c>
      <c r="G590">
        <v>187.5</v>
      </c>
      <c r="H590">
        <v>50</v>
      </c>
      <c r="I590" s="1">
        <v>46006</v>
      </c>
      <c r="J590" t="s">
        <v>28</v>
      </c>
    </row>
    <row r="591" spans="1:10" x14ac:dyDescent="0.25">
      <c r="A591">
        <v>590</v>
      </c>
      <c r="B591" t="s">
        <v>45</v>
      </c>
      <c r="C591" t="s">
        <v>26</v>
      </c>
      <c r="D591" t="s">
        <v>17</v>
      </c>
      <c r="E591" t="s">
        <v>39</v>
      </c>
      <c r="F591">
        <v>364</v>
      </c>
      <c r="G591">
        <v>221.64</v>
      </c>
      <c r="H591">
        <v>56</v>
      </c>
      <c r="I591" s="1">
        <v>45425</v>
      </c>
      <c r="J591" t="s">
        <v>14</v>
      </c>
    </row>
    <row r="592" spans="1:10" x14ac:dyDescent="0.25">
      <c r="A592">
        <v>591</v>
      </c>
      <c r="B592" t="s">
        <v>25</v>
      </c>
      <c r="C592" t="s">
        <v>26</v>
      </c>
      <c r="D592" t="s">
        <v>30</v>
      </c>
      <c r="E592" t="s">
        <v>13</v>
      </c>
      <c r="F592">
        <v>145</v>
      </c>
      <c r="G592">
        <v>67.63</v>
      </c>
      <c r="H592">
        <v>120</v>
      </c>
      <c r="I592" s="1">
        <v>45277</v>
      </c>
      <c r="J592" t="s">
        <v>14</v>
      </c>
    </row>
    <row r="593" spans="1:10" x14ac:dyDescent="0.25">
      <c r="A593">
        <v>592</v>
      </c>
      <c r="B593" t="s">
        <v>19</v>
      </c>
      <c r="C593" t="s">
        <v>20</v>
      </c>
      <c r="D593" t="s">
        <v>17</v>
      </c>
      <c r="E593" t="s">
        <v>27</v>
      </c>
      <c r="F593">
        <v>406</v>
      </c>
      <c r="G593">
        <v>515.77</v>
      </c>
      <c r="H593">
        <v>79</v>
      </c>
      <c r="I593" s="1">
        <v>45358</v>
      </c>
      <c r="J593" t="s">
        <v>14</v>
      </c>
    </row>
    <row r="594" spans="1:10" x14ac:dyDescent="0.25">
      <c r="A594">
        <v>593</v>
      </c>
      <c r="B594" t="s">
        <v>50</v>
      </c>
      <c r="C594" t="s">
        <v>34</v>
      </c>
      <c r="D594" t="s">
        <v>24</v>
      </c>
      <c r="E594" t="s">
        <v>13</v>
      </c>
      <c r="F594">
        <v>83</v>
      </c>
      <c r="G594">
        <v>277.10000000000002</v>
      </c>
      <c r="H594">
        <v>118</v>
      </c>
      <c r="I594" s="1">
        <v>45112</v>
      </c>
      <c r="J594" t="s">
        <v>28</v>
      </c>
    </row>
    <row r="595" spans="1:10" x14ac:dyDescent="0.25">
      <c r="A595">
        <v>594</v>
      </c>
      <c r="B595" t="s">
        <v>36</v>
      </c>
      <c r="C595" t="s">
        <v>11</v>
      </c>
      <c r="D595" t="s">
        <v>12</v>
      </c>
      <c r="E595" t="s">
        <v>32</v>
      </c>
      <c r="F595">
        <v>447</v>
      </c>
      <c r="G595">
        <v>792.36</v>
      </c>
      <c r="H595">
        <v>87</v>
      </c>
      <c r="I595" s="1">
        <v>44950</v>
      </c>
      <c r="J595" t="s">
        <v>14</v>
      </c>
    </row>
    <row r="596" spans="1:10" x14ac:dyDescent="0.25">
      <c r="A596">
        <v>595</v>
      </c>
      <c r="B596" t="s">
        <v>33</v>
      </c>
      <c r="C596" t="s">
        <v>34</v>
      </c>
      <c r="D596" t="s">
        <v>21</v>
      </c>
      <c r="E596" t="s">
        <v>32</v>
      </c>
      <c r="F596">
        <v>67</v>
      </c>
      <c r="G596">
        <v>14.83</v>
      </c>
      <c r="H596">
        <v>133</v>
      </c>
      <c r="I596" s="1">
        <v>45085</v>
      </c>
      <c r="J596" t="s">
        <v>28</v>
      </c>
    </row>
    <row r="597" spans="1:10" x14ac:dyDescent="0.25">
      <c r="A597">
        <v>596</v>
      </c>
      <c r="B597" t="s">
        <v>45</v>
      </c>
      <c r="C597" t="s">
        <v>26</v>
      </c>
      <c r="D597" t="s">
        <v>30</v>
      </c>
      <c r="E597" t="s">
        <v>39</v>
      </c>
      <c r="F597">
        <v>10</v>
      </c>
      <c r="G597">
        <v>289.74</v>
      </c>
      <c r="H597">
        <v>101</v>
      </c>
      <c r="I597" s="1">
        <v>45522</v>
      </c>
      <c r="J597" t="s">
        <v>28</v>
      </c>
    </row>
    <row r="598" spans="1:10" x14ac:dyDescent="0.25">
      <c r="A598">
        <v>597</v>
      </c>
      <c r="B598" t="s">
        <v>50</v>
      </c>
      <c r="C598" t="s">
        <v>34</v>
      </c>
      <c r="D598" t="s">
        <v>17</v>
      </c>
      <c r="E598" t="s">
        <v>32</v>
      </c>
      <c r="F598">
        <v>385</v>
      </c>
      <c r="G598">
        <v>628.19000000000005</v>
      </c>
      <c r="H598">
        <v>149</v>
      </c>
      <c r="I598" s="1">
        <v>45275</v>
      </c>
      <c r="J598" t="s">
        <v>14</v>
      </c>
    </row>
    <row r="599" spans="1:10" x14ac:dyDescent="0.25">
      <c r="A599">
        <v>598</v>
      </c>
      <c r="B599" t="s">
        <v>54</v>
      </c>
      <c r="C599" t="s">
        <v>20</v>
      </c>
      <c r="D599" t="s">
        <v>12</v>
      </c>
      <c r="E599" t="s">
        <v>18</v>
      </c>
      <c r="F599">
        <v>478</v>
      </c>
      <c r="G599">
        <v>798.8</v>
      </c>
      <c r="H599">
        <v>71</v>
      </c>
      <c r="I599" s="1">
        <v>45179</v>
      </c>
      <c r="J599" t="s">
        <v>14</v>
      </c>
    </row>
    <row r="600" spans="1:10" x14ac:dyDescent="0.25">
      <c r="A600">
        <v>599</v>
      </c>
      <c r="B600" t="s">
        <v>15</v>
      </c>
      <c r="C600" t="s">
        <v>16</v>
      </c>
      <c r="D600" t="s">
        <v>21</v>
      </c>
      <c r="E600" t="s">
        <v>18</v>
      </c>
      <c r="F600">
        <v>229</v>
      </c>
      <c r="G600">
        <v>233.69</v>
      </c>
      <c r="H600">
        <v>119</v>
      </c>
      <c r="I600" s="1">
        <v>45166</v>
      </c>
      <c r="J600" t="s">
        <v>14</v>
      </c>
    </row>
    <row r="601" spans="1:10" x14ac:dyDescent="0.25">
      <c r="A601">
        <v>600</v>
      </c>
      <c r="B601" t="s">
        <v>40</v>
      </c>
      <c r="C601" t="s">
        <v>34</v>
      </c>
      <c r="D601" t="s">
        <v>30</v>
      </c>
      <c r="E601" t="s">
        <v>27</v>
      </c>
      <c r="F601">
        <v>162</v>
      </c>
      <c r="G601">
        <v>126.85</v>
      </c>
      <c r="H601">
        <v>50</v>
      </c>
      <c r="I601" s="1">
        <v>45490</v>
      </c>
      <c r="J601" t="s">
        <v>14</v>
      </c>
    </row>
    <row r="602" spans="1:10" x14ac:dyDescent="0.25">
      <c r="A602">
        <v>601</v>
      </c>
      <c r="B602" t="s">
        <v>23</v>
      </c>
      <c r="C602" t="s">
        <v>20</v>
      </c>
      <c r="D602" t="s">
        <v>21</v>
      </c>
      <c r="E602" t="s">
        <v>37</v>
      </c>
      <c r="F602">
        <v>486</v>
      </c>
      <c r="G602">
        <v>738.96</v>
      </c>
      <c r="H602">
        <v>87</v>
      </c>
      <c r="I602" s="1">
        <v>45803</v>
      </c>
      <c r="J602" t="s">
        <v>14</v>
      </c>
    </row>
    <row r="603" spans="1:10" x14ac:dyDescent="0.25">
      <c r="A603">
        <v>602</v>
      </c>
      <c r="B603" t="s">
        <v>42</v>
      </c>
      <c r="C603" t="s">
        <v>16</v>
      </c>
      <c r="D603" t="s">
        <v>30</v>
      </c>
      <c r="E603" t="s">
        <v>39</v>
      </c>
      <c r="F603">
        <v>384</v>
      </c>
      <c r="G603">
        <v>576.27</v>
      </c>
      <c r="H603">
        <v>134</v>
      </c>
      <c r="I603" s="1">
        <v>45559</v>
      </c>
      <c r="J603" t="s">
        <v>14</v>
      </c>
    </row>
    <row r="604" spans="1:10" x14ac:dyDescent="0.25">
      <c r="A604">
        <v>603</v>
      </c>
      <c r="B604" t="s">
        <v>49</v>
      </c>
      <c r="C604" t="s">
        <v>16</v>
      </c>
      <c r="D604" t="s">
        <v>24</v>
      </c>
      <c r="E604" t="s">
        <v>18</v>
      </c>
      <c r="F604">
        <v>434</v>
      </c>
      <c r="G604">
        <v>66.02</v>
      </c>
      <c r="H604">
        <v>50</v>
      </c>
      <c r="I604" s="1">
        <v>45318</v>
      </c>
      <c r="J604" t="s">
        <v>14</v>
      </c>
    </row>
    <row r="605" spans="1:10" x14ac:dyDescent="0.25">
      <c r="A605">
        <v>604</v>
      </c>
      <c r="B605" t="s">
        <v>15</v>
      </c>
      <c r="C605" t="s">
        <v>16</v>
      </c>
      <c r="D605" t="s">
        <v>24</v>
      </c>
      <c r="E605" t="s">
        <v>37</v>
      </c>
      <c r="F605">
        <v>471</v>
      </c>
      <c r="G605">
        <v>205.38</v>
      </c>
      <c r="H605">
        <v>130</v>
      </c>
      <c r="I605" s="1">
        <v>45068</v>
      </c>
      <c r="J605" t="s">
        <v>14</v>
      </c>
    </row>
    <row r="606" spans="1:10" x14ac:dyDescent="0.25">
      <c r="A606">
        <v>605</v>
      </c>
      <c r="B606" t="s">
        <v>54</v>
      </c>
      <c r="C606" t="s">
        <v>20</v>
      </c>
      <c r="D606" t="s">
        <v>12</v>
      </c>
      <c r="E606" t="s">
        <v>32</v>
      </c>
      <c r="F606">
        <v>107</v>
      </c>
      <c r="G606">
        <v>199.37</v>
      </c>
      <c r="H606">
        <v>111</v>
      </c>
      <c r="I606" s="1">
        <v>45324</v>
      </c>
      <c r="J606" t="s">
        <v>28</v>
      </c>
    </row>
    <row r="607" spans="1:10" x14ac:dyDescent="0.25">
      <c r="A607">
        <v>606</v>
      </c>
      <c r="B607" t="s">
        <v>42</v>
      </c>
      <c r="C607" t="s">
        <v>16</v>
      </c>
      <c r="D607" t="s">
        <v>17</v>
      </c>
      <c r="E607" t="s">
        <v>18</v>
      </c>
      <c r="F607">
        <v>280</v>
      </c>
      <c r="G607">
        <v>463.34</v>
      </c>
      <c r="H607">
        <v>140</v>
      </c>
      <c r="I607" s="1">
        <v>45157</v>
      </c>
      <c r="J607" t="s">
        <v>14</v>
      </c>
    </row>
    <row r="608" spans="1:10" x14ac:dyDescent="0.25">
      <c r="A608">
        <v>607</v>
      </c>
      <c r="B608" t="s">
        <v>35</v>
      </c>
      <c r="C608" t="s">
        <v>11</v>
      </c>
      <c r="D608" t="s">
        <v>12</v>
      </c>
      <c r="E608" t="s">
        <v>37</v>
      </c>
      <c r="F608">
        <v>304</v>
      </c>
      <c r="G608">
        <v>647.77</v>
      </c>
      <c r="H608">
        <v>57</v>
      </c>
      <c r="I608" s="1">
        <v>45977</v>
      </c>
      <c r="J608" t="s">
        <v>14</v>
      </c>
    </row>
    <row r="609" spans="1:10" x14ac:dyDescent="0.25">
      <c r="A609">
        <v>608</v>
      </c>
      <c r="B609" t="s">
        <v>35</v>
      </c>
      <c r="C609" t="s">
        <v>11</v>
      </c>
      <c r="D609" t="s">
        <v>17</v>
      </c>
      <c r="E609" t="s">
        <v>37</v>
      </c>
      <c r="F609">
        <v>56</v>
      </c>
      <c r="G609">
        <v>429.44</v>
      </c>
      <c r="H609">
        <v>68</v>
      </c>
      <c r="I609" s="1">
        <v>45335</v>
      </c>
      <c r="J609" t="s">
        <v>28</v>
      </c>
    </row>
    <row r="610" spans="1:10" x14ac:dyDescent="0.25">
      <c r="A610">
        <v>609</v>
      </c>
      <c r="B610" t="s">
        <v>41</v>
      </c>
      <c r="C610" t="s">
        <v>16</v>
      </c>
      <c r="D610" t="s">
        <v>21</v>
      </c>
      <c r="E610" t="s">
        <v>37</v>
      </c>
      <c r="F610">
        <v>102</v>
      </c>
      <c r="G610">
        <v>84.34</v>
      </c>
      <c r="H610">
        <v>113</v>
      </c>
      <c r="I610" s="1">
        <v>45188</v>
      </c>
      <c r="J610" t="s">
        <v>28</v>
      </c>
    </row>
    <row r="611" spans="1:10" x14ac:dyDescent="0.25">
      <c r="A611">
        <v>610</v>
      </c>
      <c r="B611" t="s">
        <v>42</v>
      </c>
      <c r="C611" t="s">
        <v>16</v>
      </c>
      <c r="D611" t="s">
        <v>12</v>
      </c>
      <c r="E611" t="s">
        <v>27</v>
      </c>
      <c r="F611">
        <v>247</v>
      </c>
      <c r="G611">
        <v>324.95999999999998</v>
      </c>
      <c r="H611">
        <v>140</v>
      </c>
      <c r="I611" s="1">
        <v>45780</v>
      </c>
      <c r="J611" t="s">
        <v>14</v>
      </c>
    </row>
    <row r="612" spans="1:10" x14ac:dyDescent="0.25">
      <c r="A612">
        <v>611</v>
      </c>
      <c r="B612" t="s">
        <v>10</v>
      </c>
      <c r="C612" t="s">
        <v>11</v>
      </c>
      <c r="D612" t="s">
        <v>24</v>
      </c>
      <c r="E612" t="s">
        <v>39</v>
      </c>
      <c r="F612">
        <v>90</v>
      </c>
      <c r="G612">
        <v>681.38</v>
      </c>
      <c r="H612">
        <v>89</v>
      </c>
      <c r="I612" s="1">
        <v>45370</v>
      </c>
      <c r="J612" t="s">
        <v>14</v>
      </c>
    </row>
    <row r="613" spans="1:10" x14ac:dyDescent="0.25">
      <c r="A613">
        <v>612</v>
      </c>
      <c r="B613" t="s">
        <v>36</v>
      </c>
      <c r="C613" t="s">
        <v>11</v>
      </c>
      <c r="D613" t="s">
        <v>30</v>
      </c>
      <c r="E613" t="s">
        <v>39</v>
      </c>
      <c r="F613">
        <v>414</v>
      </c>
      <c r="G613">
        <v>533.33000000000004</v>
      </c>
      <c r="H613">
        <v>135</v>
      </c>
      <c r="I613" s="1">
        <v>45215</v>
      </c>
      <c r="J613" t="s">
        <v>14</v>
      </c>
    </row>
    <row r="614" spans="1:10" x14ac:dyDescent="0.25">
      <c r="A614">
        <v>613</v>
      </c>
      <c r="B614" t="s">
        <v>51</v>
      </c>
      <c r="C614" t="s">
        <v>11</v>
      </c>
      <c r="D614" t="s">
        <v>21</v>
      </c>
      <c r="E614" t="s">
        <v>27</v>
      </c>
      <c r="F614">
        <v>89</v>
      </c>
      <c r="G614">
        <v>632.16</v>
      </c>
      <c r="H614">
        <v>99</v>
      </c>
      <c r="I614" s="1">
        <v>45484</v>
      </c>
      <c r="J614" t="s">
        <v>28</v>
      </c>
    </row>
    <row r="615" spans="1:10" x14ac:dyDescent="0.25">
      <c r="A615">
        <v>614</v>
      </c>
      <c r="B615" t="s">
        <v>31</v>
      </c>
      <c r="C615" t="s">
        <v>20</v>
      </c>
      <c r="D615" t="s">
        <v>12</v>
      </c>
      <c r="E615" t="s">
        <v>32</v>
      </c>
      <c r="F615">
        <v>87</v>
      </c>
      <c r="G615">
        <v>37.26</v>
      </c>
      <c r="H615">
        <v>70</v>
      </c>
      <c r="I615" s="1">
        <v>45185</v>
      </c>
      <c r="J615" t="s">
        <v>14</v>
      </c>
    </row>
    <row r="616" spans="1:10" x14ac:dyDescent="0.25">
      <c r="A616">
        <v>615</v>
      </c>
      <c r="B616" t="s">
        <v>38</v>
      </c>
      <c r="C616" t="s">
        <v>26</v>
      </c>
      <c r="D616" t="s">
        <v>24</v>
      </c>
      <c r="E616" t="s">
        <v>39</v>
      </c>
      <c r="F616">
        <v>381</v>
      </c>
      <c r="G616">
        <v>48.7</v>
      </c>
      <c r="H616">
        <v>81</v>
      </c>
      <c r="I616" s="1">
        <v>45413</v>
      </c>
      <c r="J616" t="s">
        <v>14</v>
      </c>
    </row>
    <row r="617" spans="1:10" x14ac:dyDescent="0.25">
      <c r="A617">
        <v>616</v>
      </c>
      <c r="B617" t="s">
        <v>10</v>
      </c>
      <c r="C617" t="s">
        <v>11</v>
      </c>
      <c r="D617" t="s">
        <v>24</v>
      </c>
      <c r="E617" t="s">
        <v>37</v>
      </c>
      <c r="F617">
        <v>111</v>
      </c>
      <c r="G617">
        <v>448.42</v>
      </c>
      <c r="H617">
        <v>52</v>
      </c>
      <c r="I617" s="1">
        <v>45803</v>
      </c>
      <c r="J617" t="s">
        <v>14</v>
      </c>
    </row>
    <row r="618" spans="1:10" x14ac:dyDescent="0.25">
      <c r="A618">
        <v>617</v>
      </c>
      <c r="B618" t="s">
        <v>22</v>
      </c>
      <c r="C618" t="s">
        <v>11</v>
      </c>
      <c r="D618" t="s">
        <v>12</v>
      </c>
      <c r="E618" t="s">
        <v>27</v>
      </c>
      <c r="F618">
        <v>63</v>
      </c>
      <c r="G618">
        <v>338.55</v>
      </c>
      <c r="H618">
        <v>88</v>
      </c>
      <c r="I618" s="1">
        <v>45463</v>
      </c>
      <c r="J618" t="s">
        <v>28</v>
      </c>
    </row>
    <row r="619" spans="1:10" x14ac:dyDescent="0.25">
      <c r="A619">
        <v>618</v>
      </c>
      <c r="B619" t="s">
        <v>54</v>
      </c>
      <c r="C619" t="s">
        <v>20</v>
      </c>
      <c r="D619" t="s">
        <v>21</v>
      </c>
      <c r="E619" t="s">
        <v>32</v>
      </c>
      <c r="F619">
        <v>303</v>
      </c>
      <c r="G619">
        <v>607.01</v>
      </c>
      <c r="H619">
        <v>109</v>
      </c>
      <c r="I619" s="1">
        <v>45493</v>
      </c>
      <c r="J619" t="s">
        <v>14</v>
      </c>
    </row>
    <row r="620" spans="1:10" x14ac:dyDescent="0.25">
      <c r="A620">
        <v>619</v>
      </c>
      <c r="B620" t="s">
        <v>44</v>
      </c>
      <c r="C620" t="s">
        <v>34</v>
      </c>
      <c r="D620" t="s">
        <v>30</v>
      </c>
      <c r="E620" t="s">
        <v>27</v>
      </c>
      <c r="F620">
        <v>478</v>
      </c>
      <c r="G620">
        <v>589.91999999999996</v>
      </c>
      <c r="H620">
        <v>150</v>
      </c>
      <c r="I620" s="1">
        <v>45641</v>
      </c>
      <c r="J620" t="s">
        <v>14</v>
      </c>
    </row>
    <row r="621" spans="1:10" x14ac:dyDescent="0.25">
      <c r="A621">
        <v>620</v>
      </c>
      <c r="B621" t="s">
        <v>53</v>
      </c>
      <c r="C621" t="s">
        <v>26</v>
      </c>
      <c r="D621" t="s">
        <v>24</v>
      </c>
      <c r="E621" t="s">
        <v>39</v>
      </c>
      <c r="F621">
        <v>33</v>
      </c>
      <c r="G621">
        <v>176.76</v>
      </c>
      <c r="H621">
        <v>126</v>
      </c>
      <c r="I621" s="1">
        <v>45547</v>
      </c>
      <c r="J621" t="s">
        <v>28</v>
      </c>
    </row>
    <row r="622" spans="1:10" x14ac:dyDescent="0.25">
      <c r="A622">
        <v>621</v>
      </c>
      <c r="B622" t="s">
        <v>29</v>
      </c>
      <c r="C622" t="s">
        <v>16</v>
      </c>
      <c r="D622" t="s">
        <v>24</v>
      </c>
      <c r="E622" t="s">
        <v>37</v>
      </c>
      <c r="F622">
        <v>473</v>
      </c>
      <c r="G622">
        <v>77.959999999999994</v>
      </c>
      <c r="H622">
        <v>56</v>
      </c>
      <c r="I622" s="1">
        <v>45963</v>
      </c>
      <c r="J622" t="s">
        <v>14</v>
      </c>
    </row>
    <row r="623" spans="1:10" x14ac:dyDescent="0.25">
      <c r="A623">
        <v>622</v>
      </c>
      <c r="B623" t="s">
        <v>10</v>
      </c>
      <c r="C623" t="s">
        <v>11</v>
      </c>
      <c r="D623" t="s">
        <v>17</v>
      </c>
      <c r="E623" t="s">
        <v>13</v>
      </c>
      <c r="F623">
        <v>53</v>
      </c>
      <c r="G623">
        <v>55.33</v>
      </c>
      <c r="H623">
        <v>124</v>
      </c>
      <c r="I623" s="1">
        <v>45973</v>
      </c>
      <c r="J623" t="s">
        <v>28</v>
      </c>
    </row>
    <row r="624" spans="1:10" x14ac:dyDescent="0.25">
      <c r="A624">
        <v>623</v>
      </c>
      <c r="B624" t="s">
        <v>33</v>
      </c>
      <c r="C624" t="s">
        <v>34</v>
      </c>
      <c r="D624" t="s">
        <v>12</v>
      </c>
      <c r="E624" t="s">
        <v>18</v>
      </c>
      <c r="F624">
        <v>452</v>
      </c>
      <c r="G624">
        <v>283.54000000000002</v>
      </c>
      <c r="H624">
        <v>108</v>
      </c>
      <c r="I624" s="1">
        <v>45164</v>
      </c>
      <c r="J624" t="s">
        <v>14</v>
      </c>
    </row>
    <row r="625" spans="1:10" x14ac:dyDescent="0.25">
      <c r="A625">
        <v>624</v>
      </c>
      <c r="B625" t="s">
        <v>43</v>
      </c>
      <c r="C625" t="s">
        <v>26</v>
      </c>
      <c r="D625" t="s">
        <v>17</v>
      </c>
      <c r="E625" t="s">
        <v>32</v>
      </c>
      <c r="F625">
        <v>390</v>
      </c>
      <c r="G625">
        <v>736.87</v>
      </c>
      <c r="H625">
        <v>123</v>
      </c>
      <c r="I625" s="1">
        <v>45365</v>
      </c>
      <c r="J625" t="s">
        <v>14</v>
      </c>
    </row>
    <row r="626" spans="1:10" x14ac:dyDescent="0.25">
      <c r="A626">
        <v>625</v>
      </c>
      <c r="B626" t="s">
        <v>38</v>
      </c>
      <c r="C626" t="s">
        <v>26</v>
      </c>
      <c r="D626" t="s">
        <v>17</v>
      </c>
      <c r="E626" t="s">
        <v>18</v>
      </c>
      <c r="F626">
        <v>180</v>
      </c>
      <c r="G626">
        <v>390.51</v>
      </c>
      <c r="H626">
        <v>139</v>
      </c>
      <c r="I626" s="1">
        <v>45744</v>
      </c>
      <c r="J626" t="s">
        <v>14</v>
      </c>
    </row>
    <row r="627" spans="1:10" x14ac:dyDescent="0.25">
      <c r="A627">
        <v>626</v>
      </c>
      <c r="B627" t="s">
        <v>41</v>
      </c>
      <c r="C627" t="s">
        <v>16</v>
      </c>
      <c r="D627" t="s">
        <v>30</v>
      </c>
      <c r="E627" t="s">
        <v>39</v>
      </c>
      <c r="F627">
        <v>430</v>
      </c>
      <c r="G627">
        <v>641.71</v>
      </c>
      <c r="H627">
        <v>74</v>
      </c>
      <c r="I627" s="1">
        <v>44929</v>
      </c>
      <c r="J627" t="s">
        <v>14</v>
      </c>
    </row>
    <row r="628" spans="1:10" x14ac:dyDescent="0.25">
      <c r="A628">
        <v>627</v>
      </c>
      <c r="B628" t="s">
        <v>23</v>
      </c>
      <c r="C628" t="s">
        <v>20</v>
      </c>
      <c r="D628" t="s">
        <v>24</v>
      </c>
      <c r="E628" t="s">
        <v>27</v>
      </c>
      <c r="F628">
        <v>178</v>
      </c>
      <c r="G628">
        <v>413.76</v>
      </c>
      <c r="H628">
        <v>138</v>
      </c>
      <c r="I628" s="1">
        <v>45937</v>
      </c>
      <c r="J628" t="s">
        <v>14</v>
      </c>
    </row>
    <row r="629" spans="1:10" x14ac:dyDescent="0.25">
      <c r="A629">
        <v>628</v>
      </c>
      <c r="B629" t="s">
        <v>46</v>
      </c>
      <c r="C629" t="s">
        <v>34</v>
      </c>
      <c r="D629" t="s">
        <v>12</v>
      </c>
      <c r="E629" t="s">
        <v>27</v>
      </c>
      <c r="F629">
        <v>254</v>
      </c>
      <c r="G629">
        <v>624.98</v>
      </c>
      <c r="H629">
        <v>96</v>
      </c>
      <c r="I629" s="1">
        <v>45471</v>
      </c>
      <c r="J629" t="s">
        <v>14</v>
      </c>
    </row>
    <row r="630" spans="1:10" x14ac:dyDescent="0.25">
      <c r="A630">
        <v>629</v>
      </c>
      <c r="B630" t="s">
        <v>23</v>
      </c>
      <c r="C630" t="s">
        <v>20</v>
      </c>
      <c r="D630" t="s">
        <v>21</v>
      </c>
      <c r="E630" t="s">
        <v>13</v>
      </c>
      <c r="F630">
        <v>80</v>
      </c>
      <c r="G630">
        <v>480.73</v>
      </c>
      <c r="H630">
        <v>92</v>
      </c>
      <c r="I630" s="1">
        <v>45394</v>
      </c>
      <c r="J630" t="s">
        <v>28</v>
      </c>
    </row>
    <row r="631" spans="1:10" x14ac:dyDescent="0.25">
      <c r="A631">
        <v>630</v>
      </c>
      <c r="B631" t="s">
        <v>45</v>
      </c>
      <c r="C631" t="s">
        <v>26</v>
      </c>
      <c r="D631" t="s">
        <v>30</v>
      </c>
      <c r="E631" t="s">
        <v>13</v>
      </c>
      <c r="F631">
        <v>433</v>
      </c>
      <c r="G631">
        <v>671.09</v>
      </c>
      <c r="H631">
        <v>82</v>
      </c>
      <c r="I631" s="1">
        <v>45703</v>
      </c>
      <c r="J631" t="s">
        <v>14</v>
      </c>
    </row>
    <row r="632" spans="1:10" x14ac:dyDescent="0.25">
      <c r="A632">
        <v>631</v>
      </c>
      <c r="B632" t="s">
        <v>25</v>
      </c>
      <c r="C632" t="s">
        <v>26</v>
      </c>
      <c r="D632" t="s">
        <v>30</v>
      </c>
      <c r="E632" t="s">
        <v>37</v>
      </c>
      <c r="F632">
        <v>220</v>
      </c>
      <c r="G632">
        <v>199.99</v>
      </c>
      <c r="H632">
        <v>114</v>
      </c>
      <c r="I632" s="1">
        <v>45585</v>
      </c>
      <c r="J632" t="s">
        <v>14</v>
      </c>
    </row>
    <row r="633" spans="1:10" x14ac:dyDescent="0.25">
      <c r="A633">
        <v>632</v>
      </c>
      <c r="B633" t="s">
        <v>44</v>
      </c>
      <c r="C633" t="s">
        <v>34</v>
      </c>
      <c r="D633" t="s">
        <v>24</v>
      </c>
      <c r="E633" t="s">
        <v>27</v>
      </c>
      <c r="F633">
        <v>456</v>
      </c>
      <c r="G633">
        <v>264.39999999999998</v>
      </c>
      <c r="H633">
        <v>103</v>
      </c>
      <c r="I633" s="1">
        <v>45578</v>
      </c>
      <c r="J633" t="s">
        <v>14</v>
      </c>
    </row>
    <row r="634" spans="1:10" x14ac:dyDescent="0.25">
      <c r="A634">
        <v>633</v>
      </c>
      <c r="B634" t="s">
        <v>45</v>
      </c>
      <c r="C634" t="s">
        <v>26</v>
      </c>
      <c r="D634" t="s">
        <v>12</v>
      </c>
      <c r="E634" t="s">
        <v>18</v>
      </c>
      <c r="F634">
        <v>378</v>
      </c>
      <c r="G634">
        <v>424.75</v>
      </c>
      <c r="H634">
        <v>119</v>
      </c>
      <c r="I634" s="1">
        <v>44943</v>
      </c>
      <c r="J634" t="s">
        <v>14</v>
      </c>
    </row>
    <row r="635" spans="1:10" x14ac:dyDescent="0.25">
      <c r="A635">
        <v>634</v>
      </c>
      <c r="B635" t="s">
        <v>31</v>
      </c>
      <c r="C635" t="s">
        <v>20</v>
      </c>
      <c r="D635" t="s">
        <v>21</v>
      </c>
      <c r="E635" t="s">
        <v>39</v>
      </c>
      <c r="F635">
        <v>479</v>
      </c>
      <c r="G635">
        <v>11.24</v>
      </c>
      <c r="H635">
        <v>101</v>
      </c>
      <c r="I635" s="1">
        <v>45835</v>
      </c>
      <c r="J635" t="s">
        <v>14</v>
      </c>
    </row>
    <row r="636" spans="1:10" x14ac:dyDescent="0.25">
      <c r="A636">
        <v>635</v>
      </c>
      <c r="B636" t="s">
        <v>36</v>
      </c>
      <c r="C636" t="s">
        <v>11</v>
      </c>
      <c r="D636" t="s">
        <v>17</v>
      </c>
      <c r="E636" t="s">
        <v>18</v>
      </c>
      <c r="F636">
        <v>215</v>
      </c>
      <c r="G636">
        <v>649.41999999999996</v>
      </c>
      <c r="H636">
        <v>147</v>
      </c>
      <c r="I636" s="1">
        <v>45300</v>
      </c>
      <c r="J636" t="s">
        <v>14</v>
      </c>
    </row>
    <row r="637" spans="1:10" x14ac:dyDescent="0.25">
      <c r="A637">
        <v>636</v>
      </c>
      <c r="B637" t="s">
        <v>54</v>
      </c>
      <c r="C637" t="s">
        <v>20</v>
      </c>
      <c r="D637" t="s">
        <v>30</v>
      </c>
      <c r="E637" t="s">
        <v>32</v>
      </c>
      <c r="F637">
        <v>393</v>
      </c>
      <c r="G637">
        <v>5.18</v>
      </c>
      <c r="H637">
        <v>80</v>
      </c>
      <c r="I637" s="1">
        <v>45684</v>
      </c>
      <c r="J637" t="s">
        <v>14</v>
      </c>
    </row>
    <row r="638" spans="1:10" x14ac:dyDescent="0.25">
      <c r="A638">
        <v>637</v>
      </c>
      <c r="B638" t="s">
        <v>36</v>
      </c>
      <c r="C638" t="s">
        <v>11</v>
      </c>
      <c r="D638" t="s">
        <v>30</v>
      </c>
      <c r="E638" t="s">
        <v>37</v>
      </c>
      <c r="F638">
        <v>360</v>
      </c>
      <c r="G638">
        <v>398.63</v>
      </c>
      <c r="H638">
        <v>133</v>
      </c>
      <c r="I638" s="1">
        <v>45716</v>
      </c>
      <c r="J638" t="s">
        <v>14</v>
      </c>
    </row>
    <row r="639" spans="1:10" x14ac:dyDescent="0.25">
      <c r="A639">
        <v>638</v>
      </c>
      <c r="B639" t="s">
        <v>40</v>
      </c>
      <c r="C639" t="s">
        <v>34</v>
      </c>
      <c r="D639" t="s">
        <v>17</v>
      </c>
      <c r="E639" t="s">
        <v>39</v>
      </c>
      <c r="F639">
        <v>435</v>
      </c>
      <c r="G639">
        <v>310.97000000000003</v>
      </c>
      <c r="H639">
        <v>90</v>
      </c>
      <c r="I639" s="1">
        <v>45441</v>
      </c>
      <c r="J639" t="s">
        <v>14</v>
      </c>
    </row>
    <row r="640" spans="1:10" x14ac:dyDescent="0.25">
      <c r="A640">
        <v>639</v>
      </c>
      <c r="B640" t="s">
        <v>10</v>
      </c>
      <c r="C640" t="s">
        <v>11</v>
      </c>
      <c r="D640" t="s">
        <v>30</v>
      </c>
      <c r="E640" t="s">
        <v>32</v>
      </c>
      <c r="F640">
        <v>175</v>
      </c>
      <c r="G640">
        <v>132.79</v>
      </c>
      <c r="H640">
        <v>87</v>
      </c>
      <c r="I640" s="1">
        <v>45855</v>
      </c>
      <c r="J640" t="s">
        <v>14</v>
      </c>
    </row>
    <row r="641" spans="1:10" x14ac:dyDescent="0.25">
      <c r="A641">
        <v>640</v>
      </c>
      <c r="B641" t="s">
        <v>49</v>
      </c>
      <c r="C641" t="s">
        <v>16</v>
      </c>
      <c r="D641" t="s">
        <v>21</v>
      </c>
      <c r="E641" t="s">
        <v>27</v>
      </c>
      <c r="F641">
        <v>432</v>
      </c>
      <c r="G641">
        <v>562.04</v>
      </c>
      <c r="H641">
        <v>75</v>
      </c>
      <c r="I641" s="1">
        <v>44975</v>
      </c>
      <c r="J641" t="s">
        <v>14</v>
      </c>
    </row>
    <row r="642" spans="1:10" x14ac:dyDescent="0.25">
      <c r="A642">
        <v>641</v>
      </c>
      <c r="B642" t="s">
        <v>47</v>
      </c>
      <c r="C642" t="s">
        <v>20</v>
      </c>
      <c r="D642" t="s">
        <v>21</v>
      </c>
      <c r="E642" t="s">
        <v>18</v>
      </c>
      <c r="F642">
        <v>300</v>
      </c>
      <c r="G642">
        <v>464.45</v>
      </c>
      <c r="H642">
        <v>71</v>
      </c>
      <c r="I642" s="1">
        <v>45162</v>
      </c>
      <c r="J642" t="s">
        <v>14</v>
      </c>
    </row>
    <row r="643" spans="1:10" x14ac:dyDescent="0.25">
      <c r="A643">
        <v>642</v>
      </c>
      <c r="B643" t="s">
        <v>48</v>
      </c>
      <c r="C643" t="s">
        <v>20</v>
      </c>
      <c r="D643" t="s">
        <v>12</v>
      </c>
      <c r="E643" t="s">
        <v>18</v>
      </c>
      <c r="F643">
        <v>211</v>
      </c>
      <c r="G643">
        <v>239.06</v>
      </c>
      <c r="H643">
        <v>86</v>
      </c>
      <c r="I643" s="1">
        <v>45270</v>
      </c>
      <c r="J643" t="s">
        <v>14</v>
      </c>
    </row>
    <row r="644" spans="1:10" x14ac:dyDescent="0.25">
      <c r="A644">
        <v>643</v>
      </c>
      <c r="B644" t="s">
        <v>54</v>
      </c>
      <c r="C644" t="s">
        <v>20</v>
      </c>
      <c r="D644" t="s">
        <v>17</v>
      </c>
      <c r="E644" t="s">
        <v>18</v>
      </c>
      <c r="F644">
        <v>156</v>
      </c>
      <c r="G644">
        <v>144.35</v>
      </c>
      <c r="H644">
        <v>50</v>
      </c>
      <c r="I644" s="1">
        <v>45615</v>
      </c>
      <c r="J644" t="s">
        <v>14</v>
      </c>
    </row>
    <row r="645" spans="1:10" x14ac:dyDescent="0.25">
      <c r="A645">
        <v>644</v>
      </c>
      <c r="B645" t="s">
        <v>44</v>
      </c>
      <c r="C645" t="s">
        <v>34</v>
      </c>
      <c r="D645" t="s">
        <v>21</v>
      </c>
      <c r="E645" t="s">
        <v>32</v>
      </c>
      <c r="F645">
        <v>212</v>
      </c>
      <c r="G645">
        <v>235.72</v>
      </c>
      <c r="H645">
        <v>73</v>
      </c>
      <c r="I645" s="1">
        <v>45017</v>
      </c>
      <c r="J645" t="s">
        <v>14</v>
      </c>
    </row>
    <row r="646" spans="1:10" x14ac:dyDescent="0.25">
      <c r="A646">
        <v>645</v>
      </c>
      <c r="B646" t="s">
        <v>41</v>
      </c>
      <c r="C646" t="s">
        <v>16</v>
      </c>
      <c r="D646" t="s">
        <v>21</v>
      </c>
      <c r="E646" t="s">
        <v>18</v>
      </c>
      <c r="F646">
        <v>71</v>
      </c>
      <c r="G646">
        <v>600.72</v>
      </c>
      <c r="H646">
        <v>114</v>
      </c>
      <c r="I646" s="1">
        <v>44976</v>
      </c>
      <c r="J646" t="s">
        <v>28</v>
      </c>
    </row>
    <row r="647" spans="1:10" x14ac:dyDescent="0.25">
      <c r="A647">
        <v>646</v>
      </c>
      <c r="B647" t="s">
        <v>10</v>
      </c>
      <c r="C647" t="s">
        <v>11</v>
      </c>
      <c r="D647" t="s">
        <v>21</v>
      </c>
      <c r="E647" t="s">
        <v>39</v>
      </c>
      <c r="F647">
        <v>189</v>
      </c>
      <c r="G647">
        <v>744.94</v>
      </c>
      <c r="H647">
        <v>92</v>
      </c>
      <c r="I647" s="1">
        <v>45879</v>
      </c>
      <c r="J647" t="s">
        <v>14</v>
      </c>
    </row>
    <row r="648" spans="1:10" x14ac:dyDescent="0.25">
      <c r="A648">
        <v>647</v>
      </c>
      <c r="B648" t="s">
        <v>36</v>
      </c>
      <c r="C648" t="s">
        <v>11</v>
      </c>
      <c r="D648" t="s">
        <v>24</v>
      </c>
      <c r="E648" t="s">
        <v>32</v>
      </c>
      <c r="F648">
        <v>423</v>
      </c>
      <c r="G648">
        <v>728.6</v>
      </c>
      <c r="H648">
        <v>105</v>
      </c>
      <c r="I648" s="1">
        <v>45251</v>
      </c>
      <c r="J648" t="s">
        <v>14</v>
      </c>
    </row>
    <row r="649" spans="1:10" x14ac:dyDescent="0.25">
      <c r="A649">
        <v>648</v>
      </c>
      <c r="B649" t="s">
        <v>54</v>
      </c>
      <c r="C649" t="s">
        <v>20</v>
      </c>
      <c r="D649" t="s">
        <v>24</v>
      </c>
      <c r="E649" t="s">
        <v>37</v>
      </c>
      <c r="F649">
        <v>159</v>
      </c>
      <c r="G649">
        <v>470.55</v>
      </c>
      <c r="H649">
        <v>101</v>
      </c>
      <c r="I649" s="1">
        <v>45643</v>
      </c>
      <c r="J649" t="s">
        <v>14</v>
      </c>
    </row>
    <row r="650" spans="1:10" x14ac:dyDescent="0.25">
      <c r="A650">
        <v>649</v>
      </c>
      <c r="B650" t="s">
        <v>29</v>
      </c>
      <c r="C650" t="s">
        <v>16</v>
      </c>
      <c r="D650" t="s">
        <v>17</v>
      </c>
      <c r="E650" t="s">
        <v>37</v>
      </c>
      <c r="F650">
        <v>319</v>
      </c>
      <c r="G650">
        <v>390.94</v>
      </c>
      <c r="H650">
        <v>75</v>
      </c>
      <c r="I650" s="1">
        <v>45114</v>
      </c>
      <c r="J650" t="s">
        <v>14</v>
      </c>
    </row>
    <row r="651" spans="1:10" x14ac:dyDescent="0.25">
      <c r="A651">
        <v>650</v>
      </c>
      <c r="B651" t="s">
        <v>40</v>
      </c>
      <c r="C651" t="s">
        <v>34</v>
      </c>
      <c r="D651" t="s">
        <v>24</v>
      </c>
      <c r="E651" t="s">
        <v>39</v>
      </c>
      <c r="F651">
        <v>116</v>
      </c>
      <c r="G651">
        <v>178.08</v>
      </c>
      <c r="H651">
        <v>65</v>
      </c>
      <c r="I651" s="1">
        <v>45540</v>
      </c>
      <c r="J651" t="s">
        <v>14</v>
      </c>
    </row>
    <row r="652" spans="1:10" x14ac:dyDescent="0.25">
      <c r="A652">
        <v>651</v>
      </c>
      <c r="B652" t="s">
        <v>10</v>
      </c>
      <c r="C652" t="s">
        <v>11</v>
      </c>
      <c r="D652" t="s">
        <v>24</v>
      </c>
      <c r="E652" t="s">
        <v>13</v>
      </c>
      <c r="F652">
        <v>16</v>
      </c>
      <c r="G652">
        <v>685.83</v>
      </c>
      <c r="H652">
        <v>95</v>
      </c>
      <c r="I652" s="1">
        <v>45879</v>
      </c>
      <c r="J652" t="s">
        <v>28</v>
      </c>
    </row>
    <row r="653" spans="1:10" x14ac:dyDescent="0.25">
      <c r="A653">
        <v>652</v>
      </c>
      <c r="B653" t="s">
        <v>45</v>
      </c>
      <c r="C653" t="s">
        <v>26</v>
      </c>
      <c r="D653" t="s">
        <v>30</v>
      </c>
      <c r="E653" t="s">
        <v>13</v>
      </c>
      <c r="F653">
        <v>218</v>
      </c>
      <c r="G653">
        <v>549.85</v>
      </c>
      <c r="H653">
        <v>135</v>
      </c>
      <c r="I653" s="1">
        <v>46006</v>
      </c>
      <c r="J653" t="s">
        <v>14</v>
      </c>
    </row>
    <row r="654" spans="1:10" x14ac:dyDescent="0.25">
      <c r="A654">
        <v>653</v>
      </c>
      <c r="B654" t="s">
        <v>53</v>
      </c>
      <c r="C654" t="s">
        <v>26</v>
      </c>
      <c r="D654" t="s">
        <v>17</v>
      </c>
      <c r="E654" t="s">
        <v>27</v>
      </c>
      <c r="F654">
        <v>75</v>
      </c>
      <c r="G654">
        <v>353.27</v>
      </c>
      <c r="H654">
        <v>137</v>
      </c>
      <c r="I654" s="1">
        <v>45115</v>
      </c>
      <c r="J654" t="s">
        <v>28</v>
      </c>
    </row>
    <row r="655" spans="1:10" x14ac:dyDescent="0.25">
      <c r="A655">
        <v>654</v>
      </c>
      <c r="B655" t="s">
        <v>38</v>
      </c>
      <c r="C655" t="s">
        <v>26</v>
      </c>
      <c r="D655" t="s">
        <v>12</v>
      </c>
      <c r="E655" t="s">
        <v>13</v>
      </c>
      <c r="F655">
        <v>259</v>
      </c>
      <c r="G655">
        <v>395.04</v>
      </c>
      <c r="H655">
        <v>85</v>
      </c>
      <c r="I655" s="1">
        <v>44991</v>
      </c>
      <c r="J655" t="s">
        <v>14</v>
      </c>
    </row>
    <row r="656" spans="1:10" x14ac:dyDescent="0.25">
      <c r="A656">
        <v>655</v>
      </c>
      <c r="B656" t="s">
        <v>23</v>
      </c>
      <c r="C656" t="s">
        <v>20</v>
      </c>
      <c r="D656" t="s">
        <v>17</v>
      </c>
      <c r="E656" t="s">
        <v>32</v>
      </c>
      <c r="F656">
        <v>482</v>
      </c>
      <c r="G656">
        <v>314.48</v>
      </c>
      <c r="H656">
        <v>149</v>
      </c>
      <c r="I656" s="1">
        <v>45209</v>
      </c>
      <c r="J656" t="s">
        <v>14</v>
      </c>
    </row>
    <row r="657" spans="1:10" x14ac:dyDescent="0.25">
      <c r="A657">
        <v>656</v>
      </c>
      <c r="B657" t="s">
        <v>22</v>
      </c>
      <c r="C657" t="s">
        <v>11</v>
      </c>
      <c r="D657" t="s">
        <v>12</v>
      </c>
      <c r="E657" t="s">
        <v>27</v>
      </c>
      <c r="F657">
        <v>225</v>
      </c>
      <c r="G657">
        <v>700.31</v>
      </c>
      <c r="H657">
        <v>128</v>
      </c>
      <c r="I657" s="1">
        <v>45379</v>
      </c>
      <c r="J657" t="s">
        <v>14</v>
      </c>
    </row>
    <row r="658" spans="1:10" x14ac:dyDescent="0.25">
      <c r="A658">
        <v>657</v>
      </c>
      <c r="B658" t="s">
        <v>51</v>
      </c>
      <c r="C658" t="s">
        <v>11</v>
      </c>
      <c r="D658" t="s">
        <v>21</v>
      </c>
      <c r="E658" t="s">
        <v>18</v>
      </c>
      <c r="F658">
        <v>7</v>
      </c>
      <c r="G658">
        <v>421.06</v>
      </c>
      <c r="H658">
        <v>112</v>
      </c>
      <c r="I658" s="1">
        <v>45697</v>
      </c>
      <c r="J658" t="s">
        <v>28</v>
      </c>
    </row>
    <row r="659" spans="1:10" x14ac:dyDescent="0.25">
      <c r="A659">
        <v>658</v>
      </c>
      <c r="B659" t="s">
        <v>19</v>
      </c>
      <c r="C659" t="s">
        <v>20</v>
      </c>
      <c r="D659" t="s">
        <v>21</v>
      </c>
      <c r="E659" t="s">
        <v>27</v>
      </c>
      <c r="F659">
        <v>23</v>
      </c>
      <c r="G659">
        <v>93.8</v>
      </c>
      <c r="H659">
        <v>85</v>
      </c>
      <c r="I659" s="1">
        <v>45004</v>
      </c>
      <c r="J659" t="s">
        <v>28</v>
      </c>
    </row>
    <row r="660" spans="1:10" x14ac:dyDescent="0.25">
      <c r="A660">
        <v>659</v>
      </c>
      <c r="B660" t="s">
        <v>33</v>
      </c>
      <c r="C660" t="s">
        <v>34</v>
      </c>
      <c r="D660" t="s">
        <v>12</v>
      </c>
      <c r="E660" t="s">
        <v>37</v>
      </c>
      <c r="F660">
        <v>87</v>
      </c>
      <c r="G660">
        <v>609.22</v>
      </c>
      <c r="H660">
        <v>53</v>
      </c>
      <c r="I660" s="1">
        <v>45493</v>
      </c>
      <c r="J660" t="s">
        <v>14</v>
      </c>
    </row>
    <row r="661" spans="1:10" x14ac:dyDescent="0.25">
      <c r="A661">
        <v>660</v>
      </c>
      <c r="B661" t="s">
        <v>52</v>
      </c>
      <c r="C661" t="s">
        <v>16</v>
      </c>
      <c r="D661" t="s">
        <v>21</v>
      </c>
      <c r="E661" t="s">
        <v>39</v>
      </c>
      <c r="F661">
        <v>420</v>
      </c>
      <c r="G661">
        <v>674.42</v>
      </c>
      <c r="H661">
        <v>65</v>
      </c>
      <c r="I661" s="1">
        <v>45319</v>
      </c>
      <c r="J661" t="s">
        <v>14</v>
      </c>
    </row>
    <row r="662" spans="1:10" x14ac:dyDescent="0.25">
      <c r="A662">
        <v>661</v>
      </c>
      <c r="B662" t="s">
        <v>25</v>
      </c>
      <c r="C662" t="s">
        <v>26</v>
      </c>
      <c r="D662" t="s">
        <v>24</v>
      </c>
      <c r="E662" t="s">
        <v>39</v>
      </c>
      <c r="F662">
        <v>330</v>
      </c>
      <c r="G662">
        <v>655.78</v>
      </c>
      <c r="H662">
        <v>55</v>
      </c>
      <c r="I662" s="1">
        <v>44928</v>
      </c>
      <c r="J662" t="s">
        <v>14</v>
      </c>
    </row>
    <row r="663" spans="1:10" x14ac:dyDescent="0.25">
      <c r="A663">
        <v>662</v>
      </c>
      <c r="B663" t="s">
        <v>48</v>
      </c>
      <c r="C663" t="s">
        <v>20</v>
      </c>
      <c r="D663" t="s">
        <v>24</v>
      </c>
      <c r="E663" t="s">
        <v>32</v>
      </c>
      <c r="F663">
        <v>168</v>
      </c>
      <c r="G663">
        <v>93.95</v>
      </c>
      <c r="H663">
        <v>50</v>
      </c>
      <c r="I663" s="1">
        <v>45017</v>
      </c>
      <c r="J663" t="s">
        <v>14</v>
      </c>
    </row>
    <row r="664" spans="1:10" x14ac:dyDescent="0.25">
      <c r="A664">
        <v>663</v>
      </c>
      <c r="B664" t="s">
        <v>49</v>
      </c>
      <c r="C664" t="s">
        <v>16</v>
      </c>
      <c r="D664" t="s">
        <v>21</v>
      </c>
      <c r="E664" t="s">
        <v>39</v>
      </c>
      <c r="F664">
        <v>149</v>
      </c>
      <c r="G664">
        <v>442.26</v>
      </c>
      <c r="H664">
        <v>133</v>
      </c>
      <c r="I664" s="1">
        <v>45796</v>
      </c>
      <c r="J664" t="s">
        <v>14</v>
      </c>
    </row>
    <row r="665" spans="1:10" x14ac:dyDescent="0.25">
      <c r="A665">
        <v>664</v>
      </c>
      <c r="B665" t="s">
        <v>51</v>
      </c>
      <c r="C665" t="s">
        <v>11</v>
      </c>
      <c r="D665" t="s">
        <v>17</v>
      </c>
      <c r="E665" t="s">
        <v>37</v>
      </c>
      <c r="F665">
        <v>72</v>
      </c>
      <c r="G665">
        <v>298.60000000000002</v>
      </c>
      <c r="H665">
        <v>121</v>
      </c>
      <c r="I665" s="1">
        <v>45637</v>
      </c>
      <c r="J665" t="s">
        <v>28</v>
      </c>
    </row>
    <row r="666" spans="1:10" x14ac:dyDescent="0.25">
      <c r="A666">
        <v>665</v>
      </c>
      <c r="B666" t="s">
        <v>41</v>
      </c>
      <c r="C666" t="s">
        <v>16</v>
      </c>
      <c r="D666" t="s">
        <v>12</v>
      </c>
      <c r="E666" t="s">
        <v>18</v>
      </c>
      <c r="F666">
        <v>294</v>
      </c>
      <c r="G666">
        <v>53.3</v>
      </c>
      <c r="H666">
        <v>92</v>
      </c>
      <c r="I666" s="1">
        <v>45422</v>
      </c>
      <c r="J666" t="s">
        <v>14</v>
      </c>
    </row>
    <row r="667" spans="1:10" x14ac:dyDescent="0.25">
      <c r="A667">
        <v>666</v>
      </c>
      <c r="B667" t="s">
        <v>36</v>
      </c>
      <c r="C667" t="s">
        <v>11</v>
      </c>
      <c r="D667" t="s">
        <v>12</v>
      </c>
      <c r="E667" t="s">
        <v>13</v>
      </c>
      <c r="F667">
        <v>337</v>
      </c>
      <c r="G667">
        <v>512.82000000000005</v>
      </c>
      <c r="H667">
        <v>94</v>
      </c>
      <c r="I667" s="1">
        <v>45486</v>
      </c>
      <c r="J667" t="s">
        <v>14</v>
      </c>
    </row>
    <row r="668" spans="1:10" x14ac:dyDescent="0.25">
      <c r="A668">
        <v>667</v>
      </c>
      <c r="B668" t="s">
        <v>25</v>
      </c>
      <c r="C668" t="s">
        <v>26</v>
      </c>
      <c r="D668" t="s">
        <v>12</v>
      </c>
      <c r="E668" t="s">
        <v>32</v>
      </c>
      <c r="F668">
        <v>330</v>
      </c>
      <c r="G668">
        <v>774.92</v>
      </c>
      <c r="H668">
        <v>140</v>
      </c>
      <c r="I668" s="1">
        <v>45803</v>
      </c>
      <c r="J668" t="s">
        <v>14</v>
      </c>
    </row>
    <row r="669" spans="1:10" x14ac:dyDescent="0.25">
      <c r="A669">
        <v>668</v>
      </c>
      <c r="B669" t="s">
        <v>54</v>
      </c>
      <c r="C669" t="s">
        <v>20</v>
      </c>
      <c r="D669" t="s">
        <v>17</v>
      </c>
      <c r="E669" t="s">
        <v>37</v>
      </c>
      <c r="F669">
        <v>417</v>
      </c>
      <c r="G669">
        <v>490.88</v>
      </c>
      <c r="H669">
        <v>64</v>
      </c>
      <c r="I669" s="1">
        <v>45608</v>
      </c>
      <c r="J669" t="s">
        <v>14</v>
      </c>
    </row>
    <row r="670" spans="1:10" x14ac:dyDescent="0.25">
      <c r="A670">
        <v>669</v>
      </c>
      <c r="B670" t="s">
        <v>43</v>
      </c>
      <c r="C670" t="s">
        <v>26</v>
      </c>
      <c r="D670" t="s">
        <v>21</v>
      </c>
      <c r="E670" t="s">
        <v>13</v>
      </c>
      <c r="F670">
        <v>94</v>
      </c>
      <c r="G670">
        <v>462.35</v>
      </c>
      <c r="H670">
        <v>89</v>
      </c>
      <c r="I670" s="1">
        <v>45616</v>
      </c>
      <c r="J670" t="s">
        <v>14</v>
      </c>
    </row>
    <row r="671" spans="1:10" x14ac:dyDescent="0.25">
      <c r="A671">
        <v>670</v>
      </c>
      <c r="B671" t="s">
        <v>25</v>
      </c>
      <c r="C671" t="s">
        <v>26</v>
      </c>
      <c r="D671" t="s">
        <v>17</v>
      </c>
      <c r="E671" t="s">
        <v>13</v>
      </c>
      <c r="F671">
        <v>67</v>
      </c>
      <c r="G671">
        <v>298.58999999999997</v>
      </c>
      <c r="H671">
        <v>144</v>
      </c>
      <c r="I671" s="1">
        <v>45340</v>
      </c>
      <c r="J671" t="s">
        <v>28</v>
      </c>
    </row>
    <row r="672" spans="1:10" x14ac:dyDescent="0.25">
      <c r="A672">
        <v>671</v>
      </c>
      <c r="B672" t="s">
        <v>29</v>
      </c>
      <c r="C672" t="s">
        <v>16</v>
      </c>
      <c r="D672" t="s">
        <v>17</v>
      </c>
      <c r="E672" t="s">
        <v>18</v>
      </c>
      <c r="F672">
        <v>102</v>
      </c>
      <c r="G672">
        <v>300.10000000000002</v>
      </c>
      <c r="H672">
        <v>92</v>
      </c>
      <c r="I672" s="1">
        <v>45882</v>
      </c>
      <c r="J672" t="s">
        <v>14</v>
      </c>
    </row>
    <row r="673" spans="1:10" x14ac:dyDescent="0.25">
      <c r="A673">
        <v>672</v>
      </c>
      <c r="B673" t="s">
        <v>23</v>
      </c>
      <c r="C673" t="s">
        <v>20</v>
      </c>
      <c r="D673" t="s">
        <v>12</v>
      </c>
      <c r="E673" t="s">
        <v>37</v>
      </c>
      <c r="F673">
        <v>35</v>
      </c>
      <c r="G673">
        <v>466.56</v>
      </c>
      <c r="H673">
        <v>65</v>
      </c>
      <c r="I673" s="1">
        <v>45604</v>
      </c>
      <c r="J673" t="s">
        <v>28</v>
      </c>
    </row>
    <row r="674" spans="1:10" x14ac:dyDescent="0.25">
      <c r="A674">
        <v>673</v>
      </c>
      <c r="B674" t="s">
        <v>49</v>
      </c>
      <c r="C674" t="s">
        <v>16</v>
      </c>
      <c r="D674" t="s">
        <v>21</v>
      </c>
      <c r="E674" t="s">
        <v>18</v>
      </c>
      <c r="F674">
        <v>258</v>
      </c>
      <c r="G674">
        <v>234.47</v>
      </c>
      <c r="H674">
        <v>140</v>
      </c>
      <c r="I674" s="1">
        <v>45652</v>
      </c>
      <c r="J674" t="s">
        <v>14</v>
      </c>
    </row>
    <row r="675" spans="1:10" x14ac:dyDescent="0.25">
      <c r="A675">
        <v>674</v>
      </c>
      <c r="B675" t="s">
        <v>25</v>
      </c>
      <c r="C675" t="s">
        <v>26</v>
      </c>
      <c r="D675" t="s">
        <v>30</v>
      </c>
      <c r="E675" t="s">
        <v>18</v>
      </c>
      <c r="F675">
        <v>221</v>
      </c>
      <c r="G675">
        <v>725.24</v>
      </c>
      <c r="H675">
        <v>104</v>
      </c>
      <c r="I675" s="1">
        <v>45284</v>
      </c>
      <c r="J675" t="s">
        <v>14</v>
      </c>
    </row>
    <row r="676" spans="1:10" x14ac:dyDescent="0.25">
      <c r="A676">
        <v>675</v>
      </c>
      <c r="B676" t="s">
        <v>15</v>
      </c>
      <c r="C676" t="s">
        <v>16</v>
      </c>
      <c r="D676" t="s">
        <v>21</v>
      </c>
      <c r="E676" t="s">
        <v>18</v>
      </c>
      <c r="F676">
        <v>390</v>
      </c>
      <c r="G676">
        <v>151.04</v>
      </c>
      <c r="H676">
        <v>113</v>
      </c>
      <c r="I676" s="1">
        <v>45134</v>
      </c>
      <c r="J676" t="s">
        <v>14</v>
      </c>
    </row>
    <row r="677" spans="1:10" x14ac:dyDescent="0.25">
      <c r="A677">
        <v>676</v>
      </c>
      <c r="B677" t="s">
        <v>52</v>
      </c>
      <c r="C677" t="s">
        <v>16</v>
      </c>
      <c r="D677" t="s">
        <v>12</v>
      </c>
      <c r="E677" t="s">
        <v>37</v>
      </c>
      <c r="F677">
        <v>403</v>
      </c>
      <c r="G677">
        <v>799.35</v>
      </c>
      <c r="H677">
        <v>103</v>
      </c>
      <c r="I677" s="1">
        <v>45375</v>
      </c>
      <c r="J677" t="s">
        <v>14</v>
      </c>
    </row>
    <row r="678" spans="1:10" x14ac:dyDescent="0.25">
      <c r="A678">
        <v>677</v>
      </c>
      <c r="B678" t="s">
        <v>22</v>
      </c>
      <c r="C678" t="s">
        <v>11</v>
      </c>
      <c r="D678" t="s">
        <v>17</v>
      </c>
      <c r="E678" t="s">
        <v>32</v>
      </c>
      <c r="F678">
        <v>339</v>
      </c>
      <c r="G678">
        <v>708.73</v>
      </c>
      <c r="H678">
        <v>82</v>
      </c>
      <c r="I678" s="1">
        <v>45289</v>
      </c>
      <c r="J678" t="s">
        <v>14</v>
      </c>
    </row>
    <row r="679" spans="1:10" x14ac:dyDescent="0.25">
      <c r="A679">
        <v>678</v>
      </c>
      <c r="B679" t="s">
        <v>38</v>
      </c>
      <c r="C679" t="s">
        <v>26</v>
      </c>
      <c r="D679" t="s">
        <v>24</v>
      </c>
      <c r="E679" t="s">
        <v>32</v>
      </c>
      <c r="F679">
        <v>289</v>
      </c>
      <c r="G679">
        <v>27.1</v>
      </c>
      <c r="H679">
        <v>126</v>
      </c>
      <c r="I679" s="1">
        <v>45590</v>
      </c>
      <c r="J679" t="s">
        <v>14</v>
      </c>
    </row>
    <row r="680" spans="1:10" x14ac:dyDescent="0.25">
      <c r="A680">
        <v>679</v>
      </c>
      <c r="B680" t="s">
        <v>29</v>
      </c>
      <c r="C680" t="s">
        <v>16</v>
      </c>
      <c r="D680" t="s">
        <v>30</v>
      </c>
      <c r="E680" t="s">
        <v>37</v>
      </c>
      <c r="F680">
        <v>26</v>
      </c>
      <c r="G680">
        <v>604.55999999999995</v>
      </c>
      <c r="H680">
        <v>121</v>
      </c>
      <c r="I680" s="1">
        <v>44990</v>
      </c>
      <c r="J680" t="s">
        <v>28</v>
      </c>
    </row>
    <row r="681" spans="1:10" x14ac:dyDescent="0.25">
      <c r="A681">
        <v>680</v>
      </c>
      <c r="B681" t="s">
        <v>48</v>
      </c>
      <c r="C681" t="s">
        <v>20</v>
      </c>
      <c r="D681" t="s">
        <v>24</v>
      </c>
      <c r="E681" t="s">
        <v>37</v>
      </c>
      <c r="F681">
        <v>300</v>
      </c>
      <c r="G681">
        <v>24.89</v>
      </c>
      <c r="H681">
        <v>140</v>
      </c>
      <c r="I681" s="1">
        <v>45985</v>
      </c>
      <c r="J681" t="s">
        <v>14</v>
      </c>
    </row>
    <row r="682" spans="1:10" x14ac:dyDescent="0.25">
      <c r="A682">
        <v>681</v>
      </c>
      <c r="B682" t="s">
        <v>44</v>
      </c>
      <c r="C682" t="s">
        <v>34</v>
      </c>
      <c r="D682" t="s">
        <v>21</v>
      </c>
      <c r="E682" t="s">
        <v>32</v>
      </c>
      <c r="F682">
        <v>282</v>
      </c>
      <c r="G682">
        <v>391.44</v>
      </c>
      <c r="H682">
        <v>58</v>
      </c>
      <c r="I682" s="1">
        <v>45355</v>
      </c>
      <c r="J682" t="s">
        <v>14</v>
      </c>
    </row>
    <row r="683" spans="1:10" x14ac:dyDescent="0.25">
      <c r="A683">
        <v>682</v>
      </c>
      <c r="B683" t="s">
        <v>47</v>
      </c>
      <c r="C683" t="s">
        <v>20</v>
      </c>
      <c r="D683" t="s">
        <v>24</v>
      </c>
      <c r="E683" t="s">
        <v>13</v>
      </c>
      <c r="F683">
        <v>223</v>
      </c>
      <c r="G683">
        <v>216.29</v>
      </c>
      <c r="H683">
        <v>100</v>
      </c>
      <c r="I683" s="1">
        <v>45796</v>
      </c>
      <c r="J683" t="s">
        <v>14</v>
      </c>
    </row>
    <row r="684" spans="1:10" x14ac:dyDescent="0.25">
      <c r="A684">
        <v>683</v>
      </c>
      <c r="B684" t="s">
        <v>33</v>
      </c>
      <c r="C684" t="s">
        <v>34</v>
      </c>
      <c r="D684" t="s">
        <v>30</v>
      </c>
      <c r="E684" t="s">
        <v>27</v>
      </c>
      <c r="F684">
        <v>264</v>
      </c>
      <c r="G684">
        <v>383.49</v>
      </c>
      <c r="H684">
        <v>95</v>
      </c>
      <c r="I684" s="1">
        <v>45605</v>
      </c>
      <c r="J684" t="s">
        <v>14</v>
      </c>
    </row>
    <row r="685" spans="1:10" x14ac:dyDescent="0.25">
      <c r="A685">
        <v>684</v>
      </c>
      <c r="B685" t="s">
        <v>53</v>
      </c>
      <c r="C685" t="s">
        <v>26</v>
      </c>
      <c r="D685" t="s">
        <v>12</v>
      </c>
      <c r="E685" t="s">
        <v>32</v>
      </c>
      <c r="F685">
        <v>462</v>
      </c>
      <c r="G685">
        <v>634.36</v>
      </c>
      <c r="H685">
        <v>84</v>
      </c>
      <c r="I685" s="1">
        <v>45658</v>
      </c>
      <c r="J685" t="s">
        <v>14</v>
      </c>
    </row>
    <row r="686" spans="1:10" x14ac:dyDescent="0.25">
      <c r="A686">
        <v>685</v>
      </c>
      <c r="B686" t="s">
        <v>22</v>
      </c>
      <c r="C686" t="s">
        <v>11</v>
      </c>
      <c r="D686" t="s">
        <v>21</v>
      </c>
      <c r="E686" t="s">
        <v>13</v>
      </c>
      <c r="F686">
        <v>47</v>
      </c>
      <c r="G686">
        <v>510.72</v>
      </c>
      <c r="H686">
        <v>149</v>
      </c>
      <c r="I686" s="1">
        <v>45082</v>
      </c>
      <c r="J686" t="s">
        <v>28</v>
      </c>
    </row>
    <row r="687" spans="1:10" x14ac:dyDescent="0.25">
      <c r="A687">
        <v>686</v>
      </c>
      <c r="B687" t="s">
        <v>36</v>
      </c>
      <c r="C687" t="s">
        <v>11</v>
      </c>
      <c r="D687" t="s">
        <v>17</v>
      </c>
      <c r="E687" t="s">
        <v>18</v>
      </c>
      <c r="F687">
        <v>443</v>
      </c>
      <c r="G687">
        <v>351.47</v>
      </c>
      <c r="H687">
        <v>116</v>
      </c>
      <c r="I687" s="1">
        <v>45906</v>
      </c>
      <c r="J687" t="s">
        <v>14</v>
      </c>
    </row>
    <row r="688" spans="1:10" x14ac:dyDescent="0.25">
      <c r="A688">
        <v>687</v>
      </c>
      <c r="B688" t="s">
        <v>47</v>
      </c>
      <c r="C688" t="s">
        <v>20</v>
      </c>
      <c r="D688" t="s">
        <v>12</v>
      </c>
      <c r="E688" t="s">
        <v>39</v>
      </c>
      <c r="F688">
        <v>123</v>
      </c>
      <c r="G688">
        <v>522.91</v>
      </c>
      <c r="H688">
        <v>76</v>
      </c>
      <c r="I688" s="1">
        <v>45686</v>
      </c>
      <c r="J688" t="s">
        <v>14</v>
      </c>
    </row>
    <row r="689" spans="1:10" x14ac:dyDescent="0.25">
      <c r="A689">
        <v>688</v>
      </c>
      <c r="B689" t="s">
        <v>35</v>
      </c>
      <c r="C689" t="s">
        <v>11</v>
      </c>
      <c r="D689" t="s">
        <v>21</v>
      </c>
      <c r="E689" t="s">
        <v>32</v>
      </c>
      <c r="F689">
        <v>362</v>
      </c>
      <c r="G689">
        <v>337.65</v>
      </c>
      <c r="H689">
        <v>127</v>
      </c>
      <c r="I689" s="1">
        <v>45363</v>
      </c>
      <c r="J689" t="s">
        <v>14</v>
      </c>
    </row>
    <row r="690" spans="1:10" x14ac:dyDescent="0.25">
      <c r="A690">
        <v>689</v>
      </c>
      <c r="B690" t="s">
        <v>41</v>
      </c>
      <c r="C690" t="s">
        <v>16</v>
      </c>
      <c r="D690" t="s">
        <v>17</v>
      </c>
      <c r="E690" t="s">
        <v>37</v>
      </c>
      <c r="F690">
        <v>193</v>
      </c>
      <c r="G690">
        <v>693.34</v>
      </c>
      <c r="H690">
        <v>112</v>
      </c>
      <c r="I690" s="1">
        <v>45630</v>
      </c>
      <c r="J690" t="s">
        <v>14</v>
      </c>
    </row>
    <row r="691" spans="1:10" x14ac:dyDescent="0.25">
      <c r="A691">
        <v>690</v>
      </c>
      <c r="B691" t="s">
        <v>50</v>
      </c>
      <c r="C691" t="s">
        <v>34</v>
      </c>
      <c r="D691" t="s">
        <v>12</v>
      </c>
      <c r="E691" t="s">
        <v>13</v>
      </c>
      <c r="F691">
        <v>287</v>
      </c>
      <c r="G691">
        <v>754.91</v>
      </c>
      <c r="H691">
        <v>57</v>
      </c>
      <c r="I691" s="1">
        <v>45191</v>
      </c>
      <c r="J691" t="s">
        <v>14</v>
      </c>
    </row>
    <row r="692" spans="1:10" x14ac:dyDescent="0.25">
      <c r="A692">
        <v>691</v>
      </c>
      <c r="B692" t="s">
        <v>49</v>
      </c>
      <c r="C692" t="s">
        <v>16</v>
      </c>
      <c r="D692" t="s">
        <v>21</v>
      </c>
      <c r="E692" t="s">
        <v>18</v>
      </c>
      <c r="F692">
        <v>146</v>
      </c>
      <c r="G692">
        <v>52.46</v>
      </c>
      <c r="H692">
        <v>124</v>
      </c>
      <c r="I692" s="1">
        <v>45445</v>
      </c>
      <c r="J692" t="s">
        <v>14</v>
      </c>
    </row>
    <row r="693" spans="1:10" x14ac:dyDescent="0.25">
      <c r="A693">
        <v>692</v>
      </c>
      <c r="B693" t="s">
        <v>19</v>
      </c>
      <c r="C693" t="s">
        <v>20</v>
      </c>
      <c r="D693" t="s">
        <v>12</v>
      </c>
      <c r="E693" t="s">
        <v>27</v>
      </c>
      <c r="F693">
        <v>215</v>
      </c>
      <c r="G693">
        <v>741.89</v>
      </c>
      <c r="H693">
        <v>137</v>
      </c>
      <c r="I693" s="1">
        <v>45408</v>
      </c>
      <c r="J693" t="s">
        <v>14</v>
      </c>
    </row>
    <row r="694" spans="1:10" x14ac:dyDescent="0.25">
      <c r="A694">
        <v>693</v>
      </c>
      <c r="B694" t="s">
        <v>23</v>
      </c>
      <c r="C694" t="s">
        <v>20</v>
      </c>
      <c r="D694" t="s">
        <v>12</v>
      </c>
      <c r="E694" t="s">
        <v>18</v>
      </c>
      <c r="F694">
        <v>420</v>
      </c>
      <c r="G694">
        <v>121.78</v>
      </c>
      <c r="H694">
        <v>108</v>
      </c>
      <c r="I694" s="1">
        <v>45812</v>
      </c>
      <c r="J694" t="s">
        <v>14</v>
      </c>
    </row>
    <row r="695" spans="1:10" x14ac:dyDescent="0.25">
      <c r="A695">
        <v>694</v>
      </c>
      <c r="B695" t="s">
        <v>43</v>
      </c>
      <c r="C695" t="s">
        <v>26</v>
      </c>
      <c r="D695" t="s">
        <v>12</v>
      </c>
      <c r="E695" t="s">
        <v>27</v>
      </c>
      <c r="F695">
        <v>399</v>
      </c>
      <c r="G695">
        <v>701.83</v>
      </c>
      <c r="H695">
        <v>136</v>
      </c>
      <c r="I695" s="1">
        <v>46010</v>
      </c>
      <c r="J695" t="s">
        <v>14</v>
      </c>
    </row>
    <row r="696" spans="1:10" x14ac:dyDescent="0.25">
      <c r="A696">
        <v>695</v>
      </c>
      <c r="B696" t="s">
        <v>31</v>
      </c>
      <c r="C696" t="s">
        <v>20</v>
      </c>
      <c r="D696" t="s">
        <v>12</v>
      </c>
      <c r="E696" t="s">
        <v>18</v>
      </c>
      <c r="F696">
        <v>40</v>
      </c>
      <c r="G696">
        <v>87.72</v>
      </c>
      <c r="H696">
        <v>105</v>
      </c>
      <c r="I696" s="1">
        <v>45976</v>
      </c>
      <c r="J696" t="s">
        <v>28</v>
      </c>
    </row>
    <row r="697" spans="1:10" x14ac:dyDescent="0.25">
      <c r="A697">
        <v>696</v>
      </c>
      <c r="B697" t="s">
        <v>29</v>
      </c>
      <c r="C697" t="s">
        <v>16</v>
      </c>
      <c r="D697" t="s">
        <v>12</v>
      </c>
      <c r="E697" t="s">
        <v>18</v>
      </c>
      <c r="F697">
        <v>97</v>
      </c>
      <c r="G697">
        <v>5.52</v>
      </c>
      <c r="H697">
        <v>69</v>
      </c>
      <c r="I697" s="1">
        <v>45262</v>
      </c>
      <c r="J697" t="s">
        <v>14</v>
      </c>
    </row>
    <row r="698" spans="1:10" x14ac:dyDescent="0.25">
      <c r="A698">
        <v>697</v>
      </c>
      <c r="B698" t="s">
        <v>38</v>
      </c>
      <c r="C698" t="s">
        <v>26</v>
      </c>
      <c r="D698" t="s">
        <v>24</v>
      </c>
      <c r="E698" t="s">
        <v>18</v>
      </c>
      <c r="F698">
        <v>417</v>
      </c>
      <c r="G698">
        <v>22.71</v>
      </c>
      <c r="H698">
        <v>73</v>
      </c>
      <c r="I698" s="1">
        <v>45461</v>
      </c>
      <c r="J698" t="s">
        <v>14</v>
      </c>
    </row>
    <row r="699" spans="1:10" x14ac:dyDescent="0.25">
      <c r="A699">
        <v>698</v>
      </c>
      <c r="B699" t="s">
        <v>25</v>
      </c>
      <c r="C699" t="s">
        <v>26</v>
      </c>
      <c r="D699" t="s">
        <v>17</v>
      </c>
      <c r="E699" t="s">
        <v>18</v>
      </c>
      <c r="F699">
        <v>259</v>
      </c>
      <c r="G699">
        <v>197.62</v>
      </c>
      <c r="H699">
        <v>124</v>
      </c>
      <c r="I699" s="1">
        <v>45535</v>
      </c>
      <c r="J699" t="s">
        <v>14</v>
      </c>
    </row>
    <row r="700" spans="1:10" x14ac:dyDescent="0.25">
      <c r="A700">
        <v>699</v>
      </c>
      <c r="B700" t="s">
        <v>50</v>
      </c>
      <c r="C700" t="s">
        <v>34</v>
      </c>
      <c r="D700" t="s">
        <v>24</v>
      </c>
      <c r="E700" t="s">
        <v>39</v>
      </c>
      <c r="F700">
        <v>195</v>
      </c>
      <c r="G700">
        <v>487.44</v>
      </c>
      <c r="H700">
        <v>53</v>
      </c>
      <c r="I700" s="1">
        <v>45241</v>
      </c>
      <c r="J700" t="s">
        <v>14</v>
      </c>
    </row>
    <row r="701" spans="1:10" x14ac:dyDescent="0.25">
      <c r="A701">
        <v>700</v>
      </c>
      <c r="B701" t="s">
        <v>46</v>
      </c>
      <c r="C701" t="s">
        <v>34</v>
      </c>
      <c r="D701" t="s">
        <v>12</v>
      </c>
      <c r="E701" t="s">
        <v>13</v>
      </c>
      <c r="F701">
        <v>216</v>
      </c>
      <c r="G701">
        <v>458.67</v>
      </c>
      <c r="H701">
        <v>67</v>
      </c>
      <c r="I701" s="1">
        <v>45109</v>
      </c>
      <c r="J701" t="s">
        <v>14</v>
      </c>
    </row>
    <row r="702" spans="1:10" x14ac:dyDescent="0.25">
      <c r="A702">
        <v>701</v>
      </c>
      <c r="B702" t="s">
        <v>51</v>
      </c>
      <c r="C702" t="s">
        <v>11</v>
      </c>
      <c r="D702" t="s">
        <v>17</v>
      </c>
      <c r="E702" t="s">
        <v>27</v>
      </c>
      <c r="F702">
        <v>268</v>
      </c>
      <c r="G702">
        <v>619.78</v>
      </c>
      <c r="H702">
        <v>105</v>
      </c>
      <c r="I702" s="1">
        <v>44950</v>
      </c>
      <c r="J702" t="s">
        <v>14</v>
      </c>
    </row>
    <row r="703" spans="1:10" x14ac:dyDescent="0.25">
      <c r="A703">
        <v>702</v>
      </c>
      <c r="B703" t="s">
        <v>51</v>
      </c>
      <c r="C703" t="s">
        <v>11</v>
      </c>
      <c r="D703" t="s">
        <v>24</v>
      </c>
      <c r="E703" t="s">
        <v>32</v>
      </c>
      <c r="F703">
        <v>383</v>
      </c>
      <c r="G703">
        <v>667.72</v>
      </c>
      <c r="H703">
        <v>81</v>
      </c>
      <c r="I703" s="1">
        <v>44954</v>
      </c>
      <c r="J703" t="s">
        <v>14</v>
      </c>
    </row>
    <row r="704" spans="1:10" x14ac:dyDescent="0.25">
      <c r="A704">
        <v>703</v>
      </c>
      <c r="B704" t="s">
        <v>38</v>
      </c>
      <c r="C704" t="s">
        <v>26</v>
      </c>
      <c r="D704" t="s">
        <v>30</v>
      </c>
      <c r="E704" t="s">
        <v>18</v>
      </c>
      <c r="F704">
        <v>143</v>
      </c>
      <c r="G704">
        <v>43.18</v>
      </c>
      <c r="H704">
        <v>57</v>
      </c>
      <c r="I704" s="1">
        <v>45655</v>
      </c>
      <c r="J704" t="s">
        <v>14</v>
      </c>
    </row>
    <row r="705" spans="1:10" x14ac:dyDescent="0.25">
      <c r="A705">
        <v>704</v>
      </c>
      <c r="B705" t="s">
        <v>22</v>
      </c>
      <c r="C705" t="s">
        <v>11</v>
      </c>
      <c r="D705" t="s">
        <v>17</v>
      </c>
      <c r="E705" t="s">
        <v>37</v>
      </c>
      <c r="F705">
        <v>86</v>
      </c>
      <c r="G705">
        <v>481.18</v>
      </c>
      <c r="H705">
        <v>146</v>
      </c>
      <c r="I705" s="1">
        <v>45244</v>
      </c>
      <c r="J705" t="s">
        <v>28</v>
      </c>
    </row>
    <row r="706" spans="1:10" x14ac:dyDescent="0.25">
      <c r="A706">
        <v>705</v>
      </c>
      <c r="B706" t="s">
        <v>51</v>
      </c>
      <c r="C706" t="s">
        <v>11</v>
      </c>
      <c r="D706" t="s">
        <v>17</v>
      </c>
      <c r="E706" t="s">
        <v>32</v>
      </c>
      <c r="F706">
        <v>251</v>
      </c>
      <c r="G706">
        <v>194.17</v>
      </c>
      <c r="H706">
        <v>75</v>
      </c>
      <c r="I706" s="1">
        <v>45463</v>
      </c>
      <c r="J706" t="s">
        <v>14</v>
      </c>
    </row>
    <row r="707" spans="1:10" x14ac:dyDescent="0.25">
      <c r="A707">
        <v>706</v>
      </c>
      <c r="B707" t="s">
        <v>35</v>
      </c>
      <c r="C707" t="s">
        <v>11</v>
      </c>
      <c r="D707" t="s">
        <v>24</v>
      </c>
      <c r="E707" t="s">
        <v>27</v>
      </c>
      <c r="F707">
        <v>137</v>
      </c>
      <c r="G707">
        <v>511.04</v>
      </c>
      <c r="H707">
        <v>103</v>
      </c>
      <c r="I707" s="1">
        <v>45092</v>
      </c>
      <c r="J707" t="s">
        <v>14</v>
      </c>
    </row>
    <row r="708" spans="1:10" x14ac:dyDescent="0.25">
      <c r="A708">
        <v>707</v>
      </c>
      <c r="B708" t="s">
        <v>45</v>
      </c>
      <c r="C708" t="s">
        <v>26</v>
      </c>
      <c r="D708" t="s">
        <v>12</v>
      </c>
      <c r="E708" t="s">
        <v>39</v>
      </c>
      <c r="F708">
        <v>20</v>
      </c>
      <c r="G708">
        <v>369.77</v>
      </c>
      <c r="H708">
        <v>62</v>
      </c>
      <c r="I708" s="1">
        <v>45958</v>
      </c>
      <c r="J708" t="s">
        <v>28</v>
      </c>
    </row>
    <row r="709" spans="1:10" x14ac:dyDescent="0.25">
      <c r="A709">
        <v>708</v>
      </c>
      <c r="B709" t="s">
        <v>41</v>
      </c>
      <c r="C709" t="s">
        <v>16</v>
      </c>
      <c r="D709" t="s">
        <v>17</v>
      </c>
      <c r="E709" t="s">
        <v>27</v>
      </c>
      <c r="F709">
        <v>161</v>
      </c>
      <c r="G709">
        <v>356.04</v>
      </c>
      <c r="H709">
        <v>118</v>
      </c>
      <c r="I709" s="1">
        <v>45677</v>
      </c>
      <c r="J709" t="s">
        <v>14</v>
      </c>
    </row>
    <row r="710" spans="1:10" x14ac:dyDescent="0.25">
      <c r="A710">
        <v>709</v>
      </c>
      <c r="B710" t="s">
        <v>10</v>
      </c>
      <c r="C710" t="s">
        <v>11</v>
      </c>
      <c r="D710" t="s">
        <v>12</v>
      </c>
      <c r="E710" t="s">
        <v>27</v>
      </c>
      <c r="F710">
        <v>54</v>
      </c>
      <c r="G710">
        <v>737.06</v>
      </c>
      <c r="H710">
        <v>69</v>
      </c>
      <c r="I710" s="1">
        <v>45818</v>
      </c>
      <c r="J710" t="s">
        <v>28</v>
      </c>
    </row>
    <row r="711" spans="1:10" x14ac:dyDescent="0.25">
      <c r="A711">
        <v>710</v>
      </c>
      <c r="B711" t="s">
        <v>54</v>
      </c>
      <c r="C711" t="s">
        <v>20</v>
      </c>
      <c r="D711" t="s">
        <v>12</v>
      </c>
      <c r="E711" t="s">
        <v>13</v>
      </c>
      <c r="F711">
        <v>495</v>
      </c>
      <c r="G711">
        <v>329.23</v>
      </c>
      <c r="H711">
        <v>72</v>
      </c>
      <c r="I711" s="1">
        <v>45044</v>
      </c>
      <c r="J711" t="s">
        <v>14</v>
      </c>
    </row>
    <row r="712" spans="1:10" x14ac:dyDescent="0.25">
      <c r="A712">
        <v>711</v>
      </c>
      <c r="B712" t="s">
        <v>49</v>
      </c>
      <c r="C712" t="s">
        <v>16</v>
      </c>
      <c r="D712" t="s">
        <v>12</v>
      </c>
      <c r="E712" t="s">
        <v>13</v>
      </c>
      <c r="F712">
        <v>280</v>
      </c>
      <c r="G712">
        <v>579.1</v>
      </c>
      <c r="H712">
        <v>120</v>
      </c>
      <c r="I712" s="1">
        <v>44967</v>
      </c>
      <c r="J712" t="s">
        <v>14</v>
      </c>
    </row>
    <row r="713" spans="1:10" x14ac:dyDescent="0.25">
      <c r="A713">
        <v>712</v>
      </c>
      <c r="B713" t="s">
        <v>52</v>
      </c>
      <c r="C713" t="s">
        <v>16</v>
      </c>
      <c r="D713" t="s">
        <v>30</v>
      </c>
      <c r="E713" t="s">
        <v>13</v>
      </c>
      <c r="F713">
        <v>23</v>
      </c>
      <c r="G713">
        <v>393.37</v>
      </c>
      <c r="H713">
        <v>114</v>
      </c>
      <c r="I713" s="1">
        <v>45292</v>
      </c>
      <c r="J713" t="s">
        <v>28</v>
      </c>
    </row>
    <row r="714" spans="1:10" x14ac:dyDescent="0.25">
      <c r="A714">
        <v>713</v>
      </c>
      <c r="B714" t="s">
        <v>41</v>
      </c>
      <c r="C714" t="s">
        <v>16</v>
      </c>
      <c r="D714" t="s">
        <v>12</v>
      </c>
      <c r="E714" t="s">
        <v>27</v>
      </c>
      <c r="F714">
        <v>310</v>
      </c>
      <c r="G714">
        <v>82.58</v>
      </c>
      <c r="H714">
        <v>128</v>
      </c>
      <c r="I714" s="1">
        <v>45143</v>
      </c>
      <c r="J714" t="s">
        <v>14</v>
      </c>
    </row>
    <row r="715" spans="1:10" x14ac:dyDescent="0.25">
      <c r="A715">
        <v>714</v>
      </c>
      <c r="B715" t="s">
        <v>22</v>
      </c>
      <c r="C715" t="s">
        <v>11</v>
      </c>
      <c r="D715" t="s">
        <v>17</v>
      </c>
      <c r="E715" t="s">
        <v>37</v>
      </c>
      <c r="F715">
        <v>463</v>
      </c>
      <c r="G715">
        <v>407.28</v>
      </c>
      <c r="H715">
        <v>141</v>
      </c>
      <c r="I715" s="1">
        <v>45654</v>
      </c>
      <c r="J715" t="s">
        <v>14</v>
      </c>
    </row>
    <row r="716" spans="1:10" x14ac:dyDescent="0.25">
      <c r="A716">
        <v>715</v>
      </c>
      <c r="B716" t="s">
        <v>53</v>
      </c>
      <c r="C716" t="s">
        <v>26</v>
      </c>
      <c r="D716" t="s">
        <v>21</v>
      </c>
      <c r="E716" t="s">
        <v>18</v>
      </c>
      <c r="F716">
        <v>183</v>
      </c>
      <c r="G716">
        <v>491.42</v>
      </c>
      <c r="H716">
        <v>91</v>
      </c>
      <c r="I716" s="1">
        <v>45375</v>
      </c>
      <c r="J716" t="s">
        <v>14</v>
      </c>
    </row>
    <row r="717" spans="1:10" x14ac:dyDescent="0.25">
      <c r="A717">
        <v>716</v>
      </c>
      <c r="B717" t="s">
        <v>44</v>
      </c>
      <c r="C717" t="s">
        <v>34</v>
      </c>
      <c r="D717" t="s">
        <v>12</v>
      </c>
      <c r="E717" t="s">
        <v>32</v>
      </c>
      <c r="F717">
        <v>217</v>
      </c>
      <c r="G717">
        <v>691.44</v>
      </c>
      <c r="H717">
        <v>75</v>
      </c>
      <c r="I717" s="1">
        <v>45122</v>
      </c>
      <c r="J717" t="s">
        <v>14</v>
      </c>
    </row>
    <row r="718" spans="1:10" x14ac:dyDescent="0.25">
      <c r="A718">
        <v>717</v>
      </c>
      <c r="B718" t="s">
        <v>33</v>
      </c>
      <c r="C718" t="s">
        <v>34</v>
      </c>
      <c r="D718" t="s">
        <v>17</v>
      </c>
      <c r="E718" t="s">
        <v>32</v>
      </c>
      <c r="F718">
        <v>89</v>
      </c>
      <c r="G718">
        <v>104.89</v>
      </c>
      <c r="H718">
        <v>59</v>
      </c>
      <c r="I718" s="1">
        <v>45711</v>
      </c>
      <c r="J718" t="s">
        <v>14</v>
      </c>
    </row>
    <row r="719" spans="1:10" x14ac:dyDescent="0.25">
      <c r="A719">
        <v>718</v>
      </c>
      <c r="B719" t="s">
        <v>38</v>
      </c>
      <c r="C719" t="s">
        <v>26</v>
      </c>
      <c r="D719" t="s">
        <v>30</v>
      </c>
      <c r="E719" t="s">
        <v>27</v>
      </c>
      <c r="F719">
        <v>179</v>
      </c>
      <c r="G719">
        <v>312.64999999999998</v>
      </c>
      <c r="H719">
        <v>58</v>
      </c>
      <c r="I719" s="1">
        <v>45609</v>
      </c>
      <c r="J719" t="s">
        <v>14</v>
      </c>
    </row>
    <row r="720" spans="1:10" x14ac:dyDescent="0.25">
      <c r="A720">
        <v>719</v>
      </c>
      <c r="B720" t="s">
        <v>48</v>
      </c>
      <c r="C720" t="s">
        <v>20</v>
      </c>
      <c r="D720" t="s">
        <v>30</v>
      </c>
      <c r="E720" t="s">
        <v>37</v>
      </c>
      <c r="F720">
        <v>488</v>
      </c>
      <c r="G720">
        <v>239.65</v>
      </c>
      <c r="H720">
        <v>85</v>
      </c>
      <c r="I720" s="1">
        <v>45067</v>
      </c>
      <c r="J720" t="s">
        <v>14</v>
      </c>
    </row>
    <row r="721" spans="1:10" x14ac:dyDescent="0.25">
      <c r="A721">
        <v>720</v>
      </c>
      <c r="B721" t="s">
        <v>46</v>
      </c>
      <c r="C721" t="s">
        <v>34</v>
      </c>
      <c r="D721" t="s">
        <v>12</v>
      </c>
      <c r="E721" t="s">
        <v>39</v>
      </c>
      <c r="F721">
        <v>117</v>
      </c>
      <c r="G721">
        <v>628.85</v>
      </c>
      <c r="H721">
        <v>133</v>
      </c>
      <c r="I721" s="1">
        <v>45483</v>
      </c>
      <c r="J721" t="s">
        <v>28</v>
      </c>
    </row>
    <row r="722" spans="1:10" x14ac:dyDescent="0.25">
      <c r="A722">
        <v>721</v>
      </c>
      <c r="B722" t="s">
        <v>42</v>
      </c>
      <c r="C722" t="s">
        <v>16</v>
      </c>
      <c r="D722" t="s">
        <v>12</v>
      </c>
      <c r="E722" t="s">
        <v>27</v>
      </c>
      <c r="F722">
        <v>91</v>
      </c>
      <c r="G722">
        <v>139.43</v>
      </c>
      <c r="H722">
        <v>143</v>
      </c>
      <c r="I722" s="1">
        <v>45360</v>
      </c>
      <c r="J722" t="s">
        <v>28</v>
      </c>
    </row>
    <row r="723" spans="1:10" x14ac:dyDescent="0.25">
      <c r="A723">
        <v>722</v>
      </c>
      <c r="B723" t="s">
        <v>19</v>
      </c>
      <c r="C723" t="s">
        <v>20</v>
      </c>
      <c r="D723" t="s">
        <v>21</v>
      </c>
      <c r="E723" t="s">
        <v>18</v>
      </c>
      <c r="F723">
        <v>388</v>
      </c>
      <c r="G723">
        <v>797.31</v>
      </c>
      <c r="H723">
        <v>64</v>
      </c>
      <c r="I723" s="1">
        <v>45898</v>
      </c>
      <c r="J723" t="s">
        <v>14</v>
      </c>
    </row>
    <row r="724" spans="1:10" x14ac:dyDescent="0.25">
      <c r="A724">
        <v>723</v>
      </c>
      <c r="B724" t="s">
        <v>43</v>
      </c>
      <c r="C724" t="s">
        <v>26</v>
      </c>
      <c r="D724" t="s">
        <v>12</v>
      </c>
      <c r="E724" t="s">
        <v>37</v>
      </c>
      <c r="F724">
        <v>148</v>
      </c>
      <c r="G724">
        <v>687.31</v>
      </c>
      <c r="H724">
        <v>73</v>
      </c>
      <c r="I724" s="1">
        <v>45844</v>
      </c>
      <c r="J724" t="s">
        <v>14</v>
      </c>
    </row>
    <row r="725" spans="1:10" x14ac:dyDescent="0.25">
      <c r="A725">
        <v>724</v>
      </c>
      <c r="B725" t="s">
        <v>49</v>
      </c>
      <c r="C725" t="s">
        <v>16</v>
      </c>
      <c r="D725" t="s">
        <v>24</v>
      </c>
      <c r="E725" t="s">
        <v>27</v>
      </c>
      <c r="F725">
        <v>120</v>
      </c>
      <c r="G725">
        <v>574.01</v>
      </c>
      <c r="H725">
        <v>113</v>
      </c>
      <c r="I725" s="1">
        <v>44933</v>
      </c>
      <c r="J725" t="s">
        <v>14</v>
      </c>
    </row>
    <row r="726" spans="1:10" x14ac:dyDescent="0.25">
      <c r="A726">
        <v>725</v>
      </c>
      <c r="B726" t="s">
        <v>35</v>
      </c>
      <c r="C726" t="s">
        <v>11</v>
      </c>
      <c r="D726" t="s">
        <v>12</v>
      </c>
      <c r="E726" t="s">
        <v>27</v>
      </c>
      <c r="F726">
        <v>70</v>
      </c>
      <c r="G726">
        <v>394.46</v>
      </c>
      <c r="H726">
        <v>126</v>
      </c>
      <c r="I726" s="1">
        <v>45744</v>
      </c>
      <c r="J726" t="s">
        <v>28</v>
      </c>
    </row>
    <row r="727" spans="1:10" x14ac:dyDescent="0.25">
      <c r="A727">
        <v>726</v>
      </c>
      <c r="B727" t="s">
        <v>53</v>
      </c>
      <c r="C727" t="s">
        <v>26</v>
      </c>
      <c r="D727" t="s">
        <v>30</v>
      </c>
      <c r="E727" t="s">
        <v>32</v>
      </c>
      <c r="F727">
        <v>62</v>
      </c>
      <c r="G727">
        <v>247.54</v>
      </c>
      <c r="H727">
        <v>144</v>
      </c>
      <c r="I727" s="1">
        <v>45994</v>
      </c>
      <c r="J727" t="s">
        <v>28</v>
      </c>
    </row>
    <row r="728" spans="1:10" x14ac:dyDescent="0.25">
      <c r="A728">
        <v>727</v>
      </c>
      <c r="B728" t="s">
        <v>52</v>
      </c>
      <c r="C728" t="s">
        <v>16</v>
      </c>
      <c r="D728" t="s">
        <v>17</v>
      </c>
      <c r="E728" t="s">
        <v>32</v>
      </c>
      <c r="F728">
        <v>446</v>
      </c>
      <c r="G728">
        <v>657.09</v>
      </c>
      <c r="H728">
        <v>139</v>
      </c>
      <c r="I728" s="1">
        <v>45648</v>
      </c>
      <c r="J728" t="s">
        <v>14</v>
      </c>
    </row>
    <row r="729" spans="1:10" x14ac:dyDescent="0.25">
      <c r="A729">
        <v>728</v>
      </c>
      <c r="B729" t="s">
        <v>31</v>
      </c>
      <c r="C729" t="s">
        <v>20</v>
      </c>
      <c r="D729" t="s">
        <v>21</v>
      </c>
      <c r="E729" t="s">
        <v>32</v>
      </c>
      <c r="F729">
        <v>260</v>
      </c>
      <c r="G729">
        <v>415.92</v>
      </c>
      <c r="H729">
        <v>106</v>
      </c>
      <c r="I729" s="1">
        <v>45604</v>
      </c>
      <c r="J729" t="s">
        <v>14</v>
      </c>
    </row>
    <row r="730" spans="1:10" x14ac:dyDescent="0.25">
      <c r="A730">
        <v>729</v>
      </c>
      <c r="B730" t="s">
        <v>29</v>
      </c>
      <c r="C730" t="s">
        <v>16</v>
      </c>
      <c r="D730" t="s">
        <v>24</v>
      </c>
      <c r="E730" t="s">
        <v>37</v>
      </c>
      <c r="F730">
        <v>139</v>
      </c>
      <c r="G730">
        <v>274.2</v>
      </c>
      <c r="H730">
        <v>117</v>
      </c>
      <c r="I730" s="1">
        <v>45373</v>
      </c>
      <c r="J730" t="s">
        <v>14</v>
      </c>
    </row>
    <row r="731" spans="1:10" x14ac:dyDescent="0.25">
      <c r="A731">
        <v>730</v>
      </c>
      <c r="B731" t="s">
        <v>23</v>
      </c>
      <c r="C731" t="s">
        <v>20</v>
      </c>
      <c r="D731" t="s">
        <v>24</v>
      </c>
      <c r="E731" t="s">
        <v>18</v>
      </c>
      <c r="F731">
        <v>262</v>
      </c>
      <c r="G731">
        <v>417.96</v>
      </c>
      <c r="H731">
        <v>86</v>
      </c>
      <c r="I731" s="1">
        <v>45505</v>
      </c>
      <c r="J731" t="s">
        <v>14</v>
      </c>
    </row>
    <row r="732" spans="1:10" x14ac:dyDescent="0.25">
      <c r="A732">
        <v>731</v>
      </c>
      <c r="B732" t="s">
        <v>50</v>
      </c>
      <c r="C732" t="s">
        <v>34</v>
      </c>
      <c r="D732" t="s">
        <v>17</v>
      </c>
      <c r="E732" t="s">
        <v>39</v>
      </c>
      <c r="F732">
        <v>410</v>
      </c>
      <c r="G732">
        <v>172.82</v>
      </c>
      <c r="H732">
        <v>95</v>
      </c>
      <c r="I732" s="1">
        <v>45252</v>
      </c>
      <c r="J732" t="s">
        <v>14</v>
      </c>
    </row>
    <row r="733" spans="1:10" x14ac:dyDescent="0.25">
      <c r="A733">
        <v>732</v>
      </c>
      <c r="B733" t="s">
        <v>47</v>
      </c>
      <c r="C733" t="s">
        <v>20</v>
      </c>
      <c r="D733" t="s">
        <v>30</v>
      </c>
      <c r="E733" t="s">
        <v>32</v>
      </c>
      <c r="F733">
        <v>494</v>
      </c>
      <c r="G733">
        <v>283.16000000000003</v>
      </c>
      <c r="H733">
        <v>119</v>
      </c>
      <c r="I733" s="1">
        <v>45949</v>
      </c>
      <c r="J733" t="s">
        <v>14</v>
      </c>
    </row>
    <row r="734" spans="1:10" x14ac:dyDescent="0.25">
      <c r="A734">
        <v>733</v>
      </c>
      <c r="B734" t="s">
        <v>50</v>
      </c>
      <c r="C734" t="s">
        <v>34</v>
      </c>
      <c r="D734" t="s">
        <v>17</v>
      </c>
      <c r="E734" t="s">
        <v>27</v>
      </c>
      <c r="F734">
        <v>184</v>
      </c>
      <c r="G734">
        <v>782.33</v>
      </c>
      <c r="H734">
        <v>87</v>
      </c>
      <c r="I734" s="1">
        <v>44947</v>
      </c>
      <c r="J734" t="s">
        <v>14</v>
      </c>
    </row>
    <row r="735" spans="1:10" x14ac:dyDescent="0.25">
      <c r="A735">
        <v>734</v>
      </c>
      <c r="B735" t="s">
        <v>25</v>
      </c>
      <c r="C735" t="s">
        <v>26</v>
      </c>
      <c r="D735" t="s">
        <v>17</v>
      </c>
      <c r="E735" t="s">
        <v>13</v>
      </c>
      <c r="F735">
        <v>186</v>
      </c>
      <c r="G735">
        <v>98.66</v>
      </c>
      <c r="H735">
        <v>56</v>
      </c>
      <c r="I735" s="1">
        <v>45168</v>
      </c>
      <c r="J735" t="s">
        <v>14</v>
      </c>
    </row>
    <row r="736" spans="1:10" x14ac:dyDescent="0.25">
      <c r="A736">
        <v>735</v>
      </c>
      <c r="B736" t="s">
        <v>41</v>
      </c>
      <c r="C736" t="s">
        <v>16</v>
      </c>
      <c r="D736" t="s">
        <v>17</v>
      </c>
      <c r="E736" t="s">
        <v>13</v>
      </c>
      <c r="F736">
        <v>442</v>
      </c>
      <c r="G736">
        <v>750.29</v>
      </c>
      <c r="H736">
        <v>93</v>
      </c>
      <c r="I736" s="1">
        <v>45560</v>
      </c>
      <c r="J736" t="s">
        <v>14</v>
      </c>
    </row>
    <row r="737" spans="1:10" x14ac:dyDescent="0.25">
      <c r="A737">
        <v>736</v>
      </c>
      <c r="B737" t="s">
        <v>50</v>
      </c>
      <c r="C737" t="s">
        <v>34</v>
      </c>
      <c r="D737" t="s">
        <v>21</v>
      </c>
      <c r="E737" t="s">
        <v>27</v>
      </c>
      <c r="F737">
        <v>274</v>
      </c>
      <c r="G737">
        <v>644.21</v>
      </c>
      <c r="H737">
        <v>140</v>
      </c>
      <c r="I737" s="1">
        <v>45022</v>
      </c>
      <c r="J737" t="s">
        <v>14</v>
      </c>
    </row>
    <row r="738" spans="1:10" x14ac:dyDescent="0.25">
      <c r="A738">
        <v>737</v>
      </c>
      <c r="B738" t="s">
        <v>47</v>
      </c>
      <c r="C738" t="s">
        <v>20</v>
      </c>
      <c r="D738" t="s">
        <v>30</v>
      </c>
      <c r="E738" t="s">
        <v>32</v>
      </c>
      <c r="F738">
        <v>106</v>
      </c>
      <c r="G738">
        <v>542.70000000000005</v>
      </c>
      <c r="H738">
        <v>55</v>
      </c>
      <c r="I738" s="1">
        <v>45673</v>
      </c>
      <c r="J738" t="s">
        <v>14</v>
      </c>
    </row>
    <row r="739" spans="1:10" x14ac:dyDescent="0.25">
      <c r="A739">
        <v>738</v>
      </c>
      <c r="B739" t="s">
        <v>42</v>
      </c>
      <c r="C739" t="s">
        <v>16</v>
      </c>
      <c r="D739" t="s">
        <v>12</v>
      </c>
      <c r="E739" t="s">
        <v>27</v>
      </c>
      <c r="F739">
        <v>143</v>
      </c>
      <c r="G739">
        <v>23.23</v>
      </c>
      <c r="H739">
        <v>59</v>
      </c>
      <c r="I739" s="1">
        <v>45068</v>
      </c>
      <c r="J739" t="s">
        <v>14</v>
      </c>
    </row>
    <row r="740" spans="1:10" x14ac:dyDescent="0.25">
      <c r="A740">
        <v>739</v>
      </c>
      <c r="B740" t="s">
        <v>54</v>
      </c>
      <c r="C740" t="s">
        <v>20</v>
      </c>
      <c r="D740" t="s">
        <v>12</v>
      </c>
      <c r="E740" t="s">
        <v>18</v>
      </c>
      <c r="F740">
        <v>57</v>
      </c>
      <c r="G740">
        <v>133.72999999999999</v>
      </c>
      <c r="H740">
        <v>143</v>
      </c>
      <c r="I740" s="1">
        <v>45370</v>
      </c>
      <c r="J740" t="s">
        <v>28</v>
      </c>
    </row>
    <row r="741" spans="1:10" x14ac:dyDescent="0.25">
      <c r="A741">
        <v>740</v>
      </c>
      <c r="B741" t="s">
        <v>40</v>
      </c>
      <c r="C741" t="s">
        <v>34</v>
      </c>
      <c r="D741" t="s">
        <v>12</v>
      </c>
      <c r="E741" t="s">
        <v>13</v>
      </c>
      <c r="F741">
        <v>346</v>
      </c>
      <c r="G741">
        <v>174.81</v>
      </c>
      <c r="H741">
        <v>121</v>
      </c>
      <c r="I741" s="1">
        <v>45745</v>
      </c>
      <c r="J741" t="s">
        <v>14</v>
      </c>
    </row>
    <row r="742" spans="1:10" x14ac:dyDescent="0.25">
      <c r="A742">
        <v>741</v>
      </c>
      <c r="B742" t="s">
        <v>33</v>
      </c>
      <c r="C742" t="s">
        <v>34</v>
      </c>
      <c r="D742" t="s">
        <v>12</v>
      </c>
      <c r="E742" t="s">
        <v>39</v>
      </c>
      <c r="F742">
        <v>219</v>
      </c>
      <c r="G742">
        <v>585.45000000000005</v>
      </c>
      <c r="H742">
        <v>63</v>
      </c>
      <c r="I742" s="1">
        <v>44960</v>
      </c>
      <c r="J742" t="s">
        <v>14</v>
      </c>
    </row>
    <row r="743" spans="1:10" x14ac:dyDescent="0.25">
      <c r="A743">
        <v>742</v>
      </c>
      <c r="B743" t="s">
        <v>25</v>
      </c>
      <c r="C743" t="s">
        <v>26</v>
      </c>
      <c r="D743" t="s">
        <v>17</v>
      </c>
      <c r="E743" t="s">
        <v>18</v>
      </c>
      <c r="F743">
        <v>54</v>
      </c>
      <c r="G743">
        <v>502.6</v>
      </c>
      <c r="H743">
        <v>142</v>
      </c>
      <c r="I743" s="1">
        <v>45556</v>
      </c>
      <c r="J743" t="s">
        <v>28</v>
      </c>
    </row>
    <row r="744" spans="1:10" x14ac:dyDescent="0.25">
      <c r="A744">
        <v>743</v>
      </c>
      <c r="B744" t="s">
        <v>41</v>
      </c>
      <c r="C744" t="s">
        <v>16</v>
      </c>
      <c r="D744" t="s">
        <v>17</v>
      </c>
      <c r="E744" t="s">
        <v>27</v>
      </c>
      <c r="F744">
        <v>298</v>
      </c>
      <c r="G744">
        <v>626.72</v>
      </c>
      <c r="H744">
        <v>121</v>
      </c>
      <c r="I744" s="1">
        <v>45943</v>
      </c>
      <c r="J744" t="s">
        <v>14</v>
      </c>
    </row>
    <row r="745" spans="1:10" x14ac:dyDescent="0.25">
      <c r="A745">
        <v>744</v>
      </c>
      <c r="B745" t="s">
        <v>48</v>
      </c>
      <c r="C745" t="s">
        <v>20</v>
      </c>
      <c r="D745" t="s">
        <v>12</v>
      </c>
      <c r="E745" t="s">
        <v>32</v>
      </c>
      <c r="F745">
        <v>224</v>
      </c>
      <c r="G745">
        <v>220.31</v>
      </c>
      <c r="H745">
        <v>53</v>
      </c>
      <c r="I745" s="1">
        <v>45724</v>
      </c>
      <c r="J745" t="s">
        <v>14</v>
      </c>
    </row>
    <row r="746" spans="1:10" x14ac:dyDescent="0.25">
      <c r="A746">
        <v>745</v>
      </c>
      <c r="B746" t="s">
        <v>52</v>
      </c>
      <c r="C746" t="s">
        <v>16</v>
      </c>
      <c r="D746" t="s">
        <v>21</v>
      </c>
      <c r="E746" t="s">
        <v>39</v>
      </c>
      <c r="F746">
        <v>308</v>
      </c>
      <c r="G746">
        <v>605.17999999999995</v>
      </c>
      <c r="H746">
        <v>116</v>
      </c>
      <c r="I746" s="1">
        <v>45904</v>
      </c>
      <c r="J746" t="s">
        <v>14</v>
      </c>
    </row>
    <row r="747" spans="1:10" x14ac:dyDescent="0.25">
      <c r="A747">
        <v>746</v>
      </c>
      <c r="B747" t="s">
        <v>25</v>
      </c>
      <c r="C747" t="s">
        <v>26</v>
      </c>
      <c r="D747" t="s">
        <v>17</v>
      </c>
      <c r="E747" t="s">
        <v>39</v>
      </c>
      <c r="F747">
        <v>252</v>
      </c>
      <c r="G747">
        <v>378.65</v>
      </c>
      <c r="H747">
        <v>83</v>
      </c>
      <c r="I747" s="1">
        <v>45893</v>
      </c>
      <c r="J747" t="s">
        <v>14</v>
      </c>
    </row>
    <row r="748" spans="1:10" x14ac:dyDescent="0.25">
      <c r="A748">
        <v>747</v>
      </c>
      <c r="B748" t="s">
        <v>25</v>
      </c>
      <c r="C748" t="s">
        <v>26</v>
      </c>
      <c r="D748" t="s">
        <v>30</v>
      </c>
      <c r="E748" t="s">
        <v>27</v>
      </c>
      <c r="F748">
        <v>57</v>
      </c>
      <c r="G748">
        <v>505.69</v>
      </c>
      <c r="H748">
        <v>72</v>
      </c>
      <c r="I748" s="1">
        <v>45568</v>
      </c>
      <c r="J748" t="s">
        <v>28</v>
      </c>
    </row>
    <row r="749" spans="1:10" x14ac:dyDescent="0.25">
      <c r="A749">
        <v>748</v>
      </c>
      <c r="B749" t="s">
        <v>54</v>
      </c>
      <c r="C749" t="s">
        <v>20</v>
      </c>
      <c r="D749" t="s">
        <v>24</v>
      </c>
      <c r="E749" t="s">
        <v>13</v>
      </c>
      <c r="F749">
        <v>222</v>
      </c>
      <c r="G749">
        <v>252.92</v>
      </c>
      <c r="H749">
        <v>138</v>
      </c>
      <c r="I749" s="1">
        <v>45199</v>
      </c>
      <c r="J749" t="s">
        <v>14</v>
      </c>
    </row>
    <row r="750" spans="1:10" x14ac:dyDescent="0.25">
      <c r="A750">
        <v>749</v>
      </c>
      <c r="B750" t="s">
        <v>25</v>
      </c>
      <c r="C750" t="s">
        <v>26</v>
      </c>
      <c r="D750" t="s">
        <v>21</v>
      </c>
      <c r="E750" t="s">
        <v>13</v>
      </c>
      <c r="F750">
        <v>455</v>
      </c>
      <c r="G750">
        <v>446.57</v>
      </c>
      <c r="H750">
        <v>66</v>
      </c>
      <c r="I750" s="1">
        <v>45726</v>
      </c>
      <c r="J750" t="s">
        <v>14</v>
      </c>
    </row>
    <row r="751" spans="1:10" x14ac:dyDescent="0.25">
      <c r="A751">
        <v>750</v>
      </c>
      <c r="B751" t="s">
        <v>38</v>
      </c>
      <c r="C751" t="s">
        <v>26</v>
      </c>
      <c r="D751" t="s">
        <v>17</v>
      </c>
      <c r="E751" t="s">
        <v>18</v>
      </c>
      <c r="F751">
        <v>400</v>
      </c>
      <c r="G751">
        <v>241.43</v>
      </c>
      <c r="H751">
        <v>146</v>
      </c>
      <c r="I751" s="1">
        <v>45114</v>
      </c>
      <c r="J751" t="s">
        <v>14</v>
      </c>
    </row>
    <row r="752" spans="1:10" x14ac:dyDescent="0.25">
      <c r="A752">
        <v>751</v>
      </c>
      <c r="B752" t="s">
        <v>25</v>
      </c>
      <c r="C752" t="s">
        <v>26</v>
      </c>
      <c r="D752" t="s">
        <v>21</v>
      </c>
      <c r="E752" t="s">
        <v>18</v>
      </c>
      <c r="F752">
        <v>155</v>
      </c>
      <c r="G752">
        <v>321.62</v>
      </c>
      <c r="H752">
        <v>61</v>
      </c>
      <c r="I752" s="1">
        <v>45981</v>
      </c>
      <c r="J752" t="s">
        <v>14</v>
      </c>
    </row>
    <row r="753" spans="1:10" x14ac:dyDescent="0.25">
      <c r="A753">
        <v>752</v>
      </c>
      <c r="B753" t="s">
        <v>29</v>
      </c>
      <c r="C753" t="s">
        <v>16</v>
      </c>
      <c r="D753" t="s">
        <v>21</v>
      </c>
      <c r="E753" t="s">
        <v>27</v>
      </c>
      <c r="F753">
        <v>184</v>
      </c>
      <c r="G753">
        <v>495.06</v>
      </c>
      <c r="H753">
        <v>121</v>
      </c>
      <c r="I753" s="1">
        <v>45983</v>
      </c>
      <c r="J753" t="s">
        <v>14</v>
      </c>
    </row>
    <row r="754" spans="1:10" x14ac:dyDescent="0.25">
      <c r="A754">
        <v>753</v>
      </c>
      <c r="B754" t="s">
        <v>48</v>
      </c>
      <c r="C754" t="s">
        <v>20</v>
      </c>
      <c r="D754" t="s">
        <v>30</v>
      </c>
      <c r="E754" t="s">
        <v>13</v>
      </c>
      <c r="F754">
        <v>468</v>
      </c>
      <c r="G754">
        <v>686.21</v>
      </c>
      <c r="H754">
        <v>60</v>
      </c>
      <c r="I754" s="1">
        <v>45256</v>
      </c>
      <c r="J754" t="s">
        <v>14</v>
      </c>
    </row>
    <row r="755" spans="1:10" x14ac:dyDescent="0.25">
      <c r="A755">
        <v>754</v>
      </c>
      <c r="B755" t="s">
        <v>43</v>
      </c>
      <c r="C755" t="s">
        <v>26</v>
      </c>
      <c r="D755" t="s">
        <v>24</v>
      </c>
      <c r="E755" t="s">
        <v>18</v>
      </c>
      <c r="F755">
        <v>231</v>
      </c>
      <c r="G755">
        <v>361.16</v>
      </c>
      <c r="H755">
        <v>82</v>
      </c>
      <c r="I755" s="1">
        <v>45150</v>
      </c>
      <c r="J755" t="s">
        <v>14</v>
      </c>
    </row>
    <row r="756" spans="1:10" x14ac:dyDescent="0.25">
      <c r="A756">
        <v>755</v>
      </c>
      <c r="B756" t="s">
        <v>50</v>
      </c>
      <c r="C756" t="s">
        <v>34</v>
      </c>
      <c r="D756" t="s">
        <v>24</v>
      </c>
      <c r="E756" t="s">
        <v>39</v>
      </c>
      <c r="F756">
        <v>462</v>
      </c>
      <c r="G756">
        <v>519.11</v>
      </c>
      <c r="H756">
        <v>82</v>
      </c>
      <c r="I756" s="1">
        <v>45352</v>
      </c>
      <c r="J756" t="s">
        <v>14</v>
      </c>
    </row>
    <row r="757" spans="1:10" x14ac:dyDescent="0.25">
      <c r="A757">
        <v>756</v>
      </c>
      <c r="B757" t="s">
        <v>33</v>
      </c>
      <c r="C757" t="s">
        <v>34</v>
      </c>
      <c r="D757" t="s">
        <v>21</v>
      </c>
      <c r="E757" t="s">
        <v>18</v>
      </c>
      <c r="F757">
        <v>248</v>
      </c>
      <c r="G757">
        <v>56.88</v>
      </c>
      <c r="H757">
        <v>139</v>
      </c>
      <c r="I757" s="1">
        <v>45471</v>
      </c>
      <c r="J757" t="s">
        <v>14</v>
      </c>
    </row>
    <row r="758" spans="1:10" x14ac:dyDescent="0.25">
      <c r="A758">
        <v>757</v>
      </c>
      <c r="B758" t="s">
        <v>19</v>
      </c>
      <c r="C758" t="s">
        <v>20</v>
      </c>
      <c r="D758" t="s">
        <v>24</v>
      </c>
      <c r="E758" t="s">
        <v>18</v>
      </c>
      <c r="F758">
        <v>300</v>
      </c>
      <c r="G758">
        <v>175.52</v>
      </c>
      <c r="H758">
        <v>60</v>
      </c>
      <c r="I758" s="1">
        <v>45234</v>
      </c>
      <c r="J758" t="s">
        <v>14</v>
      </c>
    </row>
    <row r="759" spans="1:10" x14ac:dyDescent="0.25">
      <c r="A759">
        <v>758</v>
      </c>
      <c r="B759" t="s">
        <v>25</v>
      </c>
      <c r="C759" t="s">
        <v>26</v>
      </c>
      <c r="D759" t="s">
        <v>12</v>
      </c>
      <c r="E759" t="s">
        <v>37</v>
      </c>
      <c r="F759">
        <v>487</v>
      </c>
      <c r="G759">
        <v>210.19</v>
      </c>
      <c r="H759">
        <v>113</v>
      </c>
      <c r="I759" s="1">
        <v>45807</v>
      </c>
      <c r="J759" t="s">
        <v>14</v>
      </c>
    </row>
    <row r="760" spans="1:10" x14ac:dyDescent="0.25">
      <c r="A760">
        <v>759</v>
      </c>
      <c r="B760" t="s">
        <v>46</v>
      </c>
      <c r="C760" t="s">
        <v>34</v>
      </c>
      <c r="D760" t="s">
        <v>24</v>
      </c>
      <c r="E760" t="s">
        <v>39</v>
      </c>
      <c r="F760">
        <v>1</v>
      </c>
      <c r="G760">
        <v>275.10000000000002</v>
      </c>
      <c r="H760">
        <v>134</v>
      </c>
      <c r="I760" s="1">
        <v>46012</v>
      </c>
      <c r="J760" t="s">
        <v>28</v>
      </c>
    </row>
    <row r="761" spans="1:10" x14ac:dyDescent="0.25">
      <c r="A761">
        <v>760</v>
      </c>
      <c r="B761" t="s">
        <v>22</v>
      </c>
      <c r="C761" t="s">
        <v>11</v>
      </c>
      <c r="D761" t="s">
        <v>17</v>
      </c>
      <c r="E761" t="s">
        <v>39</v>
      </c>
      <c r="F761">
        <v>106</v>
      </c>
      <c r="G761">
        <v>601.75</v>
      </c>
      <c r="H761">
        <v>115</v>
      </c>
      <c r="I761" s="1">
        <v>45470</v>
      </c>
      <c r="J761" t="s">
        <v>28</v>
      </c>
    </row>
    <row r="762" spans="1:10" x14ac:dyDescent="0.25">
      <c r="A762">
        <v>761</v>
      </c>
      <c r="B762" t="s">
        <v>47</v>
      </c>
      <c r="C762" t="s">
        <v>20</v>
      </c>
      <c r="D762" t="s">
        <v>12</v>
      </c>
      <c r="E762" t="s">
        <v>13</v>
      </c>
      <c r="F762">
        <v>253</v>
      </c>
      <c r="G762">
        <v>243.71</v>
      </c>
      <c r="H762">
        <v>67</v>
      </c>
      <c r="I762" s="1">
        <v>45293</v>
      </c>
      <c r="J762" t="s">
        <v>14</v>
      </c>
    </row>
    <row r="763" spans="1:10" x14ac:dyDescent="0.25">
      <c r="A763">
        <v>762</v>
      </c>
      <c r="B763" t="s">
        <v>15</v>
      </c>
      <c r="C763" t="s">
        <v>16</v>
      </c>
      <c r="D763" t="s">
        <v>17</v>
      </c>
      <c r="E763" t="s">
        <v>32</v>
      </c>
      <c r="F763">
        <v>47</v>
      </c>
      <c r="G763">
        <v>467.06</v>
      </c>
      <c r="H763">
        <v>144</v>
      </c>
      <c r="I763" s="1">
        <v>45041</v>
      </c>
      <c r="J763" t="s">
        <v>28</v>
      </c>
    </row>
    <row r="764" spans="1:10" x14ac:dyDescent="0.25">
      <c r="A764">
        <v>763</v>
      </c>
      <c r="B764" t="s">
        <v>10</v>
      </c>
      <c r="C764" t="s">
        <v>11</v>
      </c>
      <c r="D764" t="s">
        <v>30</v>
      </c>
      <c r="E764" t="s">
        <v>32</v>
      </c>
      <c r="F764">
        <v>124</v>
      </c>
      <c r="G764">
        <v>179.12</v>
      </c>
      <c r="H764">
        <v>69</v>
      </c>
      <c r="I764" s="1">
        <v>45514</v>
      </c>
      <c r="J764" t="s">
        <v>14</v>
      </c>
    </row>
    <row r="765" spans="1:10" x14ac:dyDescent="0.25">
      <c r="A765">
        <v>764</v>
      </c>
      <c r="B765" t="s">
        <v>22</v>
      </c>
      <c r="C765" t="s">
        <v>11</v>
      </c>
      <c r="D765" t="s">
        <v>21</v>
      </c>
      <c r="E765" t="s">
        <v>18</v>
      </c>
      <c r="F765">
        <v>28</v>
      </c>
      <c r="G765">
        <v>551.20000000000005</v>
      </c>
      <c r="H765">
        <v>125</v>
      </c>
      <c r="I765" s="1">
        <v>45836</v>
      </c>
      <c r="J765" t="s">
        <v>28</v>
      </c>
    </row>
    <row r="766" spans="1:10" x14ac:dyDescent="0.25">
      <c r="A766">
        <v>765</v>
      </c>
      <c r="B766" t="s">
        <v>35</v>
      </c>
      <c r="C766" t="s">
        <v>11</v>
      </c>
      <c r="D766" t="s">
        <v>12</v>
      </c>
      <c r="E766" t="s">
        <v>27</v>
      </c>
      <c r="F766">
        <v>73</v>
      </c>
      <c r="G766">
        <v>175.96</v>
      </c>
      <c r="H766">
        <v>79</v>
      </c>
      <c r="I766" s="1">
        <v>45554</v>
      </c>
      <c r="J766" t="s">
        <v>28</v>
      </c>
    </row>
    <row r="767" spans="1:10" x14ac:dyDescent="0.25">
      <c r="A767">
        <v>766</v>
      </c>
      <c r="B767" t="s">
        <v>44</v>
      </c>
      <c r="C767" t="s">
        <v>34</v>
      </c>
      <c r="D767" t="s">
        <v>17</v>
      </c>
      <c r="E767" t="s">
        <v>13</v>
      </c>
      <c r="F767">
        <v>81</v>
      </c>
      <c r="G767">
        <v>575.79</v>
      </c>
      <c r="H767">
        <v>83</v>
      </c>
      <c r="I767" s="1">
        <v>45730</v>
      </c>
      <c r="J767" t="s">
        <v>28</v>
      </c>
    </row>
    <row r="768" spans="1:10" x14ac:dyDescent="0.25">
      <c r="A768">
        <v>767</v>
      </c>
      <c r="B768" t="s">
        <v>44</v>
      </c>
      <c r="C768" t="s">
        <v>34</v>
      </c>
      <c r="D768" t="s">
        <v>24</v>
      </c>
      <c r="E768" t="s">
        <v>18</v>
      </c>
      <c r="F768">
        <v>134</v>
      </c>
      <c r="G768">
        <v>450.98</v>
      </c>
      <c r="H768">
        <v>143</v>
      </c>
      <c r="I768" s="1">
        <v>44976</v>
      </c>
      <c r="J768" t="s">
        <v>28</v>
      </c>
    </row>
    <row r="769" spans="1:10" x14ac:dyDescent="0.25">
      <c r="A769">
        <v>768</v>
      </c>
      <c r="B769" t="s">
        <v>10</v>
      </c>
      <c r="C769" t="s">
        <v>11</v>
      </c>
      <c r="D769" t="s">
        <v>17</v>
      </c>
      <c r="E769" t="s">
        <v>39</v>
      </c>
      <c r="F769">
        <v>450</v>
      </c>
      <c r="G769">
        <v>547.20000000000005</v>
      </c>
      <c r="H769">
        <v>104</v>
      </c>
      <c r="I769" s="1">
        <v>45458</v>
      </c>
      <c r="J769" t="s">
        <v>14</v>
      </c>
    </row>
    <row r="770" spans="1:10" x14ac:dyDescent="0.25">
      <c r="A770">
        <v>769</v>
      </c>
      <c r="B770" t="s">
        <v>46</v>
      </c>
      <c r="C770" t="s">
        <v>34</v>
      </c>
      <c r="D770" t="s">
        <v>21</v>
      </c>
      <c r="E770" t="s">
        <v>27</v>
      </c>
      <c r="F770">
        <v>440</v>
      </c>
      <c r="G770">
        <v>616.11</v>
      </c>
      <c r="H770">
        <v>111</v>
      </c>
      <c r="I770" s="1">
        <v>45648</v>
      </c>
      <c r="J770" t="s">
        <v>14</v>
      </c>
    </row>
    <row r="771" spans="1:10" x14ac:dyDescent="0.25">
      <c r="A771">
        <v>770</v>
      </c>
      <c r="B771" t="s">
        <v>33</v>
      </c>
      <c r="C771" t="s">
        <v>34</v>
      </c>
      <c r="D771" t="s">
        <v>12</v>
      </c>
      <c r="E771" t="s">
        <v>13</v>
      </c>
      <c r="F771">
        <v>412</v>
      </c>
      <c r="G771">
        <v>597.75</v>
      </c>
      <c r="H771">
        <v>135</v>
      </c>
      <c r="I771" s="1">
        <v>45967</v>
      </c>
      <c r="J771" t="s">
        <v>14</v>
      </c>
    </row>
    <row r="772" spans="1:10" x14ac:dyDescent="0.25">
      <c r="A772">
        <v>771</v>
      </c>
      <c r="B772" t="s">
        <v>10</v>
      </c>
      <c r="C772" t="s">
        <v>11</v>
      </c>
      <c r="D772" t="s">
        <v>30</v>
      </c>
      <c r="E772" t="s">
        <v>32</v>
      </c>
      <c r="F772">
        <v>131</v>
      </c>
      <c r="G772">
        <v>228.78</v>
      </c>
      <c r="H772">
        <v>118</v>
      </c>
      <c r="I772" s="1">
        <v>45154</v>
      </c>
      <c r="J772" t="s">
        <v>14</v>
      </c>
    </row>
    <row r="773" spans="1:10" x14ac:dyDescent="0.25">
      <c r="A773">
        <v>772</v>
      </c>
      <c r="B773" t="s">
        <v>46</v>
      </c>
      <c r="C773" t="s">
        <v>34</v>
      </c>
      <c r="D773" t="s">
        <v>24</v>
      </c>
      <c r="E773" t="s">
        <v>39</v>
      </c>
      <c r="F773">
        <v>464</v>
      </c>
      <c r="G773">
        <v>409.78</v>
      </c>
      <c r="H773">
        <v>74</v>
      </c>
      <c r="I773" s="1">
        <v>45370</v>
      </c>
      <c r="J773" t="s">
        <v>14</v>
      </c>
    </row>
    <row r="774" spans="1:10" x14ac:dyDescent="0.25">
      <c r="A774">
        <v>773</v>
      </c>
      <c r="B774" t="s">
        <v>42</v>
      </c>
      <c r="C774" t="s">
        <v>16</v>
      </c>
      <c r="D774" t="s">
        <v>24</v>
      </c>
      <c r="E774" t="s">
        <v>18</v>
      </c>
      <c r="F774">
        <v>82</v>
      </c>
      <c r="G774">
        <v>374.79</v>
      </c>
      <c r="H774">
        <v>86</v>
      </c>
      <c r="I774" s="1">
        <v>45154</v>
      </c>
      <c r="J774" t="s">
        <v>28</v>
      </c>
    </row>
    <row r="775" spans="1:10" x14ac:dyDescent="0.25">
      <c r="A775">
        <v>774</v>
      </c>
      <c r="B775" t="s">
        <v>25</v>
      </c>
      <c r="C775" t="s">
        <v>26</v>
      </c>
      <c r="D775" t="s">
        <v>12</v>
      </c>
      <c r="E775" t="s">
        <v>32</v>
      </c>
      <c r="F775">
        <v>31</v>
      </c>
      <c r="G775">
        <v>462.18</v>
      </c>
      <c r="H775">
        <v>144</v>
      </c>
      <c r="I775" s="1">
        <v>45948</v>
      </c>
      <c r="J775" t="s">
        <v>28</v>
      </c>
    </row>
    <row r="776" spans="1:10" x14ac:dyDescent="0.25">
      <c r="A776">
        <v>775</v>
      </c>
      <c r="B776" t="s">
        <v>35</v>
      </c>
      <c r="C776" t="s">
        <v>11</v>
      </c>
      <c r="D776" t="s">
        <v>21</v>
      </c>
      <c r="E776" t="s">
        <v>18</v>
      </c>
      <c r="F776">
        <v>333</v>
      </c>
      <c r="G776">
        <v>217.01</v>
      </c>
      <c r="H776">
        <v>132</v>
      </c>
      <c r="I776" s="1">
        <v>45238</v>
      </c>
      <c r="J776" t="s">
        <v>14</v>
      </c>
    </row>
    <row r="777" spans="1:10" x14ac:dyDescent="0.25">
      <c r="A777">
        <v>776</v>
      </c>
      <c r="B777" t="s">
        <v>43</v>
      </c>
      <c r="C777" t="s">
        <v>26</v>
      </c>
      <c r="D777" t="s">
        <v>17</v>
      </c>
      <c r="E777" t="s">
        <v>27</v>
      </c>
      <c r="F777">
        <v>5</v>
      </c>
      <c r="G777">
        <v>519.33000000000004</v>
      </c>
      <c r="H777">
        <v>121</v>
      </c>
      <c r="I777" s="1">
        <v>45046</v>
      </c>
      <c r="J777" t="s">
        <v>28</v>
      </c>
    </row>
    <row r="778" spans="1:10" x14ac:dyDescent="0.25">
      <c r="A778">
        <v>777</v>
      </c>
      <c r="B778" t="s">
        <v>49</v>
      </c>
      <c r="C778" t="s">
        <v>16</v>
      </c>
      <c r="D778" t="s">
        <v>17</v>
      </c>
      <c r="E778" t="s">
        <v>27</v>
      </c>
      <c r="F778">
        <v>102</v>
      </c>
      <c r="G778">
        <v>563.99</v>
      </c>
      <c r="H778">
        <v>85</v>
      </c>
      <c r="I778" s="1">
        <v>45346</v>
      </c>
      <c r="J778" t="s">
        <v>14</v>
      </c>
    </row>
    <row r="779" spans="1:10" x14ac:dyDescent="0.25">
      <c r="A779">
        <v>778</v>
      </c>
      <c r="B779" t="s">
        <v>38</v>
      </c>
      <c r="C779" t="s">
        <v>26</v>
      </c>
      <c r="D779" t="s">
        <v>17</v>
      </c>
      <c r="E779" t="s">
        <v>27</v>
      </c>
      <c r="F779">
        <v>20</v>
      </c>
      <c r="G779">
        <v>704.34</v>
      </c>
      <c r="H779">
        <v>55</v>
      </c>
      <c r="I779" s="1">
        <v>45723</v>
      </c>
      <c r="J779" t="s">
        <v>28</v>
      </c>
    </row>
    <row r="780" spans="1:10" x14ac:dyDescent="0.25">
      <c r="A780">
        <v>779</v>
      </c>
      <c r="B780" t="s">
        <v>40</v>
      </c>
      <c r="C780" t="s">
        <v>34</v>
      </c>
      <c r="D780" t="s">
        <v>21</v>
      </c>
      <c r="E780" t="s">
        <v>13</v>
      </c>
      <c r="F780">
        <v>348</v>
      </c>
      <c r="G780">
        <v>178.62</v>
      </c>
      <c r="H780">
        <v>54</v>
      </c>
      <c r="I780" s="1">
        <v>45706</v>
      </c>
      <c r="J780" t="s">
        <v>14</v>
      </c>
    </row>
    <row r="781" spans="1:10" x14ac:dyDescent="0.25">
      <c r="A781">
        <v>780</v>
      </c>
      <c r="B781" t="s">
        <v>15</v>
      </c>
      <c r="C781" t="s">
        <v>16</v>
      </c>
      <c r="D781" t="s">
        <v>12</v>
      </c>
      <c r="E781" t="s">
        <v>18</v>
      </c>
      <c r="F781">
        <v>476</v>
      </c>
      <c r="G781">
        <v>694.57</v>
      </c>
      <c r="H781">
        <v>92</v>
      </c>
      <c r="I781" s="1">
        <v>45778</v>
      </c>
      <c r="J781" t="s">
        <v>14</v>
      </c>
    </row>
    <row r="782" spans="1:10" x14ac:dyDescent="0.25">
      <c r="A782">
        <v>781</v>
      </c>
      <c r="B782" t="s">
        <v>19</v>
      </c>
      <c r="C782" t="s">
        <v>20</v>
      </c>
      <c r="D782" t="s">
        <v>21</v>
      </c>
      <c r="E782" t="s">
        <v>39</v>
      </c>
      <c r="F782">
        <v>485</v>
      </c>
      <c r="G782">
        <v>104.77</v>
      </c>
      <c r="H782">
        <v>113</v>
      </c>
      <c r="I782" s="1">
        <v>45471</v>
      </c>
      <c r="J782" t="s">
        <v>14</v>
      </c>
    </row>
    <row r="783" spans="1:10" x14ac:dyDescent="0.25">
      <c r="A783">
        <v>782</v>
      </c>
      <c r="B783" t="s">
        <v>46</v>
      </c>
      <c r="C783" t="s">
        <v>34</v>
      </c>
      <c r="D783" t="s">
        <v>21</v>
      </c>
      <c r="E783" t="s">
        <v>27</v>
      </c>
      <c r="F783">
        <v>450</v>
      </c>
      <c r="G783">
        <v>428.22</v>
      </c>
      <c r="H783">
        <v>117</v>
      </c>
      <c r="I783" s="1">
        <v>45614</v>
      </c>
      <c r="J783" t="s">
        <v>14</v>
      </c>
    </row>
    <row r="784" spans="1:10" x14ac:dyDescent="0.25">
      <c r="A784">
        <v>783</v>
      </c>
      <c r="B784" t="s">
        <v>42</v>
      </c>
      <c r="C784" t="s">
        <v>16</v>
      </c>
      <c r="D784" t="s">
        <v>12</v>
      </c>
      <c r="E784" t="s">
        <v>13</v>
      </c>
      <c r="F784">
        <v>294</v>
      </c>
      <c r="G784">
        <v>679.51</v>
      </c>
      <c r="H784">
        <v>131</v>
      </c>
      <c r="I784" s="1">
        <v>45968</v>
      </c>
      <c r="J784" t="s">
        <v>14</v>
      </c>
    </row>
    <row r="785" spans="1:10" x14ac:dyDescent="0.25">
      <c r="A785">
        <v>784</v>
      </c>
      <c r="B785" t="s">
        <v>25</v>
      </c>
      <c r="C785" t="s">
        <v>26</v>
      </c>
      <c r="D785" t="s">
        <v>21</v>
      </c>
      <c r="E785" t="s">
        <v>37</v>
      </c>
      <c r="F785">
        <v>260</v>
      </c>
      <c r="G785">
        <v>533.6</v>
      </c>
      <c r="H785">
        <v>108</v>
      </c>
      <c r="I785" s="1">
        <v>45116</v>
      </c>
      <c r="J785" t="s">
        <v>14</v>
      </c>
    </row>
    <row r="786" spans="1:10" x14ac:dyDescent="0.25">
      <c r="A786">
        <v>785</v>
      </c>
      <c r="B786" t="s">
        <v>42</v>
      </c>
      <c r="C786" t="s">
        <v>16</v>
      </c>
      <c r="D786" t="s">
        <v>12</v>
      </c>
      <c r="E786" t="s">
        <v>37</v>
      </c>
      <c r="F786">
        <v>352</v>
      </c>
      <c r="G786">
        <v>253.3</v>
      </c>
      <c r="H786">
        <v>107</v>
      </c>
      <c r="I786" s="1">
        <v>46021</v>
      </c>
      <c r="J786" t="s">
        <v>14</v>
      </c>
    </row>
    <row r="787" spans="1:10" x14ac:dyDescent="0.25">
      <c r="A787">
        <v>786</v>
      </c>
      <c r="B787" t="s">
        <v>15</v>
      </c>
      <c r="C787" t="s">
        <v>16</v>
      </c>
      <c r="D787" t="s">
        <v>21</v>
      </c>
      <c r="E787" t="s">
        <v>18</v>
      </c>
      <c r="F787">
        <v>50</v>
      </c>
      <c r="G787">
        <v>770.54</v>
      </c>
      <c r="H787">
        <v>120</v>
      </c>
      <c r="I787" s="1">
        <v>44945</v>
      </c>
      <c r="J787" t="s">
        <v>28</v>
      </c>
    </row>
    <row r="788" spans="1:10" x14ac:dyDescent="0.25">
      <c r="A788">
        <v>787</v>
      </c>
      <c r="B788" t="s">
        <v>53</v>
      </c>
      <c r="C788" t="s">
        <v>26</v>
      </c>
      <c r="D788" t="s">
        <v>17</v>
      </c>
      <c r="E788" t="s">
        <v>39</v>
      </c>
      <c r="F788">
        <v>417</v>
      </c>
      <c r="G788">
        <v>457.05</v>
      </c>
      <c r="H788">
        <v>100</v>
      </c>
      <c r="I788" s="1">
        <v>45441</v>
      </c>
      <c r="J788" t="s">
        <v>14</v>
      </c>
    </row>
    <row r="789" spans="1:10" x14ac:dyDescent="0.25">
      <c r="A789">
        <v>788</v>
      </c>
      <c r="B789" t="s">
        <v>47</v>
      </c>
      <c r="C789" t="s">
        <v>20</v>
      </c>
      <c r="D789" t="s">
        <v>12</v>
      </c>
      <c r="E789" t="s">
        <v>32</v>
      </c>
      <c r="F789">
        <v>379</v>
      </c>
      <c r="G789">
        <v>484.5</v>
      </c>
      <c r="H789">
        <v>111</v>
      </c>
      <c r="I789" s="1">
        <v>45738</v>
      </c>
      <c r="J789" t="s">
        <v>14</v>
      </c>
    </row>
    <row r="790" spans="1:10" x14ac:dyDescent="0.25">
      <c r="A790">
        <v>789</v>
      </c>
      <c r="B790" t="s">
        <v>10</v>
      </c>
      <c r="C790" t="s">
        <v>11</v>
      </c>
      <c r="D790" t="s">
        <v>24</v>
      </c>
      <c r="E790" t="s">
        <v>32</v>
      </c>
      <c r="F790">
        <v>203</v>
      </c>
      <c r="G790">
        <v>570.37</v>
      </c>
      <c r="H790">
        <v>51</v>
      </c>
      <c r="I790" s="1">
        <v>45579</v>
      </c>
      <c r="J790" t="s">
        <v>14</v>
      </c>
    </row>
    <row r="791" spans="1:10" x14ac:dyDescent="0.25">
      <c r="A791">
        <v>790</v>
      </c>
      <c r="B791" t="s">
        <v>31</v>
      </c>
      <c r="C791" t="s">
        <v>20</v>
      </c>
      <c r="D791" t="s">
        <v>17</v>
      </c>
      <c r="E791" t="s">
        <v>39</v>
      </c>
      <c r="F791">
        <v>360</v>
      </c>
      <c r="G791">
        <v>102.24</v>
      </c>
      <c r="H791">
        <v>110</v>
      </c>
      <c r="I791" s="1">
        <v>45748</v>
      </c>
      <c r="J791" t="s">
        <v>14</v>
      </c>
    </row>
    <row r="792" spans="1:10" x14ac:dyDescent="0.25">
      <c r="A792">
        <v>791</v>
      </c>
      <c r="B792" t="s">
        <v>35</v>
      </c>
      <c r="C792" t="s">
        <v>11</v>
      </c>
      <c r="D792" t="s">
        <v>21</v>
      </c>
      <c r="E792" t="s">
        <v>32</v>
      </c>
      <c r="F792">
        <v>464</v>
      </c>
      <c r="G792">
        <v>128.91</v>
      </c>
      <c r="H792">
        <v>98</v>
      </c>
      <c r="I792" s="1">
        <v>45124</v>
      </c>
      <c r="J792" t="s">
        <v>14</v>
      </c>
    </row>
    <row r="793" spans="1:10" x14ac:dyDescent="0.25">
      <c r="A793">
        <v>792</v>
      </c>
      <c r="B793" t="s">
        <v>36</v>
      </c>
      <c r="C793" t="s">
        <v>11</v>
      </c>
      <c r="D793" t="s">
        <v>24</v>
      </c>
      <c r="E793" t="s">
        <v>18</v>
      </c>
      <c r="F793">
        <v>208</v>
      </c>
      <c r="G793">
        <v>229.1</v>
      </c>
      <c r="H793">
        <v>120</v>
      </c>
      <c r="I793" s="1">
        <v>44939</v>
      </c>
      <c r="J793" t="s">
        <v>14</v>
      </c>
    </row>
    <row r="794" spans="1:10" x14ac:dyDescent="0.25">
      <c r="A794">
        <v>793</v>
      </c>
      <c r="B794" t="s">
        <v>33</v>
      </c>
      <c r="C794" t="s">
        <v>34</v>
      </c>
      <c r="D794" t="s">
        <v>17</v>
      </c>
      <c r="E794" t="s">
        <v>39</v>
      </c>
      <c r="F794">
        <v>144</v>
      </c>
      <c r="G794">
        <v>315.17</v>
      </c>
      <c r="H794">
        <v>72</v>
      </c>
      <c r="I794" s="1">
        <v>45797</v>
      </c>
      <c r="J794" t="s">
        <v>14</v>
      </c>
    </row>
    <row r="795" spans="1:10" x14ac:dyDescent="0.25">
      <c r="A795">
        <v>794</v>
      </c>
      <c r="B795" t="s">
        <v>50</v>
      </c>
      <c r="C795" t="s">
        <v>34</v>
      </c>
      <c r="D795" t="s">
        <v>12</v>
      </c>
      <c r="E795" t="s">
        <v>18</v>
      </c>
      <c r="F795">
        <v>50</v>
      </c>
      <c r="G795">
        <v>524.86</v>
      </c>
      <c r="H795">
        <v>100</v>
      </c>
      <c r="I795" s="1">
        <v>45155</v>
      </c>
      <c r="J795" t="s">
        <v>28</v>
      </c>
    </row>
    <row r="796" spans="1:10" x14ac:dyDescent="0.25">
      <c r="A796">
        <v>795</v>
      </c>
      <c r="B796" t="s">
        <v>41</v>
      </c>
      <c r="C796" t="s">
        <v>16</v>
      </c>
      <c r="D796" t="s">
        <v>24</v>
      </c>
      <c r="E796" t="s">
        <v>13</v>
      </c>
      <c r="F796">
        <v>64</v>
      </c>
      <c r="G796">
        <v>564.32000000000005</v>
      </c>
      <c r="H796">
        <v>135</v>
      </c>
      <c r="I796" s="1">
        <v>44947</v>
      </c>
      <c r="J796" t="s">
        <v>28</v>
      </c>
    </row>
    <row r="797" spans="1:10" x14ac:dyDescent="0.25">
      <c r="A797">
        <v>796</v>
      </c>
      <c r="B797" t="s">
        <v>47</v>
      </c>
      <c r="C797" t="s">
        <v>20</v>
      </c>
      <c r="D797" t="s">
        <v>21</v>
      </c>
      <c r="E797" t="s">
        <v>18</v>
      </c>
      <c r="F797">
        <v>165</v>
      </c>
      <c r="G797">
        <v>730.32</v>
      </c>
      <c r="H797">
        <v>150</v>
      </c>
      <c r="I797" s="1">
        <v>45632</v>
      </c>
      <c r="J797" t="s">
        <v>14</v>
      </c>
    </row>
    <row r="798" spans="1:10" x14ac:dyDescent="0.25">
      <c r="A798">
        <v>797</v>
      </c>
      <c r="B798" t="s">
        <v>35</v>
      </c>
      <c r="C798" t="s">
        <v>11</v>
      </c>
      <c r="D798" t="s">
        <v>12</v>
      </c>
      <c r="E798" t="s">
        <v>32</v>
      </c>
      <c r="F798">
        <v>458</v>
      </c>
      <c r="G798">
        <v>354.84</v>
      </c>
      <c r="H798">
        <v>122</v>
      </c>
      <c r="I798" s="1">
        <v>45753</v>
      </c>
      <c r="J798" t="s">
        <v>14</v>
      </c>
    </row>
    <row r="799" spans="1:10" x14ac:dyDescent="0.25">
      <c r="A799">
        <v>798</v>
      </c>
      <c r="B799" t="s">
        <v>38</v>
      </c>
      <c r="C799" t="s">
        <v>26</v>
      </c>
      <c r="D799" t="s">
        <v>21</v>
      </c>
      <c r="E799" t="s">
        <v>32</v>
      </c>
      <c r="F799">
        <v>337</v>
      </c>
      <c r="G799">
        <v>495.86</v>
      </c>
      <c r="H799">
        <v>89</v>
      </c>
      <c r="I799" s="1">
        <v>45782</v>
      </c>
      <c r="J799" t="s">
        <v>14</v>
      </c>
    </row>
    <row r="800" spans="1:10" x14ac:dyDescent="0.25">
      <c r="A800">
        <v>799</v>
      </c>
      <c r="B800" t="s">
        <v>53</v>
      </c>
      <c r="C800" t="s">
        <v>26</v>
      </c>
      <c r="D800" t="s">
        <v>21</v>
      </c>
      <c r="E800" t="s">
        <v>37</v>
      </c>
      <c r="F800">
        <v>80</v>
      </c>
      <c r="G800">
        <v>537.42999999999995</v>
      </c>
      <c r="H800">
        <v>130</v>
      </c>
      <c r="I800" s="1">
        <v>45284</v>
      </c>
      <c r="J800" t="s">
        <v>28</v>
      </c>
    </row>
    <row r="801" spans="1:10" x14ac:dyDescent="0.25">
      <c r="A801">
        <v>800</v>
      </c>
      <c r="B801" t="s">
        <v>43</v>
      </c>
      <c r="C801" t="s">
        <v>26</v>
      </c>
      <c r="D801" t="s">
        <v>21</v>
      </c>
      <c r="E801" t="s">
        <v>32</v>
      </c>
      <c r="F801">
        <v>287</v>
      </c>
      <c r="G801">
        <v>281.8</v>
      </c>
      <c r="H801">
        <v>54</v>
      </c>
      <c r="I801" s="1">
        <v>45659</v>
      </c>
      <c r="J801" t="s">
        <v>14</v>
      </c>
    </row>
    <row r="802" spans="1:10" x14ac:dyDescent="0.25">
      <c r="A802">
        <v>801</v>
      </c>
      <c r="B802" t="s">
        <v>31</v>
      </c>
      <c r="C802" t="s">
        <v>20</v>
      </c>
      <c r="D802" t="s">
        <v>24</v>
      </c>
      <c r="E802" t="s">
        <v>13</v>
      </c>
      <c r="F802">
        <v>184</v>
      </c>
      <c r="G802">
        <v>482.37</v>
      </c>
      <c r="H802">
        <v>102</v>
      </c>
      <c r="I802" s="1">
        <v>45301</v>
      </c>
      <c r="J802" t="s">
        <v>14</v>
      </c>
    </row>
    <row r="803" spans="1:10" x14ac:dyDescent="0.25">
      <c r="A803">
        <v>802</v>
      </c>
      <c r="B803" t="s">
        <v>19</v>
      </c>
      <c r="C803" t="s">
        <v>20</v>
      </c>
      <c r="D803" t="s">
        <v>24</v>
      </c>
      <c r="E803" t="s">
        <v>27</v>
      </c>
      <c r="F803">
        <v>191</v>
      </c>
      <c r="G803">
        <v>237.17</v>
      </c>
      <c r="H803">
        <v>149</v>
      </c>
      <c r="I803" s="1">
        <v>45614</v>
      </c>
      <c r="J803" t="s">
        <v>14</v>
      </c>
    </row>
    <row r="804" spans="1:10" x14ac:dyDescent="0.25">
      <c r="A804">
        <v>803</v>
      </c>
      <c r="B804" t="s">
        <v>19</v>
      </c>
      <c r="C804" t="s">
        <v>20</v>
      </c>
      <c r="D804" t="s">
        <v>24</v>
      </c>
      <c r="E804" t="s">
        <v>39</v>
      </c>
      <c r="F804">
        <v>322</v>
      </c>
      <c r="G804">
        <v>11.52</v>
      </c>
      <c r="H804">
        <v>59</v>
      </c>
      <c r="I804" s="1">
        <v>45134</v>
      </c>
      <c r="J804" t="s">
        <v>14</v>
      </c>
    </row>
    <row r="805" spans="1:10" x14ac:dyDescent="0.25">
      <c r="A805">
        <v>804</v>
      </c>
      <c r="B805" t="s">
        <v>46</v>
      </c>
      <c r="C805" t="s">
        <v>34</v>
      </c>
      <c r="D805" t="s">
        <v>24</v>
      </c>
      <c r="E805" t="s">
        <v>13</v>
      </c>
      <c r="F805">
        <v>270</v>
      </c>
      <c r="G805">
        <v>99.03</v>
      </c>
      <c r="H805">
        <v>119</v>
      </c>
      <c r="I805" s="1">
        <v>45247</v>
      </c>
      <c r="J805" t="s">
        <v>14</v>
      </c>
    </row>
    <row r="806" spans="1:10" x14ac:dyDescent="0.25">
      <c r="A806">
        <v>805</v>
      </c>
      <c r="B806" t="s">
        <v>10</v>
      </c>
      <c r="C806" t="s">
        <v>11</v>
      </c>
      <c r="D806" t="s">
        <v>30</v>
      </c>
      <c r="E806" t="s">
        <v>13</v>
      </c>
      <c r="F806">
        <v>295</v>
      </c>
      <c r="G806">
        <v>741</v>
      </c>
      <c r="H806">
        <v>51</v>
      </c>
      <c r="I806" s="1">
        <v>44933</v>
      </c>
      <c r="J806" t="s">
        <v>14</v>
      </c>
    </row>
    <row r="807" spans="1:10" x14ac:dyDescent="0.25">
      <c r="A807">
        <v>806</v>
      </c>
      <c r="B807" t="s">
        <v>38</v>
      </c>
      <c r="C807" t="s">
        <v>26</v>
      </c>
      <c r="D807" t="s">
        <v>24</v>
      </c>
      <c r="E807" t="s">
        <v>32</v>
      </c>
      <c r="F807">
        <v>150</v>
      </c>
      <c r="G807">
        <v>760.67</v>
      </c>
      <c r="H807">
        <v>92</v>
      </c>
      <c r="I807" s="1">
        <v>45943</v>
      </c>
      <c r="J807" t="s">
        <v>14</v>
      </c>
    </row>
    <row r="808" spans="1:10" x14ac:dyDescent="0.25">
      <c r="A808">
        <v>807</v>
      </c>
      <c r="B808" t="s">
        <v>54</v>
      </c>
      <c r="C808" t="s">
        <v>20</v>
      </c>
      <c r="D808" t="s">
        <v>17</v>
      </c>
      <c r="E808" t="s">
        <v>13</v>
      </c>
      <c r="F808">
        <v>42</v>
      </c>
      <c r="G808">
        <v>604.87</v>
      </c>
      <c r="H808">
        <v>117</v>
      </c>
      <c r="I808" s="1">
        <v>45042</v>
      </c>
      <c r="J808" t="s">
        <v>28</v>
      </c>
    </row>
    <row r="809" spans="1:10" x14ac:dyDescent="0.25">
      <c r="A809">
        <v>808</v>
      </c>
      <c r="B809" t="s">
        <v>52</v>
      </c>
      <c r="C809" t="s">
        <v>16</v>
      </c>
      <c r="D809" t="s">
        <v>30</v>
      </c>
      <c r="E809" t="s">
        <v>18</v>
      </c>
      <c r="F809">
        <v>26</v>
      </c>
      <c r="G809">
        <v>416.72</v>
      </c>
      <c r="H809">
        <v>114</v>
      </c>
      <c r="I809" s="1">
        <v>45709</v>
      </c>
      <c r="J809" t="s">
        <v>28</v>
      </c>
    </row>
    <row r="810" spans="1:10" x14ac:dyDescent="0.25">
      <c r="A810">
        <v>809</v>
      </c>
      <c r="B810" t="s">
        <v>22</v>
      </c>
      <c r="C810" t="s">
        <v>11</v>
      </c>
      <c r="D810" t="s">
        <v>21</v>
      </c>
      <c r="E810" t="s">
        <v>13</v>
      </c>
      <c r="F810">
        <v>57</v>
      </c>
      <c r="G810">
        <v>784.75</v>
      </c>
      <c r="H810">
        <v>79</v>
      </c>
      <c r="I810" s="1">
        <v>45889</v>
      </c>
      <c r="J810" t="s">
        <v>28</v>
      </c>
    </row>
    <row r="811" spans="1:10" x14ac:dyDescent="0.25">
      <c r="A811">
        <v>810</v>
      </c>
      <c r="B811" t="s">
        <v>49</v>
      </c>
      <c r="C811" t="s">
        <v>16</v>
      </c>
      <c r="D811" t="s">
        <v>30</v>
      </c>
      <c r="E811" t="s">
        <v>13</v>
      </c>
      <c r="F811">
        <v>284</v>
      </c>
      <c r="G811">
        <v>143.86000000000001</v>
      </c>
      <c r="H811">
        <v>115</v>
      </c>
      <c r="I811" s="1">
        <v>45702</v>
      </c>
      <c r="J811" t="s">
        <v>14</v>
      </c>
    </row>
    <row r="812" spans="1:10" x14ac:dyDescent="0.25">
      <c r="A812">
        <v>811</v>
      </c>
      <c r="B812" t="s">
        <v>54</v>
      </c>
      <c r="C812" t="s">
        <v>20</v>
      </c>
      <c r="D812" t="s">
        <v>21</v>
      </c>
      <c r="E812" t="s">
        <v>27</v>
      </c>
      <c r="F812">
        <v>298</v>
      </c>
      <c r="G812">
        <v>467.72</v>
      </c>
      <c r="H812">
        <v>88</v>
      </c>
      <c r="I812" s="1">
        <v>45247</v>
      </c>
      <c r="J812" t="s">
        <v>14</v>
      </c>
    </row>
    <row r="813" spans="1:10" x14ac:dyDescent="0.25">
      <c r="A813">
        <v>812</v>
      </c>
      <c r="B813" t="s">
        <v>31</v>
      </c>
      <c r="C813" t="s">
        <v>20</v>
      </c>
      <c r="D813" t="s">
        <v>30</v>
      </c>
      <c r="E813" t="s">
        <v>18</v>
      </c>
      <c r="F813">
        <v>336</v>
      </c>
      <c r="G813">
        <v>440.03</v>
      </c>
      <c r="H813">
        <v>123</v>
      </c>
      <c r="I813" s="1">
        <v>45753</v>
      </c>
      <c r="J813" t="s">
        <v>14</v>
      </c>
    </row>
    <row r="814" spans="1:10" x14ac:dyDescent="0.25">
      <c r="A814">
        <v>813</v>
      </c>
      <c r="B814" t="s">
        <v>36</v>
      </c>
      <c r="C814" t="s">
        <v>11</v>
      </c>
      <c r="D814" t="s">
        <v>17</v>
      </c>
      <c r="E814" t="s">
        <v>39</v>
      </c>
      <c r="F814">
        <v>260</v>
      </c>
      <c r="G814">
        <v>398.02</v>
      </c>
      <c r="H814">
        <v>111</v>
      </c>
      <c r="I814" s="1">
        <v>45468</v>
      </c>
      <c r="J814" t="s">
        <v>14</v>
      </c>
    </row>
    <row r="815" spans="1:10" x14ac:dyDescent="0.25">
      <c r="A815">
        <v>814</v>
      </c>
      <c r="B815" t="s">
        <v>38</v>
      </c>
      <c r="C815" t="s">
        <v>26</v>
      </c>
      <c r="D815" t="s">
        <v>12</v>
      </c>
      <c r="E815" t="s">
        <v>27</v>
      </c>
      <c r="F815">
        <v>284</v>
      </c>
      <c r="G815">
        <v>17.579999999999998</v>
      </c>
      <c r="H815">
        <v>60</v>
      </c>
      <c r="I815" s="1">
        <v>45157</v>
      </c>
      <c r="J815" t="s">
        <v>14</v>
      </c>
    </row>
    <row r="816" spans="1:10" x14ac:dyDescent="0.25">
      <c r="A816">
        <v>815</v>
      </c>
      <c r="B816" t="s">
        <v>54</v>
      </c>
      <c r="C816" t="s">
        <v>20</v>
      </c>
      <c r="D816" t="s">
        <v>17</v>
      </c>
      <c r="E816" t="s">
        <v>37</v>
      </c>
      <c r="F816">
        <v>444</v>
      </c>
      <c r="G816">
        <v>715.75</v>
      </c>
      <c r="H816">
        <v>130</v>
      </c>
      <c r="I816" s="1">
        <v>45521</v>
      </c>
      <c r="J816" t="s">
        <v>14</v>
      </c>
    </row>
    <row r="817" spans="1:10" x14ac:dyDescent="0.25">
      <c r="A817">
        <v>816</v>
      </c>
      <c r="B817" t="s">
        <v>48</v>
      </c>
      <c r="C817" t="s">
        <v>20</v>
      </c>
      <c r="D817" t="s">
        <v>24</v>
      </c>
      <c r="E817" t="s">
        <v>37</v>
      </c>
      <c r="F817">
        <v>164</v>
      </c>
      <c r="G817">
        <v>253.3</v>
      </c>
      <c r="H817">
        <v>55</v>
      </c>
      <c r="I817" s="1">
        <v>45540</v>
      </c>
      <c r="J817" t="s">
        <v>14</v>
      </c>
    </row>
    <row r="818" spans="1:10" x14ac:dyDescent="0.25">
      <c r="A818">
        <v>817</v>
      </c>
      <c r="B818" t="s">
        <v>46</v>
      </c>
      <c r="C818" t="s">
        <v>34</v>
      </c>
      <c r="D818" t="s">
        <v>17</v>
      </c>
      <c r="E818" t="s">
        <v>37</v>
      </c>
      <c r="F818">
        <v>316</v>
      </c>
      <c r="G818">
        <v>100.2</v>
      </c>
      <c r="H818">
        <v>128</v>
      </c>
      <c r="I818" s="1">
        <v>45640</v>
      </c>
      <c r="J818" t="s">
        <v>14</v>
      </c>
    </row>
    <row r="819" spans="1:10" x14ac:dyDescent="0.25">
      <c r="A819">
        <v>818</v>
      </c>
      <c r="B819" t="s">
        <v>50</v>
      </c>
      <c r="C819" t="s">
        <v>34</v>
      </c>
      <c r="D819" t="s">
        <v>21</v>
      </c>
      <c r="E819" t="s">
        <v>18</v>
      </c>
      <c r="F819">
        <v>298</v>
      </c>
      <c r="G819">
        <v>338.26</v>
      </c>
      <c r="H819">
        <v>82</v>
      </c>
      <c r="I819" s="1">
        <v>46000</v>
      </c>
      <c r="J819" t="s">
        <v>14</v>
      </c>
    </row>
    <row r="820" spans="1:10" x14ac:dyDescent="0.25">
      <c r="A820">
        <v>819</v>
      </c>
      <c r="B820" t="s">
        <v>49</v>
      </c>
      <c r="C820" t="s">
        <v>16</v>
      </c>
      <c r="D820" t="s">
        <v>30</v>
      </c>
      <c r="E820" t="s">
        <v>18</v>
      </c>
      <c r="F820">
        <v>75</v>
      </c>
      <c r="G820">
        <v>646.99</v>
      </c>
      <c r="H820">
        <v>136</v>
      </c>
      <c r="I820" s="1">
        <v>45994</v>
      </c>
      <c r="J820" t="s">
        <v>28</v>
      </c>
    </row>
    <row r="821" spans="1:10" x14ac:dyDescent="0.25">
      <c r="A821">
        <v>820</v>
      </c>
      <c r="B821" t="s">
        <v>36</v>
      </c>
      <c r="C821" t="s">
        <v>11</v>
      </c>
      <c r="D821" t="s">
        <v>21</v>
      </c>
      <c r="E821" t="s">
        <v>13</v>
      </c>
      <c r="F821">
        <v>241</v>
      </c>
      <c r="G821">
        <v>166.73</v>
      </c>
      <c r="H821">
        <v>74</v>
      </c>
      <c r="I821" s="1">
        <v>46002</v>
      </c>
      <c r="J821" t="s">
        <v>14</v>
      </c>
    </row>
    <row r="822" spans="1:10" x14ac:dyDescent="0.25">
      <c r="A822">
        <v>821</v>
      </c>
      <c r="B822" t="s">
        <v>38</v>
      </c>
      <c r="C822" t="s">
        <v>26</v>
      </c>
      <c r="D822" t="s">
        <v>24</v>
      </c>
      <c r="E822" t="s">
        <v>18</v>
      </c>
      <c r="F822">
        <v>205</v>
      </c>
      <c r="G822">
        <v>206.13</v>
      </c>
      <c r="H822">
        <v>94</v>
      </c>
      <c r="I822" s="1">
        <v>45844</v>
      </c>
      <c r="J822" t="s">
        <v>14</v>
      </c>
    </row>
    <row r="823" spans="1:10" x14ac:dyDescent="0.25">
      <c r="A823">
        <v>822</v>
      </c>
      <c r="B823" t="s">
        <v>36</v>
      </c>
      <c r="C823" t="s">
        <v>11</v>
      </c>
      <c r="D823" t="s">
        <v>24</v>
      </c>
      <c r="E823" t="s">
        <v>13</v>
      </c>
      <c r="F823">
        <v>311</v>
      </c>
      <c r="G823">
        <v>180.5</v>
      </c>
      <c r="H823">
        <v>54</v>
      </c>
      <c r="I823" s="1">
        <v>45990</v>
      </c>
      <c r="J823" t="s">
        <v>14</v>
      </c>
    </row>
    <row r="824" spans="1:10" x14ac:dyDescent="0.25">
      <c r="A824">
        <v>823</v>
      </c>
      <c r="B824" t="s">
        <v>45</v>
      </c>
      <c r="C824" t="s">
        <v>26</v>
      </c>
      <c r="D824" t="s">
        <v>12</v>
      </c>
      <c r="E824" t="s">
        <v>13</v>
      </c>
      <c r="F824">
        <v>398</v>
      </c>
      <c r="G824">
        <v>94.07</v>
      </c>
      <c r="H824">
        <v>105</v>
      </c>
      <c r="I824" s="1">
        <v>45267</v>
      </c>
      <c r="J824" t="s">
        <v>14</v>
      </c>
    </row>
    <row r="825" spans="1:10" x14ac:dyDescent="0.25">
      <c r="A825">
        <v>824</v>
      </c>
      <c r="B825" t="s">
        <v>38</v>
      </c>
      <c r="C825" t="s">
        <v>26</v>
      </c>
      <c r="D825" t="s">
        <v>17</v>
      </c>
      <c r="E825" t="s">
        <v>32</v>
      </c>
      <c r="F825">
        <v>358</v>
      </c>
      <c r="G825">
        <v>367.87</v>
      </c>
      <c r="H825">
        <v>126</v>
      </c>
      <c r="I825" s="1">
        <v>45307</v>
      </c>
      <c r="J825" t="s">
        <v>14</v>
      </c>
    </row>
    <row r="826" spans="1:10" x14ac:dyDescent="0.25">
      <c r="A826">
        <v>825</v>
      </c>
      <c r="B826" t="s">
        <v>10</v>
      </c>
      <c r="C826" t="s">
        <v>11</v>
      </c>
      <c r="D826" t="s">
        <v>24</v>
      </c>
      <c r="E826" t="s">
        <v>27</v>
      </c>
      <c r="F826">
        <v>271</v>
      </c>
      <c r="G826">
        <v>247.5</v>
      </c>
      <c r="H826">
        <v>98</v>
      </c>
      <c r="I826" s="1">
        <v>45217</v>
      </c>
      <c r="J826" t="s">
        <v>14</v>
      </c>
    </row>
    <row r="827" spans="1:10" x14ac:dyDescent="0.25">
      <c r="A827">
        <v>826</v>
      </c>
      <c r="B827" t="s">
        <v>10</v>
      </c>
      <c r="C827" t="s">
        <v>11</v>
      </c>
      <c r="D827" t="s">
        <v>12</v>
      </c>
      <c r="E827" t="s">
        <v>27</v>
      </c>
      <c r="F827">
        <v>150</v>
      </c>
      <c r="G827">
        <v>725.52</v>
      </c>
      <c r="H827">
        <v>150</v>
      </c>
      <c r="I827" s="1">
        <v>45744</v>
      </c>
      <c r="J827" t="s">
        <v>14</v>
      </c>
    </row>
    <row r="828" spans="1:10" x14ac:dyDescent="0.25">
      <c r="A828">
        <v>827</v>
      </c>
      <c r="B828" t="s">
        <v>29</v>
      </c>
      <c r="C828" t="s">
        <v>16</v>
      </c>
      <c r="D828" t="s">
        <v>24</v>
      </c>
      <c r="E828" t="s">
        <v>37</v>
      </c>
      <c r="F828">
        <v>238</v>
      </c>
      <c r="G828">
        <v>254.61</v>
      </c>
      <c r="H828">
        <v>88</v>
      </c>
      <c r="I828" s="1">
        <v>45271</v>
      </c>
      <c r="J828" t="s">
        <v>14</v>
      </c>
    </row>
    <row r="829" spans="1:10" x14ac:dyDescent="0.25">
      <c r="A829">
        <v>828</v>
      </c>
      <c r="B829" t="s">
        <v>44</v>
      </c>
      <c r="C829" t="s">
        <v>34</v>
      </c>
      <c r="D829" t="s">
        <v>17</v>
      </c>
      <c r="E829" t="s">
        <v>32</v>
      </c>
      <c r="F829">
        <v>170</v>
      </c>
      <c r="G829">
        <v>277.35000000000002</v>
      </c>
      <c r="H829">
        <v>125</v>
      </c>
      <c r="I829" s="1">
        <v>45906</v>
      </c>
      <c r="J829" t="s">
        <v>14</v>
      </c>
    </row>
    <row r="830" spans="1:10" x14ac:dyDescent="0.25">
      <c r="A830">
        <v>829</v>
      </c>
      <c r="B830" t="s">
        <v>44</v>
      </c>
      <c r="C830" t="s">
        <v>34</v>
      </c>
      <c r="D830" t="s">
        <v>17</v>
      </c>
      <c r="E830" t="s">
        <v>18</v>
      </c>
      <c r="F830">
        <v>272</v>
      </c>
      <c r="G830">
        <v>57.49</v>
      </c>
      <c r="H830">
        <v>132</v>
      </c>
      <c r="I830" s="1">
        <v>45352</v>
      </c>
      <c r="J830" t="s">
        <v>14</v>
      </c>
    </row>
    <row r="831" spans="1:10" x14ac:dyDescent="0.25">
      <c r="A831">
        <v>830</v>
      </c>
      <c r="B831" t="s">
        <v>19</v>
      </c>
      <c r="C831" t="s">
        <v>20</v>
      </c>
      <c r="D831" t="s">
        <v>12</v>
      </c>
      <c r="E831" t="s">
        <v>13</v>
      </c>
      <c r="F831">
        <v>292</v>
      </c>
      <c r="G831">
        <v>767.72</v>
      </c>
      <c r="H831">
        <v>82</v>
      </c>
      <c r="I831" s="1">
        <v>45298</v>
      </c>
      <c r="J831" t="s">
        <v>14</v>
      </c>
    </row>
    <row r="832" spans="1:10" x14ac:dyDescent="0.25">
      <c r="A832">
        <v>831</v>
      </c>
      <c r="B832" t="s">
        <v>22</v>
      </c>
      <c r="C832" t="s">
        <v>11</v>
      </c>
      <c r="D832" t="s">
        <v>17</v>
      </c>
      <c r="E832" t="s">
        <v>13</v>
      </c>
      <c r="F832">
        <v>236</v>
      </c>
      <c r="G832">
        <v>95.33</v>
      </c>
      <c r="H832">
        <v>62</v>
      </c>
      <c r="I832" s="1">
        <v>45522</v>
      </c>
      <c r="J832" t="s">
        <v>14</v>
      </c>
    </row>
    <row r="833" spans="1:10" x14ac:dyDescent="0.25">
      <c r="A833">
        <v>832</v>
      </c>
      <c r="B833" t="s">
        <v>49</v>
      </c>
      <c r="C833" t="s">
        <v>16</v>
      </c>
      <c r="D833" t="s">
        <v>12</v>
      </c>
      <c r="E833" t="s">
        <v>18</v>
      </c>
      <c r="F833">
        <v>170</v>
      </c>
      <c r="G833">
        <v>28.12</v>
      </c>
      <c r="H833">
        <v>87</v>
      </c>
      <c r="I833" s="1">
        <v>45021</v>
      </c>
      <c r="J833" t="s">
        <v>14</v>
      </c>
    </row>
    <row r="834" spans="1:10" x14ac:dyDescent="0.25">
      <c r="A834">
        <v>833</v>
      </c>
      <c r="B834" t="s">
        <v>35</v>
      </c>
      <c r="C834" t="s">
        <v>11</v>
      </c>
      <c r="D834" t="s">
        <v>12</v>
      </c>
      <c r="E834" t="s">
        <v>37</v>
      </c>
      <c r="F834">
        <v>335</v>
      </c>
      <c r="G834">
        <v>674.06</v>
      </c>
      <c r="H834">
        <v>146</v>
      </c>
      <c r="I834" s="1">
        <v>45389</v>
      </c>
      <c r="J834" t="s">
        <v>14</v>
      </c>
    </row>
    <row r="835" spans="1:10" x14ac:dyDescent="0.25">
      <c r="A835">
        <v>834</v>
      </c>
      <c r="B835" t="s">
        <v>46</v>
      </c>
      <c r="C835" t="s">
        <v>34</v>
      </c>
      <c r="D835" t="s">
        <v>17</v>
      </c>
      <c r="E835" t="s">
        <v>37</v>
      </c>
      <c r="F835">
        <v>252</v>
      </c>
      <c r="G835">
        <v>150.11000000000001</v>
      </c>
      <c r="H835">
        <v>111</v>
      </c>
      <c r="I835" s="1">
        <v>45284</v>
      </c>
      <c r="J835" t="s">
        <v>14</v>
      </c>
    </row>
    <row r="836" spans="1:10" x14ac:dyDescent="0.25">
      <c r="A836">
        <v>835</v>
      </c>
      <c r="B836" t="s">
        <v>46</v>
      </c>
      <c r="C836" t="s">
        <v>34</v>
      </c>
      <c r="D836" t="s">
        <v>12</v>
      </c>
      <c r="E836" t="s">
        <v>37</v>
      </c>
      <c r="F836">
        <v>260</v>
      </c>
      <c r="G836">
        <v>577.49</v>
      </c>
      <c r="H836">
        <v>53</v>
      </c>
      <c r="I836" s="1">
        <v>45058</v>
      </c>
      <c r="J836" t="s">
        <v>14</v>
      </c>
    </row>
    <row r="837" spans="1:10" x14ac:dyDescent="0.25">
      <c r="A837">
        <v>836</v>
      </c>
      <c r="B837" t="s">
        <v>44</v>
      </c>
      <c r="C837" t="s">
        <v>34</v>
      </c>
      <c r="D837" t="s">
        <v>17</v>
      </c>
      <c r="E837" t="s">
        <v>32</v>
      </c>
      <c r="F837">
        <v>305</v>
      </c>
      <c r="G837">
        <v>133.69999999999999</v>
      </c>
      <c r="H837">
        <v>91</v>
      </c>
      <c r="I837" s="1">
        <v>45604</v>
      </c>
      <c r="J837" t="s">
        <v>14</v>
      </c>
    </row>
    <row r="838" spans="1:10" x14ac:dyDescent="0.25">
      <c r="A838">
        <v>837</v>
      </c>
      <c r="B838" t="s">
        <v>49</v>
      </c>
      <c r="C838" t="s">
        <v>16</v>
      </c>
      <c r="D838" t="s">
        <v>17</v>
      </c>
      <c r="E838" t="s">
        <v>32</v>
      </c>
      <c r="F838">
        <v>115</v>
      </c>
      <c r="G838">
        <v>32.840000000000003</v>
      </c>
      <c r="H838">
        <v>76</v>
      </c>
      <c r="I838" s="1">
        <v>44948</v>
      </c>
      <c r="J838" t="s">
        <v>14</v>
      </c>
    </row>
    <row r="839" spans="1:10" x14ac:dyDescent="0.25">
      <c r="A839">
        <v>838</v>
      </c>
      <c r="B839" t="s">
        <v>36</v>
      </c>
      <c r="C839" t="s">
        <v>11</v>
      </c>
      <c r="D839" t="s">
        <v>24</v>
      </c>
      <c r="E839" t="s">
        <v>13</v>
      </c>
      <c r="F839">
        <v>168</v>
      </c>
      <c r="G839">
        <v>319.70999999999998</v>
      </c>
      <c r="H839">
        <v>72</v>
      </c>
      <c r="I839" s="1">
        <v>45181</v>
      </c>
      <c r="J839" t="s">
        <v>14</v>
      </c>
    </row>
    <row r="840" spans="1:10" x14ac:dyDescent="0.25">
      <c r="A840">
        <v>839</v>
      </c>
      <c r="B840" t="s">
        <v>42</v>
      </c>
      <c r="C840" t="s">
        <v>16</v>
      </c>
      <c r="D840" t="s">
        <v>24</v>
      </c>
      <c r="E840" t="s">
        <v>39</v>
      </c>
      <c r="F840">
        <v>440</v>
      </c>
      <c r="G840">
        <v>519.26</v>
      </c>
      <c r="H840">
        <v>83</v>
      </c>
      <c r="I840" s="1">
        <v>45670</v>
      </c>
      <c r="J840" t="s">
        <v>14</v>
      </c>
    </row>
    <row r="841" spans="1:10" x14ac:dyDescent="0.25">
      <c r="A841">
        <v>840</v>
      </c>
      <c r="B841" t="s">
        <v>10</v>
      </c>
      <c r="C841" t="s">
        <v>11</v>
      </c>
      <c r="D841" t="s">
        <v>21</v>
      </c>
      <c r="E841" t="s">
        <v>13</v>
      </c>
      <c r="F841">
        <v>323</v>
      </c>
      <c r="G841">
        <v>448.87</v>
      </c>
      <c r="H841">
        <v>134</v>
      </c>
      <c r="I841" s="1">
        <v>44971</v>
      </c>
      <c r="J841" t="s">
        <v>14</v>
      </c>
    </row>
    <row r="842" spans="1:10" x14ac:dyDescent="0.25">
      <c r="A842">
        <v>841</v>
      </c>
      <c r="B842" t="s">
        <v>50</v>
      </c>
      <c r="C842" t="s">
        <v>34</v>
      </c>
      <c r="D842" t="s">
        <v>21</v>
      </c>
      <c r="E842" t="s">
        <v>32</v>
      </c>
      <c r="F842">
        <v>86</v>
      </c>
      <c r="G842">
        <v>375.67</v>
      </c>
      <c r="H842">
        <v>129</v>
      </c>
      <c r="I842" s="1">
        <v>44998</v>
      </c>
      <c r="J842" t="s">
        <v>28</v>
      </c>
    </row>
    <row r="843" spans="1:10" x14ac:dyDescent="0.25">
      <c r="A843">
        <v>842</v>
      </c>
      <c r="B843" t="s">
        <v>46</v>
      </c>
      <c r="C843" t="s">
        <v>34</v>
      </c>
      <c r="D843" t="s">
        <v>21</v>
      </c>
      <c r="E843" t="s">
        <v>39</v>
      </c>
      <c r="F843">
        <v>488</v>
      </c>
      <c r="G843">
        <v>148.01</v>
      </c>
      <c r="H843">
        <v>92</v>
      </c>
      <c r="I843" s="1">
        <v>45746</v>
      </c>
      <c r="J843" t="s">
        <v>14</v>
      </c>
    </row>
    <row r="844" spans="1:10" x14ac:dyDescent="0.25">
      <c r="A844">
        <v>843</v>
      </c>
      <c r="B844" t="s">
        <v>51</v>
      </c>
      <c r="C844" t="s">
        <v>11</v>
      </c>
      <c r="D844" t="s">
        <v>21</v>
      </c>
      <c r="E844" t="s">
        <v>39</v>
      </c>
      <c r="F844">
        <v>134</v>
      </c>
      <c r="G844">
        <v>629.66999999999996</v>
      </c>
      <c r="H844">
        <v>71</v>
      </c>
      <c r="I844" s="1">
        <v>45947</v>
      </c>
      <c r="J844" t="s">
        <v>14</v>
      </c>
    </row>
    <row r="845" spans="1:10" x14ac:dyDescent="0.25">
      <c r="A845">
        <v>844</v>
      </c>
      <c r="B845" t="s">
        <v>53</v>
      </c>
      <c r="C845" t="s">
        <v>26</v>
      </c>
      <c r="D845" t="s">
        <v>30</v>
      </c>
      <c r="E845" t="s">
        <v>32</v>
      </c>
      <c r="F845">
        <v>409</v>
      </c>
      <c r="G845">
        <v>757.67</v>
      </c>
      <c r="H845">
        <v>78</v>
      </c>
      <c r="I845" s="1">
        <v>45051</v>
      </c>
      <c r="J845" t="s">
        <v>14</v>
      </c>
    </row>
    <row r="846" spans="1:10" x14ac:dyDescent="0.25">
      <c r="A846">
        <v>845</v>
      </c>
      <c r="B846" t="s">
        <v>19</v>
      </c>
      <c r="C846" t="s">
        <v>20</v>
      </c>
      <c r="D846" t="s">
        <v>30</v>
      </c>
      <c r="E846" t="s">
        <v>13</v>
      </c>
      <c r="F846">
        <v>249</v>
      </c>
      <c r="G846">
        <v>121.6</v>
      </c>
      <c r="H846">
        <v>127</v>
      </c>
      <c r="I846" s="1">
        <v>45414</v>
      </c>
      <c r="J846" t="s">
        <v>14</v>
      </c>
    </row>
    <row r="847" spans="1:10" x14ac:dyDescent="0.25">
      <c r="A847">
        <v>846</v>
      </c>
      <c r="B847" t="s">
        <v>48</v>
      </c>
      <c r="C847" t="s">
        <v>20</v>
      </c>
      <c r="D847" t="s">
        <v>21</v>
      </c>
      <c r="E847" t="s">
        <v>37</v>
      </c>
      <c r="F847">
        <v>381</v>
      </c>
      <c r="G847">
        <v>569.88</v>
      </c>
      <c r="H847">
        <v>81</v>
      </c>
      <c r="I847" s="1">
        <v>45763</v>
      </c>
      <c r="J847" t="s">
        <v>14</v>
      </c>
    </row>
    <row r="848" spans="1:10" x14ac:dyDescent="0.25">
      <c r="A848">
        <v>847</v>
      </c>
      <c r="B848" t="s">
        <v>47</v>
      </c>
      <c r="C848" t="s">
        <v>20</v>
      </c>
      <c r="D848" t="s">
        <v>30</v>
      </c>
      <c r="E848" t="s">
        <v>37</v>
      </c>
      <c r="F848">
        <v>97</v>
      </c>
      <c r="G848">
        <v>265</v>
      </c>
      <c r="H848">
        <v>91</v>
      </c>
      <c r="I848" s="1">
        <v>45555</v>
      </c>
      <c r="J848" t="s">
        <v>14</v>
      </c>
    </row>
    <row r="849" spans="1:10" x14ac:dyDescent="0.25">
      <c r="A849">
        <v>848</v>
      </c>
      <c r="B849" t="s">
        <v>40</v>
      </c>
      <c r="C849" t="s">
        <v>34</v>
      </c>
      <c r="D849" t="s">
        <v>30</v>
      </c>
      <c r="E849" t="s">
        <v>13</v>
      </c>
      <c r="F849">
        <v>404</v>
      </c>
      <c r="G849">
        <v>724.72</v>
      </c>
      <c r="H849">
        <v>58</v>
      </c>
      <c r="I849" s="1">
        <v>45353</v>
      </c>
      <c r="J849" t="s">
        <v>14</v>
      </c>
    </row>
    <row r="850" spans="1:10" x14ac:dyDescent="0.25">
      <c r="A850">
        <v>849</v>
      </c>
      <c r="B850" t="s">
        <v>31</v>
      </c>
      <c r="C850" t="s">
        <v>20</v>
      </c>
      <c r="D850" t="s">
        <v>24</v>
      </c>
      <c r="E850" t="s">
        <v>37</v>
      </c>
      <c r="F850">
        <v>190</v>
      </c>
      <c r="G850">
        <v>430.08</v>
      </c>
      <c r="H850">
        <v>150</v>
      </c>
      <c r="I850" s="1">
        <v>45076</v>
      </c>
      <c r="J850" t="s">
        <v>14</v>
      </c>
    </row>
    <row r="851" spans="1:10" x14ac:dyDescent="0.25">
      <c r="A851">
        <v>850</v>
      </c>
      <c r="B851" t="s">
        <v>38</v>
      </c>
      <c r="C851" t="s">
        <v>26</v>
      </c>
      <c r="D851" t="s">
        <v>17</v>
      </c>
      <c r="E851" t="s">
        <v>39</v>
      </c>
      <c r="F851">
        <v>442</v>
      </c>
      <c r="G851">
        <v>729.74</v>
      </c>
      <c r="H851">
        <v>100</v>
      </c>
      <c r="I851" s="1">
        <v>45151</v>
      </c>
      <c r="J851" t="s">
        <v>14</v>
      </c>
    </row>
    <row r="852" spans="1:10" x14ac:dyDescent="0.25">
      <c r="A852">
        <v>851</v>
      </c>
      <c r="B852" t="s">
        <v>46</v>
      </c>
      <c r="C852" t="s">
        <v>34</v>
      </c>
      <c r="D852" t="s">
        <v>24</v>
      </c>
      <c r="E852" t="s">
        <v>37</v>
      </c>
      <c r="F852">
        <v>106</v>
      </c>
      <c r="G852">
        <v>117.35</v>
      </c>
      <c r="H852">
        <v>62</v>
      </c>
      <c r="I852" s="1">
        <v>45321</v>
      </c>
      <c r="J852" t="s">
        <v>14</v>
      </c>
    </row>
    <row r="853" spans="1:10" x14ac:dyDescent="0.25">
      <c r="A853">
        <v>852</v>
      </c>
      <c r="B853" t="s">
        <v>51</v>
      </c>
      <c r="C853" t="s">
        <v>11</v>
      </c>
      <c r="D853" t="s">
        <v>12</v>
      </c>
      <c r="E853" t="s">
        <v>27</v>
      </c>
      <c r="F853">
        <v>400</v>
      </c>
      <c r="G853">
        <v>232.12</v>
      </c>
      <c r="H853">
        <v>66</v>
      </c>
      <c r="I853" s="1">
        <v>46012</v>
      </c>
      <c r="J853" t="s">
        <v>14</v>
      </c>
    </row>
    <row r="854" spans="1:10" x14ac:dyDescent="0.25">
      <c r="A854">
        <v>853</v>
      </c>
      <c r="B854" t="s">
        <v>35</v>
      </c>
      <c r="C854" t="s">
        <v>11</v>
      </c>
      <c r="D854" t="s">
        <v>24</v>
      </c>
      <c r="E854" t="s">
        <v>39</v>
      </c>
      <c r="F854">
        <v>288</v>
      </c>
      <c r="G854">
        <v>407.81</v>
      </c>
      <c r="H854">
        <v>113</v>
      </c>
      <c r="I854" s="1">
        <v>45438</v>
      </c>
      <c r="J854" t="s">
        <v>14</v>
      </c>
    </row>
    <row r="855" spans="1:10" x14ac:dyDescent="0.25">
      <c r="A855">
        <v>854</v>
      </c>
      <c r="B855" t="s">
        <v>47</v>
      </c>
      <c r="C855" t="s">
        <v>20</v>
      </c>
      <c r="D855" t="s">
        <v>30</v>
      </c>
      <c r="E855" t="s">
        <v>27</v>
      </c>
      <c r="F855">
        <v>438</v>
      </c>
      <c r="G855">
        <v>522.91</v>
      </c>
      <c r="H855">
        <v>150</v>
      </c>
      <c r="I855" s="1">
        <v>45424</v>
      </c>
      <c r="J855" t="s">
        <v>14</v>
      </c>
    </row>
    <row r="856" spans="1:10" x14ac:dyDescent="0.25">
      <c r="A856">
        <v>855</v>
      </c>
      <c r="B856" t="s">
        <v>49</v>
      </c>
      <c r="C856" t="s">
        <v>16</v>
      </c>
      <c r="D856" t="s">
        <v>17</v>
      </c>
      <c r="E856" t="s">
        <v>32</v>
      </c>
      <c r="F856">
        <v>118</v>
      </c>
      <c r="G856">
        <v>663.87</v>
      </c>
      <c r="H856">
        <v>122</v>
      </c>
      <c r="I856" s="1">
        <v>45129</v>
      </c>
      <c r="J856" t="s">
        <v>28</v>
      </c>
    </row>
    <row r="857" spans="1:10" x14ac:dyDescent="0.25">
      <c r="A857">
        <v>856</v>
      </c>
      <c r="B857" t="s">
        <v>15</v>
      </c>
      <c r="C857" t="s">
        <v>16</v>
      </c>
      <c r="D857" t="s">
        <v>12</v>
      </c>
      <c r="E857" t="s">
        <v>32</v>
      </c>
      <c r="F857">
        <v>440</v>
      </c>
      <c r="G857">
        <v>151</v>
      </c>
      <c r="H857">
        <v>88</v>
      </c>
      <c r="I857" s="1">
        <v>45747</v>
      </c>
      <c r="J857" t="s">
        <v>14</v>
      </c>
    </row>
    <row r="858" spans="1:10" x14ac:dyDescent="0.25">
      <c r="A858">
        <v>857</v>
      </c>
      <c r="B858" t="s">
        <v>35</v>
      </c>
      <c r="C858" t="s">
        <v>11</v>
      </c>
      <c r="D858" t="s">
        <v>17</v>
      </c>
      <c r="E858" t="s">
        <v>27</v>
      </c>
      <c r="F858">
        <v>267</v>
      </c>
      <c r="G858">
        <v>146.25</v>
      </c>
      <c r="H858">
        <v>83</v>
      </c>
      <c r="I858" s="1">
        <v>45105</v>
      </c>
      <c r="J858" t="s">
        <v>14</v>
      </c>
    </row>
    <row r="859" spans="1:10" x14ac:dyDescent="0.25">
      <c r="A859">
        <v>858</v>
      </c>
      <c r="B859" t="s">
        <v>53</v>
      </c>
      <c r="C859" t="s">
        <v>26</v>
      </c>
      <c r="D859" t="s">
        <v>17</v>
      </c>
      <c r="E859" t="s">
        <v>27</v>
      </c>
      <c r="F859">
        <v>483</v>
      </c>
      <c r="G859">
        <v>530.02</v>
      </c>
      <c r="H859">
        <v>67</v>
      </c>
      <c r="I859" s="1">
        <v>45103</v>
      </c>
      <c r="J859" t="s">
        <v>14</v>
      </c>
    </row>
    <row r="860" spans="1:10" x14ac:dyDescent="0.25">
      <c r="A860">
        <v>859</v>
      </c>
      <c r="B860" t="s">
        <v>40</v>
      </c>
      <c r="C860" t="s">
        <v>34</v>
      </c>
      <c r="D860" t="s">
        <v>17</v>
      </c>
      <c r="E860" t="s">
        <v>13</v>
      </c>
      <c r="F860">
        <v>60</v>
      </c>
      <c r="G860">
        <v>222.46</v>
      </c>
      <c r="H860">
        <v>136</v>
      </c>
      <c r="I860" s="1">
        <v>45848</v>
      </c>
      <c r="J860" t="s">
        <v>28</v>
      </c>
    </row>
    <row r="861" spans="1:10" x14ac:dyDescent="0.25">
      <c r="A861">
        <v>860</v>
      </c>
      <c r="B861" t="s">
        <v>47</v>
      </c>
      <c r="C861" t="s">
        <v>20</v>
      </c>
      <c r="D861" t="s">
        <v>24</v>
      </c>
      <c r="E861" t="s">
        <v>37</v>
      </c>
      <c r="F861">
        <v>165</v>
      </c>
      <c r="G861">
        <v>586.28</v>
      </c>
      <c r="H861">
        <v>74</v>
      </c>
      <c r="I861" s="1">
        <v>45994</v>
      </c>
      <c r="J861" t="s">
        <v>14</v>
      </c>
    </row>
    <row r="862" spans="1:10" x14ac:dyDescent="0.25">
      <c r="A862">
        <v>861</v>
      </c>
      <c r="B862" t="s">
        <v>22</v>
      </c>
      <c r="C862" t="s">
        <v>11</v>
      </c>
      <c r="D862" t="s">
        <v>17</v>
      </c>
      <c r="E862" t="s">
        <v>32</v>
      </c>
      <c r="F862">
        <v>239</v>
      </c>
      <c r="G862">
        <v>162.72</v>
      </c>
      <c r="H862">
        <v>52</v>
      </c>
      <c r="I862" s="1">
        <v>45817</v>
      </c>
      <c r="J862" t="s">
        <v>14</v>
      </c>
    </row>
    <row r="863" spans="1:10" x14ac:dyDescent="0.25">
      <c r="A863">
        <v>862</v>
      </c>
      <c r="B863" t="s">
        <v>10</v>
      </c>
      <c r="C863" t="s">
        <v>11</v>
      </c>
      <c r="D863" t="s">
        <v>21</v>
      </c>
      <c r="E863" t="s">
        <v>13</v>
      </c>
      <c r="F863">
        <v>141</v>
      </c>
      <c r="G863">
        <v>575.83000000000004</v>
      </c>
      <c r="H863">
        <v>53</v>
      </c>
      <c r="I863" s="1">
        <v>45078</v>
      </c>
      <c r="J863" t="s">
        <v>14</v>
      </c>
    </row>
    <row r="864" spans="1:10" x14ac:dyDescent="0.25">
      <c r="A864">
        <v>863</v>
      </c>
      <c r="B864" t="s">
        <v>38</v>
      </c>
      <c r="C864" t="s">
        <v>26</v>
      </c>
      <c r="D864" t="s">
        <v>21</v>
      </c>
      <c r="E864" t="s">
        <v>39</v>
      </c>
      <c r="F864">
        <v>127</v>
      </c>
      <c r="G864">
        <v>144.19</v>
      </c>
      <c r="H864">
        <v>93</v>
      </c>
      <c r="I864" s="1">
        <v>45953</v>
      </c>
      <c r="J864" t="s">
        <v>14</v>
      </c>
    </row>
    <row r="865" spans="1:10" x14ac:dyDescent="0.25">
      <c r="A865">
        <v>864</v>
      </c>
      <c r="B865" t="s">
        <v>25</v>
      </c>
      <c r="C865" t="s">
        <v>26</v>
      </c>
      <c r="D865" t="s">
        <v>12</v>
      </c>
      <c r="E865" t="s">
        <v>13</v>
      </c>
      <c r="F865">
        <v>320</v>
      </c>
      <c r="G865">
        <v>48.57</v>
      </c>
      <c r="H865">
        <v>76</v>
      </c>
      <c r="I865" s="1">
        <v>44997</v>
      </c>
      <c r="J865" t="s">
        <v>14</v>
      </c>
    </row>
    <row r="866" spans="1:10" x14ac:dyDescent="0.25">
      <c r="A866">
        <v>865</v>
      </c>
      <c r="B866" t="s">
        <v>52</v>
      </c>
      <c r="C866" t="s">
        <v>16</v>
      </c>
      <c r="D866" t="s">
        <v>12</v>
      </c>
      <c r="E866" t="s">
        <v>32</v>
      </c>
      <c r="F866">
        <v>308</v>
      </c>
      <c r="G866">
        <v>160.74</v>
      </c>
      <c r="H866">
        <v>140</v>
      </c>
      <c r="I866" s="1">
        <v>45375</v>
      </c>
      <c r="J866" t="s">
        <v>14</v>
      </c>
    </row>
    <row r="867" spans="1:10" x14ac:dyDescent="0.25">
      <c r="A867">
        <v>866</v>
      </c>
      <c r="B867" t="s">
        <v>44</v>
      </c>
      <c r="C867" t="s">
        <v>34</v>
      </c>
      <c r="D867" t="s">
        <v>21</v>
      </c>
      <c r="E867" t="s">
        <v>18</v>
      </c>
      <c r="F867">
        <v>88</v>
      </c>
      <c r="G867">
        <v>19.920000000000002</v>
      </c>
      <c r="H867">
        <v>73</v>
      </c>
      <c r="I867" s="1">
        <v>44944</v>
      </c>
      <c r="J867" t="s">
        <v>14</v>
      </c>
    </row>
    <row r="868" spans="1:10" x14ac:dyDescent="0.25">
      <c r="A868">
        <v>867</v>
      </c>
      <c r="B868" t="s">
        <v>23</v>
      </c>
      <c r="C868" t="s">
        <v>20</v>
      </c>
      <c r="D868" t="s">
        <v>12</v>
      </c>
      <c r="E868" t="s">
        <v>39</v>
      </c>
      <c r="F868">
        <v>416</v>
      </c>
      <c r="G868">
        <v>110.67</v>
      </c>
      <c r="H868">
        <v>125</v>
      </c>
      <c r="I868" s="1">
        <v>45484</v>
      </c>
      <c r="J868" t="s">
        <v>14</v>
      </c>
    </row>
    <row r="869" spans="1:10" x14ac:dyDescent="0.25">
      <c r="A869">
        <v>868</v>
      </c>
      <c r="B869" t="s">
        <v>25</v>
      </c>
      <c r="C869" t="s">
        <v>26</v>
      </c>
      <c r="D869" t="s">
        <v>24</v>
      </c>
      <c r="E869" t="s">
        <v>27</v>
      </c>
      <c r="F869">
        <v>126</v>
      </c>
      <c r="G869">
        <v>664.76</v>
      </c>
      <c r="H869">
        <v>123</v>
      </c>
      <c r="I869" s="1">
        <v>45270</v>
      </c>
      <c r="J869" t="s">
        <v>14</v>
      </c>
    </row>
    <row r="870" spans="1:10" x14ac:dyDescent="0.25">
      <c r="A870">
        <v>869</v>
      </c>
      <c r="B870" t="s">
        <v>36</v>
      </c>
      <c r="C870" t="s">
        <v>11</v>
      </c>
      <c r="D870" t="s">
        <v>24</v>
      </c>
      <c r="E870" t="s">
        <v>32</v>
      </c>
      <c r="F870">
        <v>35</v>
      </c>
      <c r="G870">
        <v>567.74</v>
      </c>
      <c r="H870">
        <v>96</v>
      </c>
      <c r="I870" s="1">
        <v>45298</v>
      </c>
      <c r="J870" t="s">
        <v>28</v>
      </c>
    </row>
    <row r="871" spans="1:10" x14ac:dyDescent="0.25">
      <c r="A871">
        <v>870</v>
      </c>
      <c r="B871" t="s">
        <v>22</v>
      </c>
      <c r="C871" t="s">
        <v>11</v>
      </c>
      <c r="D871" t="s">
        <v>17</v>
      </c>
      <c r="E871" t="s">
        <v>32</v>
      </c>
      <c r="F871">
        <v>0</v>
      </c>
      <c r="G871">
        <v>720.97</v>
      </c>
      <c r="H871">
        <v>64</v>
      </c>
      <c r="I871" s="1">
        <v>45424</v>
      </c>
      <c r="J871" t="s">
        <v>28</v>
      </c>
    </row>
    <row r="872" spans="1:10" x14ac:dyDescent="0.25">
      <c r="A872">
        <v>871</v>
      </c>
      <c r="B872" t="s">
        <v>52</v>
      </c>
      <c r="C872" t="s">
        <v>16</v>
      </c>
      <c r="D872" t="s">
        <v>30</v>
      </c>
      <c r="E872" t="s">
        <v>37</v>
      </c>
      <c r="F872">
        <v>170</v>
      </c>
      <c r="G872">
        <v>320.62</v>
      </c>
      <c r="H872">
        <v>113</v>
      </c>
      <c r="I872" s="1">
        <v>45739</v>
      </c>
      <c r="J872" t="s">
        <v>14</v>
      </c>
    </row>
    <row r="873" spans="1:10" x14ac:dyDescent="0.25">
      <c r="A873">
        <v>872</v>
      </c>
      <c r="B873" t="s">
        <v>51</v>
      </c>
      <c r="C873" t="s">
        <v>11</v>
      </c>
      <c r="D873" t="s">
        <v>12</v>
      </c>
      <c r="E873" t="s">
        <v>39</v>
      </c>
      <c r="F873">
        <v>428</v>
      </c>
      <c r="G873">
        <v>731.98</v>
      </c>
      <c r="H873">
        <v>69</v>
      </c>
      <c r="I873" s="1">
        <v>45257</v>
      </c>
      <c r="J873" t="s">
        <v>14</v>
      </c>
    </row>
    <row r="874" spans="1:10" x14ac:dyDescent="0.25">
      <c r="A874">
        <v>873</v>
      </c>
      <c r="B874" t="s">
        <v>41</v>
      </c>
      <c r="C874" t="s">
        <v>16</v>
      </c>
      <c r="D874" t="s">
        <v>21</v>
      </c>
      <c r="E874" t="s">
        <v>39</v>
      </c>
      <c r="F874">
        <v>462</v>
      </c>
      <c r="G874">
        <v>47.56</v>
      </c>
      <c r="H874">
        <v>140</v>
      </c>
      <c r="I874" s="1">
        <v>45469</v>
      </c>
      <c r="J874" t="s">
        <v>14</v>
      </c>
    </row>
    <row r="875" spans="1:10" x14ac:dyDescent="0.25">
      <c r="A875">
        <v>874</v>
      </c>
      <c r="B875" t="s">
        <v>38</v>
      </c>
      <c r="C875" t="s">
        <v>26</v>
      </c>
      <c r="D875" t="s">
        <v>21</v>
      </c>
      <c r="E875" t="s">
        <v>37</v>
      </c>
      <c r="F875">
        <v>225</v>
      </c>
      <c r="G875">
        <v>260.68</v>
      </c>
      <c r="H875">
        <v>77</v>
      </c>
      <c r="I875" s="1">
        <v>45982</v>
      </c>
      <c r="J875" t="s">
        <v>14</v>
      </c>
    </row>
    <row r="876" spans="1:10" x14ac:dyDescent="0.25">
      <c r="A876">
        <v>875</v>
      </c>
      <c r="B876" t="s">
        <v>44</v>
      </c>
      <c r="C876" t="s">
        <v>34</v>
      </c>
      <c r="D876" t="s">
        <v>30</v>
      </c>
      <c r="E876" t="s">
        <v>39</v>
      </c>
      <c r="F876">
        <v>319</v>
      </c>
      <c r="G876">
        <v>138.85</v>
      </c>
      <c r="H876">
        <v>101</v>
      </c>
      <c r="I876" s="1">
        <v>45854</v>
      </c>
      <c r="J876" t="s">
        <v>14</v>
      </c>
    </row>
    <row r="877" spans="1:10" x14ac:dyDescent="0.25">
      <c r="A877">
        <v>876</v>
      </c>
      <c r="B877" t="s">
        <v>31</v>
      </c>
      <c r="C877" t="s">
        <v>20</v>
      </c>
      <c r="D877" t="s">
        <v>30</v>
      </c>
      <c r="E877" t="s">
        <v>18</v>
      </c>
      <c r="F877">
        <v>386</v>
      </c>
      <c r="G877">
        <v>271.14</v>
      </c>
      <c r="H877">
        <v>128</v>
      </c>
      <c r="I877" s="1">
        <v>45206</v>
      </c>
      <c r="J877" t="s">
        <v>14</v>
      </c>
    </row>
    <row r="878" spans="1:10" x14ac:dyDescent="0.25">
      <c r="A878">
        <v>877</v>
      </c>
      <c r="B878" t="s">
        <v>44</v>
      </c>
      <c r="C878" t="s">
        <v>34</v>
      </c>
      <c r="D878" t="s">
        <v>21</v>
      </c>
      <c r="E878" t="s">
        <v>39</v>
      </c>
      <c r="F878">
        <v>351</v>
      </c>
      <c r="G878">
        <v>581.20000000000005</v>
      </c>
      <c r="H878">
        <v>149</v>
      </c>
      <c r="I878" s="1">
        <v>45327</v>
      </c>
      <c r="J878" t="s">
        <v>14</v>
      </c>
    </row>
    <row r="879" spans="1:10" x14ac:dyDescent="0.25">
      <c r="A879">
        <v>878</v>
      </c>
      <c r="B879" t="s">
        <v>22</v>
      </c>
      <c r="C879" t="s">
        <v>11</v>
      </c>
      <c r="D879" t="s">
        <v>12</v>
      </c>
      <c r="E879" t="s">
        <v>39</v>
      </c>
      <c r="F879">
        <v>444</v>
      </c>
      <c r="G879">
        <v>763.87</v>
      </c>
      <c r="H879">
        <v>120</v>
      </c>
      <c r="I879" s="1">
        <v>45900</v>
      </c>
      <c r="J879" t="s">
        <v>14</v>
      </c>
    </row>
    <row r="880" spans="1:10" x14ac:dyDescent="0.25">
      <c r="A880">
        <v>879</v>
      </c>
      <c r="B880" t="s">
        <v>31</v>
      </c>
      <c r="C880" t="s">
        <v>20</v>
      </c>
      <c r="D880" t="s">
        <v>17</v>
      </c>
      <c r="E880" t="s">
        <v>27</v>
      </c>
      <c r="F880">
        <v>242</v>
      </c>
      <c r="G880">
        <v>133.9</v>
      </c>
      <c r="H880">
        <v>62</v>
      </c>
      <c r="I880" s="1">
        <v>45210</v>
      </c>
      <c r="J880" t="s">
        <v>14</v>
      </c>
    </row>
    <row r="881" spans="1:10" x14ac:dyDescent="0.25">
      <c r="A881">
        <v>880</v>
      </c>
      <c r="B881" t="s">
        <v>40</v>
      </c>
      <c r="C881" t="s">
        <v>34</v>
      </c>
      <c r="D881" t="s">
        <v>21</v>
      </c>
      <c r="E881" t="s">
        <v>37</v>
      </c>
      <c r="F881">
        <v>146</v>
      </c>
      <c r="G881">
        <v>61.89</v>
      </c>
      <c r="H881">
        <v>61</v>
      </c>
      <c r="I881" s="1">
        <v>45541</v>
      </c>
      <c r="J881" t="s">
        <v>14</v>
      </c>
    </row>
    <row r="882" spans="1:10" x14ac:dyDescent="0.25">
      <c r="A882">
        <v>881</v>
      </c>
      <c r="B882" t="s">
        <v>53</v>
      </c>
      <c r="C882" t="s">
        <v>26</v>
      </c>
      <c r="D882" t="s">
        <v>30</v>
      </c>
      <c r="E882" t="s">
        <v>18</v>
      </c>
      <c r="F882">
        <v>90</v>
      </c>
      <c r="G882">
        <v>59.74</v>
      </c>
      <c r="H882">
        <v>72</v>
      </c>
      <c r="I882" s="1">
        <v>45407</v>
      </c>
      <c r="J882" t="s">
        <v>14</v>
      </c>
    </row>
    <row r="883" spans="1:10" x14ac:dyDescent="0.25">
      <c r="A883">
        <v>882</v>
      </c>
      <c r="B883" t="s">
        <v>44</v>
      </c>
      <c r="C883" t="s">
        <v>34</v>
      </c>
      <c r="D883" t="s">
        <v>21</v>
      </c>
      <c r="E883" t="s">
        <v>37</v>
      </c>
      <c r="F883">
        <v>147</v>
      </c>
      <c r="G883">
        <v>199.02</v>
      </c>
      <c r="H883">
        <v>70</v>
      </c>
      <c r="I883" s="1">
        <v>45874</v>
      </c>
      <c r="J883" t="s">
        <v>14</v>
      </c>
    </row>
    <row r="884" spans="1:10" x14ac:dyDescent="0.25">
      <c r="A884">
        <v>883</v>
      </c>
      <c r="B884" t="s">
        <v>45</v>
      </c>
      <c r="C884" t="s">
        <v>26</v>
      </c>
      <c r="D884" t="s">
        <v>21</v>
      </c>
      <c r="E884" t="s">
        <v>13</v>
      </c>
      <c r="F884">
        <v>59</v>
      </c>
      <c r="G884">
        <v>258.7</v>
      </c>
      <c r="H884">
        <v>100</v>
      </c>
      <c r="I884" s="1">
        <v>45887</v>
      </c>
      <c r="J884" t="s">
        <v>28</v>
      </c>
    </row>
    <row r="885" spans="1:10" x14ac:dyDescent="0.25">
      <c r="A885">
        <v>884</v>
      </c>
      <c r="B885" t="s">
        <v>49</v>
      </c>
      <c r="C885" t="s">
        <v>16</v>
      </c>
      <c r="D885" t="s">
        <v>17</v>
      </c>
      <c r="E885" t="s">
        <v>32</v>
      </c>
      <c r="F885">
        <v>417</v>
      </c>
      <c r="G885">
        <v>160.22</v>
      </c>
      <c r="H885">
        <v>147</v>
      </c>
      <c r="I885" s="1">
        <v>46019</v>
      </c>
      <c r="J885" t="s">
        <v>14</v>
      </c>
    </row>
    <row r="886" spans="1:10" x14ac:dyDescent="0.25">
      <c r="A886">
        <v>885</v>
      </c>
      <c r="B886" t="s">
        <v>23</v>
      </c>
      <c r="C886" t="s">
        <v>20</v>
      </c>
      <c r="D886" t="s">
        <v>24</v>
      </c>
      <c r="E886" t="s">
        <v>27</v>
      </c>
      <c r="F886">
        <v>415</v>
      </c>
      <c r="G886">
        <v>306.89</v>
      </c>
      <c r="H886">
        <v>97</v>
      </c>
      <c r="I886" s="1">
        <v>45360</v>
      </c>
      <c r="J886" t="s">
        <v>14</v>
      </c>
    </row>
    <row r="887" spans="1:10" x14ac:dyDescent="0.25">
      <c r="A887">
        <v>886</v>
      </c>
      <c r="B887" t="s">
        <v>31</v>
      </c>
      <c r="C887" t="s">
        <v>20</v>
      </c>
      <c r="D887" t="s">
        <v>30</v>
      </c>
      <c r="E887" t="s">
        <v>32</v>
      </c>
      <c r="F887">
        <v>437</v>
      </c>
      <c r="G887">
        <v>36.07</v>
      </c>
      <c r="H887">
        <v>72</v>
      </c>
      <c r="I887" s="1">
        <v>45920</v>
      </c>
      <c r="J887" t="s">
        <v>14</v>
      </c>
    </row>
    <row r="888" spans="1:10" x14ac:dyDescent="0.25">
      <c r="A888">
        <v>887</v>
      </c>
      <c r="B888" t="s">
        <v>48</v>
      </c>
      <c r="C888" t="s">
        <v>20</v>
      </c>
      <c r="D888" t="s">
        <v>30</v>
      </c>
      <c r="E888" t="s">
        <v>37</v>
      </c>
      <c r="F888">
        <v>56</v>
      </c>
      <c r="G888">
        <v>254.68</v>
      </c>
      <c r="H888">
        <v>51</v>
      </c>
      <c r="I888" s="1">
        <v>45500</v>
      </c>
      <c r="J888" t="s">
        <v>14</v>
      </c>
    </row>
    <row r="889" spans="1:10" x14ac:dyDescent="0.25">
      <c r="A889">
        <v>888</v>
      </c>
      <c r="B889" t="s">
        <v>22</v>
      </c>
      <c r="C889" t="s">
        <v>11</v>
      </c>
      <c r="D889" t="s">
        <v>24</v>
      </c>
      <c r="E889" t="s">
        <v>18</v>
      </c>
      <c r="F889">
        <v>408</v>
      </c>
      <c r="G889">
        <v>744.28</v>
      </c>
      <c r="H889">
        <v>82</v>
      </c>
      <c r="I889" s="1">
        <v>45201</v>
      </c>
      <c r="J889" t="s">
        <v>14</v>
      </c>
    </row>
    <row r="890" spans="1:10" x14ac:dyDescent="0.25">
      <c r="A890">
        <v>889</v>
      </c>
      <c r="B890" t="s">
        <v>19</v>
      </c>
      <c r="C890" t="s">
        <v>20</v>
      </c>
      <c r="D890" t="s">
        <v>21</v>
      </c>
      <c r="E890" t="s">
        <v>13</v>
      </c>
      <c r="F890">
        <v>176</v>
      </c>
      <c r="G890">
        <v>436.42</v>
      </c>
      <c r="H890">
        <v>94</v>
      </c>
      <c r="I890" s="1">
        <v>45196</v>
      </c>
      <c r="J890" t="s">
        <v>14</v>
      </c>
    </row>
    <row r="891" spans="1:10" x14ac:dyDescent="0.25">
      <c r="A891">
        <v>890</v>
      </c>
      <c r="B891" t="s">
        <v>35</v>
      </c>
      <c r="C891" t="s">
        <v>11</v>
      </c>
      <c r="D891" t="s">
        <v>24</v>
      </c>
      <c r="E891" t="s">
        <v>18</v>
      </c>
      <c r="F891">
        <v>261</v>
      </c>
      <c r="G891">
        <v>339.04</v>
      </c>
      <c r="H891">
        <v>68</v>
      </c>
      <c r="I891" s="1">
        <v>45613</v>
      </c>
      <c r="J891" t="s">
        <v>14</v>
      </c>
    </row>
    <row r="892" spans="1:10" x14ac:dyDescent="0.25">
      <c r="A892">
        <v>891</v>
      </c>
      <c r="B892" t="s">
        <v>29</v>
      </c>
      <c r="C892" t="s">
        <v>16</v>
      </c>
      <c r="D892" t="s">
        <v>17</v>
      </c>
      <c r="E892" t="s">
        <v>32</v>
      </c>
      <c r="F892">
        <v>436</v>
      </c>
      <c r="G892">
        <v>333.13</v>
      </c>
      <c r="H892">
        <v>130</v>
      </c>
      <c r="I892" s="1">
        <v>45946</v>
      </c>
      <c r="J892" t="s">
        <v>14</v>
      </c>
    </row>
    <row r="893" spans="1:10" x14ac:dyDescent="0.25">
      <c r="A893">
        <v>892</v>
      </c>
      <c r="B893" t="s">
        <v>50</v>
      </c>
      <c r="C893" t="s">
        <v>34</v>
      </c>
      <c r="D893" t="s">
        <v>21</v>
      </c>
      <c r="E893" t="s">
        <v>32</v>
      </c>
      <c r="F893">
        <v>206</v>
      </c>
      <c r="G893">
        <v>317.49</v>
      </c>
      <c r="H893">
        <v>54</v>
      </c>
      <c r="I893" s="1">
        <v>45604</v>
      </c>
      <c r="J893" t="s">
        <v>14</v>
      </c>
    </row>
    <row r="894" spans="1:10" x14ac:dyDescent="0.25">
      <c r="A894">
        <v>893</v>
      </c>
      <c r="B894" t="s">
        <v>54</v>
      </c>
      <c r="C894" t="s">
        <v>20</v>
      </c>
      <c r="D894" t="s">
        <v>21</v>
      </c>
      <c r="E894" t="s">
        <v>18</v>
      </c>
      <c r="F894">
        <v>475</v>
      </c>
      <c r="G894">
        <v>204.33</v>
      </c>
      <c r="H894">
        <v>140</v>
      </c>
      <c r="I894" s="1">
        <v>45440</v>
      </c>
      <c r="J894" t="s">
        <v>14</v>
      </c>
    </row>
    <row r="895" spans="1:10" x14ac:dyDescent="0.25">
      <c r="A895">
        <v>894</v>
      </c>
      <c r="B895" t="s">
        <v>50</v>
      </c>
      <c r="C895" t="s">
        <v>34</v>
      </c>
      <c r="D895" t="s">
        <v>30</v>
      </c>
      <c r="E895" t="s">
        <v>39</v>
      </c>
      <c r="F895">
        <v>90</v>
      </c>
      <c r="G895">
        <v>480.38</v>
      </c>
      <c r="H895">
        <v>102</v>
      </c>
      <c r="I895" s="1">
        <v>45026</v>
      </c>
      <c r="J895" t="s">
        <v>28</v>
      </c>
    </row>
    <row r="896" spans="1:10" x14ac:dyDescent="0.25">
      <c r="A896">
        <v>895</v>
      </c>
      <c r="B896" t="s">
        <v>44</v>
      </c>
      <c r="C896" t="s">
        <v>34</v>
      </c>
      <c r="D896" t="s">
        <v>24</v>
      </c>
      <c r="E896" t="s">
        <v>39</v>
      </c>
      <c r="F896">
        <v>226</v>
      </c>
      <c r="G896">
        <v>796.78</v>
      </c>
      <c r="H896">
        <v>51</v>
      </c>
      <c r="I896" s="1">
        <v>45817</v>
      </c>
      <c r="J896" t="s">
        <v>14</v>
      </c>
    </row>
    <row r="897" spans="1:10" x14ac:dyDescent="0.25">
      <c r="A897">
        <v>896</v>
      </c>
      <c r="B897" t="s">
        <v>36</v>
      </c>
      <c r="C897" t="s">
        <v>11</v>
      </c>
      <c r="D897" t="s">
        <v>21</v>
      </c>
      <c r="E897" t="s">
        <v>18</v>
      </c>
      <c r="F897">
        <v>179</v>
      </c>
      <c r="G897">
        <v>171.1</v>
      </c>
      <c r="H897">
        <v>72</v>
      </c>
      <c r="I897" s="1">
        <v>44984</v>
      </c>
      <c r="J897" t="s">
        <v>14</v>
      </c>
    </row>
    <row r="898" spans="1:10" x14ac:dyDescent="0.25">
      <c r="A898">
        <v>897</v>
      </c>
      <c r="B898" t="s">
        <v>53</v>
      </c>
      <c r="C898" t="s">
        <v>26</v>
      </c>
      <c r="D898" t="s">
        <v>30</v>
      </c>
      <c r="E898" t="s">
        <v>39</v>
      </c>
      <c r="F898">
        <v>489</v>
      </c>
      <c r="G898">
        <v>563.34</v>
      </c>
      <c r="H898">
        <v>94</v>
      </c>
      <c r="I898" s="1">
        <v>45666</v>
      </c>
      <c r="J898" t="s">
        <v>14</v>
      </c>
    </row>
    <row r="899" spans="1:10" x14ac:dyDescent="0.25">
      <c r="A899">
        <v>898</v>
      </c>
      <c r="B899" t="s">
        <v>41</v>
      </c>
      <c r="C899" t="s">
        <v>16</v>
      </c>
      <c r="D899" t="s">
        <v>17</v>
      </c>
      <c r="E899" t="s">
        <v>39</v>
      </c>
      <c r="F899">
        <v>107</v>
      </c>
      <c r="G899">
        <v>262.57</v>
      </c>
      <c r="H899">
        <v>119</v>
      </c>
      <c r="I899" s="1">
        <v>45545</v>
      </c>
      <c r="J899" t="s">
        <v>28</v>
      </c>
    </row>
    <row r="900" spans="1:10" x14ac:dyDescent="0.25">
      <c r="A900">
        <v>899</v>
      </c>
      <c r="B900" t="s">
        <v>36</v>
      </c>
      <c r="C900" t="s">
        <v>11</v>
      </c>
      <c r="D900" t="s">
        <v>30</v>
      </c>
      <c r="E900" t="s">
        <v>32</v>
      </c>
      <c r="F900">
        <v>160</v>
      </c>
      <c r="G900">
        <v>599.44000000000005</v>
      </c>
      <c r="H900">
        <v>102</v>
      </c>
      <c r="I900" s="1">
        <v>45370</v>
      </c>
      <c r="J900" t="s">
        <v>14</v>
      </c>
    </row>
    <row r="901" spans="1:10" x14ac:dyDescent="0.25">
      <c r="A901">
        <v>900</v>
      </c>
      <c r="B901" t="s">
        <v>25</v>
      </c>
      <c r="C901" t="s">
        <v>26</v>
      </c>
      <c r="D901" t="s">
        <v>17</v>
      </c>
      <c r="E901" t="s">
        <v>39</v>
      </c>
      <c r="F901">
        <v>421</v>
      </c>
      <c r="G901">
        <v>572.6</v>
      </c>
      <c r="H901">
        <v>59</v>
      </c>
      <c r="I901" s="1">
        <v>45246</v>
      </c>
      <c r="J901" t="s">
        <v>14</v>
      </c>
    </row>
    <row r="902" spans="1:10" x14ac:dyDescent="0.25">
      <c r="A902">
        <v>901</v>
      </c>
      <c r="B902" t="s">
        <v>49</v>
      </c>
      <c r="C902" t="s">
        <v>16</v>
      </c>
      <c r="D902" t="s">
        <v>17</v>
      </c>
      <c r="E902" t="s">
        <v>32</v>
      </c>
      <c r="F902">
        <v>308</v>
      </c>
      <c r="G902">
        <v>404.35</v>
      </c>
      <c r="H902">
        <v>52</v>
      </c>
      <c r="I902" s="1">
        <v>45362</v>
      </c>
      <c r="J902" t="s">
        <v>14</v>
      </c>
    </row>
    <row r="903" spans="1:10" x14ac:dyDescent="0.25">
      <c r="A903">
        <v>902</v>
      </c>
      <c r="B903" t="s">
        <v>46</v>
      </c>
      <c r="C903" t="s">
        <v>34</v>
      </c>
      <c r="D903" t="s">
        <v>12</v>
      </c>
      <c r="E903" t="s">
        <v>32</v>
      </c>
      <c r="F903">
        <v>103</v>
      </c>
      <c r="G903">
        <v>626.84</v>
      </c>
      <c r="H903">
        <v>141</v>
      </c>
      <c r="I903" s="1">
        <v>45156</v>
      </c>
      <c r="J903" t="s">
        <v>28</v>
      </c>
    </row>
    <row r="904" spans="1:10" x14ac:dyDescent="0.25">
      <c r="A904">
        <v>903</v>
      </c>
      <c r="B904" t="s">
        <v>50</v>
      </c>
      <c r="C904" t="s">
        <v>34</v>
      </c>
      <c r="D904" t="s">
        <v>24</v>
      </c>
      <c r="E904" t="s">
        <v>39</v>
      </c>
      <c r="F904">
        <v>33</v>
      </c>
      <c r="G904">
        <v>694.58</v>
      </c>
      <c r="H904">
        <v>107</v>
      </c>
      <c r="I904" s="1">
        <v>45286</v>
      </c>
      <c r="J904" t="s">
        <v>28</v>
      </c>
    </row>
    <row r="905" spans="1:10" x14ac:dyDescent="0.25">
      <c r="A905">
        <v>904</v>
      </c>
      <c r="B905" t="s">
        <v>43</v>
      </c>
      <c r="C905" t="s">
        <v>26</v>
      </c>
      <c r="D905" t="s">
        <v>24</v>
      </c>
      <c r="E905" t="s">
        <v>37</v>
      </c>
      <c r="F905">
        <v>71</v>
      </c>
      <c r="G905">
        <v>674.16</v>
      </c>
      <c r="H905">
        <v>105</v>
      </c>
      <c r="I905" s="1">
        <v>45558</v>
      </c>
      <c r="J905" t="s">
        <v>28</v>
      </c>
    </row>
    <row r="906" spans="1:10" x14ac:dyDescent="0.25">
      <c r="A906">
        <v>905</v>
      </c>
      <c r="B906" t="s">
        <v>51</v>
      </c>
      <c r="C906" t="s">
        <v>11</v>
      </c>
      <c r="D906" t="s">
        <v>24</v>
      </c>
      <c r="E906" t="s">
        <v>37</v>
      </c>
      <c r="F906">
        <v>476</v>
      </c>
      <c r="G906">
        <v>17.47</v>
      </c>
      <c r="H906">
        <v>131</v>
      </c>
      <c r="I906" s="1">
        <v>45269</v>
      </c>
      <c r="J906" t="s">
        <v>14</v>
      </c>
    </row>
    <row r="907" spans="1:10" x14ac:dyDescent="0.25">
      <c r="A907">
        <v>906</v>
      </c>
      <c r="B907" t="s">
        <v>25</v>
      </c>
      <c r="C907" t="s">
        <v>26</v>
      </c>
      <c r="D907" t="s">
        <v>12</v>
      </c>
      <c r="E907" t="s">
        <v>13</v>
      </c>
      <c r="F907">
        <v>64</v>
      </c>
      <c r="G907">
        <v>212.98</v>
      </c>
      <c r="H907">
        <v>81</v>
      </c>
      <c r="I907" s="1">
        <v>45842</v>
      </c>
      <c r="J907" t="s">
        <v>28</v>
      </c>
    </row>
    <row r="908" spans="1:10" x14ac:dyDescent="0.25">
      <c r="A908">
        <v>907</v>
      </c>
      <c r="B908" t="s">
        <v>33</v>
      </c>
      <c r="C908" t="s">
        <v>34</v>
      </c>
      <c r="D908" t="s">
        <v>21</v>
      </c>
      <c r="E908" t="s">
        <v>27</v>
      </c>
      <c r="F908">
        <v>453</v>
      </c>
      <c r="G908">
        <v>213.94</v>
      </c>
      <c r="H908">
        <v>137</v>
      </c>
      <c r="I908" s="1">
        <v>45739</v>
      </c>
      <c r="J908" t="s">
        <v>14</v>
      </c>
    </row>
    <row r="909" spans="1:10" x14ac:dyDescent="0.25">
      <c r="A909">
        <v>908</v>
      </c>
      <c r="B909" t="s">
        <v>31</v>
      </c>
      <c r="C909" t="s">
        <v>20</v>
      </c>
      <c r="D909" t="s">
        <v>30</v>
      </c>
      <c r="E909" t="s">
        <v>18</v>
      </c>
      <c r="F909">
        <v>380</v>
      </c>
      <c r="G909">
        <v>219.92</v>
      </c>
      <c r="H909">
        <v>91</v>
      </c>
      <c r="I909" s="1">
        <v>45284</v>
      </c>
      <c r="J909" t="s">
        <v>14</v>
      </c>
    </row>
    <row r="910" spans="1:10" x14ac:dyDescent="0.25">
      <c r="A910">
        <v>909</v>
      </c>
      <c r="B910" t="s">
        <v>53</v>
      </c>
      <c r="C910" t="s">
        <v>26</v>
      </c>
      <c r="D910" t="s">
        <v>17</v>
      </c>
      <c r="E910" t="s">
        <v>13</v>
      </c>
      <c r="F910">
        <v>50</v>
      </c>
      <c r="G910">
        <v>714.5</v>
      </c>
      <c r="H910">
        <v>135</v>
      </c>
      <c r="I910" s="1">
        <v>45504</v>
      </c>
      <c r="J910" t="s">
        <v>28</v>
      </c>
    </row>
    <row r="911" spans="1:10" x14ac:dyDescent="0.25">
      <c r="A911">
        <v>910</v>
      </c>
      <c r="B911" t="s">
        <v>10</v>
      </c>
      <c r="C911" t="s">
        <v>11</v>
      </c>
      <c r="D911" t="s">
        <v>24</v>
      </c>
      <c r="E911" t="s">
        <v>39</v>
      </c>
      <c r="F911">
        <v>135</v>
      </c>
      <c r="G911">
        <v>483.1</v>
      </c>
      <c r="H911">
        <v>143</v>
      </c>
      <c r="I911" s="1">
        <v>45805</v>
      </c>
      <c r="J911" t="s">
        <v>28</v>
      </c>
    </row>
    <row r="912" spans="1:10" x14ac:dyDescent="0.25">
      <c r="A912">
        <v>911</v>
      </c>
      <c r="B912" t="s">
        <v>48</v>
      </c>
      <c r="C912" t="s">
        <v>20</v>
      </c>
      <c r="D912" t="s">
        <v>21</v>
      </c>
      <c r="E912" t="s">
        <v>18</v>
      </c>
      <c r="F912">
        <v>67</v>
      </c>
      <c r="G912">
        <v>573.94000000000005</v>
      </c>
      <c r="H912">
        <v>93</v>
      </c>
      <c r="I912" s="1">
        <v>45637</v>
      </c>
      <c r="J912" t="s">
        <v>28</v>
      </c>
    </row>
    <row r="913" spans="1:10" x14ac:dyDescent="0.25">
      <c r="A913">
        <v>912</v>
      </c>
      <c r="B913" t="s">
        <v>33</v>
      </c>
      <c r="C913" t="s">
        <v>34</v>
      </c>
      <c r="D913" t="s">
        <v>21</v>
      </c>
      <c r="E913" t="s">
        <v>37</v>
      </c>
      <c r="F913">
        <v>388</v>
      </c>
      <c r="G913">
        <v>603.01</v>
      </c>
      <c r="H913">
        <v>149</v>
      </c>
      <c r="I913" s="1">
        <v>45190</v>
      </c>
      <c r="J913" t="s">
        <v>14</v>
      </c>
    </row>
    <row r="914" spans="1:10" x14ac:dyDescent="0.25">
      <c r="A914">
        <v>913</v>
      </c>
      <c r="B914" t="s">
        <v>42</v>
      </c>
      <c r="C914" t="s">
        <v>16</v>
      </c>
      <c r="D914" t="s">
        <v>12</v>
      </c>
      <c r="E914" t="s">
        <v>13</v>
      </c>
      <c r="F914">
        <v>33</v>
      </c>
      <c r="G914">
        <v>139.61000000000001</v>
      </c>
      <c r="H914">
        <v>108</v>
      </c>
      <c r="I914" s="1">
        <v>45381</v>
      </c>
      <c r="J914" t="s">
        <v>28</v>
      </c>
    </row>
    <row r="915" spans="1:10" x14ac:dyDescent="0.25">
      <c r="A915">
        <v>914</v>
      </c>
      <c r="B915" t="s">
        <v>19</v>
      </c>
      <c r="C915" t="s">
        <v>20</v>
      </c>
      <c r="D915" t="s">
        <v>12</v>
      </c>
      <c r="E915" t="s">
        <v>32</v>
      </c>
      <c r="F915">
        <v>131</v>
      </c>
      <c r="G915">
        <v>601.77</v>
      </c>
      <c r="H915">
        <v>118</v>
      </c>
      <c r="I915" s="1">
        <v>45247</v>
      </c>
      <c r="J915" t="s">
        <v>14</v>
      </c>
    </row>
    <row r="916" spans="1:10" x14ac:dyDescent="0.25">
      <c r="A916">
        <v>915</v>
      </c>
      <c r="B916" t="s">
        <v>36</v>
      </c>
      <c r="C916" t="s">
        <v>11</v>
      </c>
      <c r="D916" t="s">
        <v>24</v>
      </c>
      <c r="E916" t="s">
        <v>32</v>
      </c>
      <c r="F916">
        <v>368</v>
      </c>
      <c r="G916">
        <v>193.24</v>
      </c>
      <c r="H916">
        <v>58</v>
      </c>
      <c r="I916" s="1">
        <v>45553</v>
      </c>
      <c r="J916" t="s">
        <v>14</v>
      </c>
    </row>
    <row r="917" spans="1:10" x14ac:dyDescent="0.25">
      <c r="A917">
        <v>916</v>
      </c>
      <c r="B917" t="s">
        <v>31</v>
      </c>
      <c r="C917" t="s">
        <v>20</v>
      </c>
      <c r="D917" t="s">
        <v>21</v>
      </c>
      <c r="E917" t="s">
        <v>39</v>
      </c>
      <c r="F917">
        <v>310</v>
      </c>
      <c r="G917">
        <v>486.97</v>
      </c>
      <c r="H917">
        <v>68</v>
      </c>
      <c r="I917" s="1">
        <v>45132</v>
      </c>
      <c r="J917" t="s">
        <v>14</v>
      </c>
    </row>
    <row r="918" spans="1:10" x14ac:dyDescent="0.25">
      <c r="A918">
        <v>917</v>
      </c>
      <c r="B918" t="s">
        <v>31</v>
      </c>
      <c r="C918" t="s">
        <v>20</v>
      </c>
      <c r="D918" t="s">
        <v>12</v>
      </c>
      <c r="E918" t="s">
        <v>32</v>
      </c>
      <c r="F918">
        <v>124</v>
      </c>
      <c r="G918">
        <v>602.4</v>
      </c>
      <c r="H918">
        <v>125</v>
      </c>
      <c r="I918" s="1">
        <v>45921</v>
      </c>
      <c r="J918" t="s">
        <v>28</v>
      </c>
    </row>
    <row r="919" spans="1:10" x14ac:dyDescent="0.25">
      <c r="A919">
        <v>918</v>
      </c>
      <c r="B919" t="s">
        <v>45</v>
      </c>
      <c r="C919" t="s">
        <v>26</v>
      </c>
      <c r="D919" t="s">
        <v>24</v>
      </c>
      <c r="E919" t="s">
        <v>37</v>
      </c>
      <c r="F919">
        <v>385</v>
      </c>
      <c r="G919">
        <v>543.46</v>
      </c>
      <c r="H919">
        <v>116</v>
      </c>
      <c r="I919" s="1">
        <v>45365</v>
      </c>
      <c r="J919" t="s">
        <v>14</v>
      </c>
    </row>
    <row r="920" spans="1:10" x14ac:dyDescent="0.25">
      <c r="A920">
        <v>919</v>
      </c>
      <c r="B920" t="s">
        <v>54</v>
      </c>
      <c r="C920" t="s">
        <v>20</v>
      </c>
      <c r="D920" t="s">
        <v>17</v>
      </c>
      <c r="E920" t="s">
        <v>32</v>
      </c>
      <c r="F920">
        <v>68</v>
      </c>
      <c r="G920">
        <v>606.62</v>
      </c>
      <c r="H920">
        <v>144</v>
      </c>
      <c r="I920" s="1">
        <v>45742</v>
      </c>
      <c r="J920" t="s">
        <v>28</v>
      </c>
    </row>
    <row r="921" spans="1:10" x14ac:dyDescent="0.25">
      <c r="A921">
        <v>920</v>
      </c>
      <c r="B921" t="s">
        <v>51</v>
      </c>
      <c r="C921" t="s">
        <v>11</v>
      </c>
      <c r="D921" t="s">
        <v>17</v>
      </c>
      <c r="E921" t="s">
        <v>13</v>
      </c>
      <c r="F921">
        <v>443</v>
      </c>
      <c r="G921">
        <v>603.14</v>
      </c>
      <c r="H921">
        <v>73</v>
      </c>
      <c r="I921" s="1">
        <v>45163</v>
      </c>
      <c r="J921" t="s">
        <v>14</v>
      </c>
    </row>
    <row r="922" spans="1:10" x14ac:dyDescent="0.25">
      <c r="A922">
        <v>921</v>
      </c>
      <c r="B922" t="s">
        <v>40</v>
      </c>
      <c r="C922" t="s">
        <v>34</v>
      </c>
      <c r="D922" t="s">
        <v>30</v>
      </c>
      <c r="E922" t="s">
        <v>18</v>
      </c>
      <c r="F922">
        <v>323</v>
      </c>
      <c r="G922">
        <v>588.35</v>
      </c>
      <c r="H922">
        <v>64</v>
      </c>
      <c r="I922" s="1">
        <v>45533</v>
      </c>
      <c r="J922" t="s">
        <v>14</v>
      </c>
    </row>
    <row r="923" spans="1:10" x14ac:dyDescent="0.25">
      <c r="A923">
        <v>922</v>
      </c>
      <c r="B923" t="s">
        <v>35</v>
      </c>
      <c r="C923" t="s">
        <v>11</v>
      </c>
      <c r="D923" t="s">
        <v>17</v>
      </c>
      <c r="E923" t="s">
        <v>13</v>
      </c>
      <c r="F923">
        <v>424</v>
      </c>
      <c r="G923">
        <v>490.44</v>
      </c>
      <c r="H923">
        <v>88</v>
      </c>
      <c r="I923" s="1">
        <v>45618</v>
      </c>
      <c r="J923" t="s">
        <v>14</v>
      </c>
    </row>
    <row r="924" spans="1:10" x14ac:dyDescent="0.25">
      <c r="A924">
        <v>923</v>
      </c>
      <c r="B924" t="s">
        <v>35</v>
      </c>
      <c r="C924" t="s">
        <v>11</v>
      </c>
      <c r="D924" t="s">
        <v>30</v>
      </c>
      <c r="E924" t="s">
        <v>39</v>
      </c>
      <c r="F924">
        <v>32</v>
      </c>
      <c r="G924">
        <v>279.42</v>
      </c>
      <c r="H924">
        <v>71</v>
      </c>
      <c r="I924" s="1">
        <v>45703</v>
      </c>
      <c r="J924" t="s">
        <v>28</v>
      </c>
    </row>
    <row r="925" spans="1:10" x14ac:dyDescent="0.25">
      <c r="A925">
        <v>924</v>
      </c>
      <c r="B925" t="s">
        <v>29</v>
      </c>
      <c r="C925" t="s">
        <v>16</v>
      </c>
      <c r="D925" t="s">
        <v>30</v>
      </c>
      <c r="E925" t="s">
        <v>13</v>
      </c>
      <c r="F925">
        <v>195</v>
      </c>
      <c r="G925">
        <v>536.48</v>
      </c>
      <c r="H925">
        <v>126</v>
      </c>
      <c r="I925" s="1">
        <v>45288</v>
      </c>
      <c r="J925" t="s">
        <v>14</v>
      </c>
    </row>
    <row r="926" spans="1:10" x14ac:dyDescent="0.25">
      <c r="A926">
        <v>925</v>
      </c>
      <c r="B926" t="s">
        <v>40</v>
      </c>
      <c r="C926" t="s">
        <v>34</v>
      </c>
      <c r="D926" t="s">
        <v>12</v>
      </c>
      <c r="E926" t="s">
        <v>37</v>
      </c>
      <c r="F926">
        <v>419</v>
      </c>
      <c r="G926">
        <v>494.25</v>
      </c>
      <c r="H926">
        <v>62</v>
      </c>
      <c r="I926" s="1">
        <v>45171</v>
      </c>
      <c r="J926" t="s">
        <v>14</v>
      </c>
    </row>
    <row r="927" spans="1:10" x14ac:dyDescent="0.25">
      <c r="A927">
        <v>926</v>
      </c>
      <c r="B927" t="s">
        <v>15</v>
      </c>
      <c r="C927" t="s">
        <v>16</v>
      </c>
      <c r="D927" t="s">
        <v>24</v>
      </c>
      <c r="E927" t="s">
        <v>37</v>
      </c>
      <c r="F927">
        <v>23</v>
      </c>
      <c r="G927">
        <v>689.19</v>
      </c>
      <c r="H927">
        <v>81</v>
      </c>
      <c r="I927" s="1">
        <v>45668</v>
      </c>
      <c r="J927" t="s">
        <v>28</v>
      </c>
    </row>
    <row r="928" spans="1:10" x14ac:dyDescent="0.25">
      <c r="A928">
        <v>927</v>
      </c>
      <c r="B928" t="s">
        <v>35</v>
      </c>
      <c r="C928" t="s">
        <v>11</v>
      </c>
      <c r="D928" t="s">
        <v>30</v>
      </c>
      <c r="E928" t="s">
        <v>27</v>
      </c>
      <c r="F928">
        <v>344</v>
      </c>
      <c r="G928">
        <v>590.16999999999996</v>
      </c>
      <c r="H928">
        <v>109</v>
      </c>
      <c r="I928" s="1">
        <v>45013</v>
      </c>
      <c r="J928" t="s">
        <v>14</v>
      </c>
    </row>
    <row r="929" spans="1:10" x14ac:dyDescent="0.25">
      <c r="A929">
        <v>928</v>
      </c>
      <c r="B929" t="s">
        <v>31</v>
      </c>
      <c r="C929" t="s">
        <v>20</v>
      </c>
      <c r="D929" t="s">
        <v>24</v>
      </c>
      <c r="E929" t="s">
        <v>32</v>
      </c>
      <c r="F929">
        <v>61</v>
      </c>
      <c r="G929">
        <v>370.85</v>
      </c>
      <c r="H929">
        <v>135</v>
      </c>
      <c r="I929" s="1">
        <v>44955</v>
      </c>
      <c r="J929" t="s">
        <v>28</v>
      </c>
    </row>
    <row r="930" spans="1:10" x14ac:dyDescent="0.25">
      <c r="A930">
        <v>929</v>
      </c>
      <c r="B930" t="s">
        <v>38</v>
      </c>
      <c r="C930" t="s">
        <v>26</v>
      </c>
      <c r="D930" t="s">
        <v>24</v>
      </c>
      <c r="E930" t="s">
        <v>37</v>
      </c>
      <c r="F930">
        <v>404</v>
      </c>
      <c r="G930">
        <v>588.14</v>
      </c>
      <c r="H930">
        <v>58</v>
      </c>
      <c r="I930" s="1">
        <v>45901</v>
      </c>
      <c r="J930" t="s">
        <v>14</v>
      </c>
    </row>
    <row r="931" spans="1:10" x14ac:dyDescent="0.25">
      <c r="A931">
        <v>930</v>
      </c>
      <c r="B931" t="s">
        <v>40</v>
      </c>
      <c r="C931" t="s">
        <v>34</v>
      </c>
      <c r="D931" t="s">
        <v>30</v>
      </c>
      <c r="E931" t="s">
        <v>39</v>
      </c>
      <c r="F931">
        <v>464</v>
      </c>
      <c r="G931">
        <v>38.909999999999997</v>
      </c>
      <c r="H931">
        <v>121</v>
      </c>
      <c r="I931" s="1">
        <v>45334</v>
      </c>
      <c r="J931" t="s">
        <v>14</v>
      </c>
    </row>
    <row r="932" spans="1:10" x14ac:dyDescent="0.25">
      <c r="A932">
        <v>931</v>
      </c>
      <c r="B932" t="s">
        <v>40</v>
      </c>
      <c r="C932" t="s">
        <v>34</v>
      </c>
      <c r="D932" t="s">
        <v>24</v>
      </c>
      <c r="E932" t="s">
        <v>18</v>
      </c>
      <c r="F932">
        <v>59</v>
      </c>
      <c r="G932">
        <v>311.83</v>
      </c>
      <c r="H932">
        <v>54</v>
      </c>
      <c r="I932" s="1">
        <v>45340</v>
      </c>
      <c r="J932" t="s">
        <v>14</v>
      </c>
    </row>
    <row r="933" spans="1:10" x14ac:dyDescent="0.25">
      <c r="A933">
        <v>932</v>
      </c>
      <c r="B933" t="s">
        <v>25</v>
      </c>
      <c r="C933" t="s">
        <v>26</v>
      </c>
      <c r="D933" t="s">
        <v>17</v>
      </c>
      <c r="E933" t="s">
        <v>27</v>
      </c>
      <c r="F933">
        <v>401</v>
      </c>
      <c r="G933">
        <v>726.68</v>
      </c>
      <c r="H933">
        <v>124</v>
      </c>
      <c r="I933" s="1">
        <v>45073</v>
      </c>
      <c r="J933" t="s">
        <v>14</v>
      </c>
    </row>
    <row r="934" spans="1:10" x14ac:dyDescent="0.25">
      <c r="A934">
        <v>933</v>
      </c>
      <c r="B934" t="s">
        <v>54</v>
      </c>
      <c r="C934" t="s">
        <v>20</v>
      </c>
      <c r="D934" t="s">
        <v>30</v>
      </c>
      <c r="E934" t="s">
        <v>13</v>
      </c>
      <c r="F934">
        <v>347</v>
      </c>
      <c r="G934">
        <v>276.02999999999997</v>
      </c>
      <c r="H934">
        <v>127</v>
      </c>
      <c r="I934" s="1">
        <v>44960</v>
      </c>
      <c r="J934" t="s">
        <v>14</v>
      </c>
    </row>
    <row r="935" spans="1:10" x14ac:dyDescent="0.25">
      <c r="A935">
        <v>934</v>
      </c>
      <c r="B935" t="s">
        <v>44</v>
      </c>
      <c r="C935" t="s">
        <v>34</v>
      </c>
      <c r="D935" t="s">
        <v>30</v>
      </c>
      <c r="E935" t="s">
        <v>37</v>
      </c>
      <c r="F935">
        <v>263</v>
      </c>
      <c r="G935">
        <v>439.35</v>
      </c>
      <c r="H935">
        <v>117</v>
      </c>
      <c r="I935" s="1">
        <v>45554</v>
      </c>
      <c r="J935" t="s">
        <v>14</v>
      </c>
    </row>
    <row r="936" spans="1:10" x14ac:dyDescent="0.25">
      <c r="A936">
        <v>935</v>
      </c>
      <c r="B936" t="s">
        <v>15</v>
      </c>
      <c r="C936" t="s">
        <v>16</v>
      </c>
      <c r="D936" t="s">
        <v>30</v>
      </c>
      <c r="E936" t="s">
        <v>32</v>
      </c>
      <c r="F936">
        <v>467</v>
      </c>
      <c r="G936">
        <v>480.1</v>
      </c>
      <c r="H936">
        <v>70</v>
      </c>
      <c r="I936" s="1">
        <v>45472</v>
      </c>
      <c r="J936" t="s">
        <v>14</v>
      </c>
    </row>
    <row r="937" spans="1:10" x14ac:dyDescent="0.25">
      <c r="A937">
        <v>936</v>
      </c>
      <c r="B937" t="s">
        <v>38</v>
      </c>
      <c r="C937" t="s">
        <v>26</v>
      </c>
      <c r="D937" t="s">
        <v>30</v>
      </c>
      <c r="E937" t="s">
        <v>37</v>
      </c>
      <c r="F937">
        <v>433</v>
      </c>
      <c r="G937">
        <v>136.78</v>
      </c>
      <c r="H937">
        <v>113</v>
      </c>
      <c r="I937" s="1">
        <v>45714</v>
      </c>
      <c r="J937" t="s">
        <v>14</v>
      </c>
    </row>
    <row r="938" spans="1:10" x14ac:dyDescent="0.25">
      <c r="A938">
        <v>937</v>
      </c>
      <c r="B938" t="s">
        <v>46</v>
      </c>
      <c r="C938" t="s">
        <v>34</v>
      </c>
      <c r="D938" t="s">
        <v>17</v>
      </c>
      <c r="E938" t="s">
        <v>32</v>
      </c>
      <c r="F938">
        <v>99</v>
      </c>
      <c r="G938">
        <v>302.39</v>
      </c>
      <c r="H938">
        <v>67</v>
      </c>
      <c r="I938" s="1">
        <v>45067</v>
      </c>
      <c r="J938" t="s">
        <v>14</v>
      </c>
    </row>
    <row r="939" spans="1:10" x14ac:dyDescent="0.25">
      <c r="A939">
        <v>938</v>
      </c>
      <c r="B939" t="s">
        <v>44</v>
      </c>
      <c r="C939" t="s">
        <v>34</v>
      </c>
      <c r="D939" t="s">
        <v>30</v>
      </c>
      <c r="E939" t="s">
        <v>13</v>
      </c>
      <c r="F939">
        <v>455</v>
      </c>
      <c r="G939">
        <v>603.76</v>
      </c>
      <c r="H939">
        <v>109</v>
      </c>
      <c r="I939" s="1">
        <v>45587</v>
      </c>
      <c r="J939" t="s">
        <v>14</v>
      </c>
    </row>
    <row r="940" spans="1:10" x14ac:dyDescent="0.25">
      <c r="A940">
        <v>939</v>
      </c>
      <c r="B940" t="s">
        <v>29</v>
      </c>
      <c r="C940" t="s">
        <v>16</v>
      </c>
      <c r="D940" t="s">
        <v>24</v>
      </c>
      <c r="E940" t="s">
        <v>37</v>
      </c>
      <c r="F940">
        <v>4</v>
      </c>
      <c r="G940">
        <v>603.9</v>
      </c>
      <c r="H940">
        <v>81</v>
      </c>
      <c r="I940" s="1">
        <v>45000</v>
      </c>
      <c r="J940" t="s">
        <v>28</v>
      </c>
    </row>
    <row r="941" spans="1:10" x14ac:dyDescent="0.25">
      <c r="A941">
        <v>940</v>
      </c>
      <c r="B941" t="s">
        <v>40</v>
      </c>
      <c r="C941" t="s">
        <v>34</v>
      </c>
      <c r="D941" t="s">
        <v>17</v>
      </c>
      <c r="E941" t="s">
        <v>13</v>
      </c>
      <c r="F941">
        <v>385</v>
      </c>
      <c r="G941">
        <v>671.08</v>
      </c>
      <c r="H941">
        <v>84</v>
      </c>
      <c r="I941" s="1">
        <v>45446</v>
      </c>
      <c r="J941" t="s">
        <v>14</v>
      </c>
    </row>
    <row r="942" spans="1:10" x14ac:dyDescent="0.25">
      <c r="A942">
        <v>941</v>
      </c>
      <c r="B942" t="s">
        <v>43</v>
      </c>
      <c r="C942" t="s">
        <v>26</v>
      </c>
      <c r="D942" t="s">
        <v>12</v>
      </c>
      <c r="E942" t="s">
        <v>39</v>
      </c>
      <c r="F942">
        <v>321</v>
      </c>
      <c r="G942">
        <v>162.79</v>
      </c>
      <c r="H942">
        <v>132</v>
      </c>
      <c r="I942" s="1">
        <v>45308</v>
      </c>
      <c r="J942" t="s">
        <v>14</v>
      </c>
    </row>
    <row r="943" spans="1:10" x14ac:dyDescent="0.25">
      <c r="A943">
        <v>942</v>
      </c>
      <c r="B943" t="s">
        <v>35</v>
      </c>
      <c r="C943" t="s">
        <v>11</v>
      </c>
      <c r="D943" t="s">
        <v>30</v>
      </c>
      <c r="E943" t="s">
        <v>27</v>
      </c>
      <c r="F943">
        <v>179</v>
      </c>
      <c r="G943">
        <v>542.33000000000004</v>
      </c>
      <c r="H943">
        <v>66</v>
      </c>
      <c r="I943" s="1">
        <v>45290</v>
      </c>
      <c r="J943" t="s">
        <v>14</v>
      </c>
    </row>
    <row r="944" spans="1:10" x14ac:dyDescent="0.25">
      <c r="A944">
        <v>943</v>
      </c>
      <c r="B944" t="s">
        <v>42</v>
      </c>
      <c r="C944" t="s">
        <v>16</v>
      </c>
      <c r="D944" t="s">
        <v>21</v>
      </c>
      <c r="E944" t="s">
        <v>27</v>
      </c>
      <c r="F944">
        <v>327</v>
      </c>
      <c r="G944">
        <v>13.22</v>
      </c>
      <c r="H944">
        <v>56</v>
      </c>
      <c r="I944" s="1">
        <v>45800</v>
      </c>
      <c r="J944" t="s">
        <v>14</v>
      </c>
    </row>
    <row r="945" spans="1:10" x14ac:dyDescent="0.25">
      <c r="A945">
        <v>944</v>
      </c>
      <c r="B945" t="s">
        <v>38</v>
      </c>
      <c r="C945" t="s">
        <v>26</v>
      </c>
      <c r="D945" t="s">
        <v>24</v>
      </c>
      <c r="E945" t="s">
        <v>27</v>
      </c>
      <c r="F945">
        <v>484</v>
      </c>
      <c r="G945">
        <v>438.19</v>
      </c>
      <c r="H945">
        <v>122</v>
      </c>
      <c r="I945" s="1">
        <v>45176</v>
      </c>
      <c r="J945" t="s">
        <v>14</v>
      </c>
    </row>
    <row r="946" spans="1:10" x14ac:dyDescent="0.25">
      <c r="A946">
        <v>945</v>
      </c>
      <c r="B946" t="s">
        <v>44</v>
      </c>
      <c r="C946" t="s">
        <v>34</v>
      </c>
      <c r="D946" t="s">
        <v>21</v>
      </c>
      <c r="E946" t="s">
        <v>18</v>
      </c>
      <c r="F946">
        <v>93</v>
      </c>
      <c r="G946">
        <v>480.29</v>
      </c>
      <c r="H946">
        <v>131</v>
      </c>
      <c r="I946" s="1">
        <v>45188</v>
      </c>
      <c r="J946" t="s">
        <v>28</v>
      </c>
    </row>
    <row r="947" spans="1:10" x14ac:dyDescent="0.25">
      <c r="A947">
        <v>946</v>
      </c>
      <c r="B947" t="s">
        <v>36</v>
      </c>
      <c r="C947" t="s">
        <v>11</v>
      </c>
      <c r="D947" t="s">
        <v>12</v>
      </c>
      <c r="E947" t="s">
        <v>13</v>
      </c>
      <c r="F947">
        <v>402</v>
      </c>
      <c r="G947">
        <v>55.72</v>
      </c>
      <c r="H947">
        <v>136</v>
      </c>
      <c r="I947" s="1">
        <v>46022</v>
      </c>
      <c r="J947" t="s">
        <v>14</v>
      </c>
    </row>
    <row r="948" spans="1:10" x14ac:dyDescent="0.25">
      <c r="A948">
        <v>947</v>
      </c>
      <c r="B948" t="s">
        <v>48</v>
      </c>
      <c r="C948" t="s">
        <v>20</v>
      </c>
      <c r="D948" t="s">
        <v>24</v>
      </c>
      <c r="E948" t="s">
        <v>37</v>
      </c>
      <c r="F948">
        <v>389</v>
      </c>
      <c r="G948">
        <v>659.92</v>
      </c>
      <c r="H948">
        <v>59</v>
      </c>
      <c r="I948" s="1">
        <v>45105</v>
      </c>
      <c r="J948" t="s">
        <v>14</v>
      </c>
    </row>
    <row r="949" spans="1:10" x14ac:dyDescent="0.25">
      <c r="A949">
        <v>948</v>
      </c>
      <c r="B949" t="s">
        <v>52</v>
      </c>
      <c r="C949" t="s">
        <v>16</v>
      </c>
      <c r="D949" t="s">
        <v>17</v>
      </c>
      <c r="E949" t="s">
        <v>13</v>
      </c>
      <c r="F949">
        <v>55</v>
      </c>
      <c r="G949">
        <v>595.12</v>
      </c>
      <c r="H949">
        <v>114</v>
      </c>
      <c r="I949" s="1">
        <v>45249</v>
      </c>
      <c r="J949" t="s">
        <v>28</v>
      </c>
    </row>
    <row r="950" spans="1:10" x14ac:dyDescent="0.25">
      <c r="A950">
        <v>949</v>
      </c>
      <c r="B950" t="s">
        <v>25</v>
      </c>
      <c r="C950" t="s">
        <v>26</v>
      </c>
      <c r="D950" t="s">
        <v>30</v>
      </c>
      <c r="E950" t="s">
        <v>39</v>
      </c>
      <c r="F950">
        <v>442</v>
      </c>
      <c r="G950">
        <v>40.94</v>
      </c>
      <c r="H950">
        <v>107</v>
      </c>
      <c r="I950" s="1">
        <v>45327</v>
      </c>
      <c r="J950" t="s">
        <v>14</v>
      </c>
    </row>
    <row r="951" spans="1:10" x14ac:dyDescent="0.25">
      <c r="A951">
        <v>950</v>
      </c>
      <c r="B951" t="s">
        <v>15</v>
      </c>
      <c r="C951" t="s">
        <v>16</v>
      </c>
      <c r="D951" t="s">
        <v>17</v>
      </c>
      <c r="E951" t="s">
        <v>37</v>
      </c>
      <c r="F951">
        <v>105</v>
      </c>
      <c r="G951">
        <v>9.6199999999999992</v>
      </c>
      <c r="H951">
        <v>93</v>
      </c>
      <c r="I951" s="1">
        <v>45487</v>
      </c>
      <c r="J951" t="s">
        <v>14</v>
      </c>
    </row>
    <row r="952" spans="1:10" x14ac:dyDescent="0.25">
      <c r="A952">
        <v>951</v>
      </c>
      <c r="B952" t="s">
        <v>15</v>
      </c>
      <c r="C952" t="s">
        <v>16</v>
      </c>
      <c r="D952" t="s">
        <v>12</v>
      </c>
      <c r="E952" t="s">
        <v>27</v>
      </c>
      <c r="F952">
        <v>96</v>
      </c>
      <c r="G952">
        <v>230.24</v>
      </c>
      <c r="H952">
        <v>137</v>
      </c>
      <c r="I952" s="1">
        <v>45453</v>
      </c>
      <c r="J952" t="s">
        <v>28</v>
      </c>
    </row>
    <row r="953" spans="1:10" x14ac:dyDescent="0.25">
      <c r="A953">
        <v>952</v>
      </c>
      <c r="B953" t="s">
        <v>31</v>
      </c>
      <c r="C953" t="s">
        <v>20</v>
      </c>
      <c r="D953" t="s">
        <v>24</v>
      </c>
      <c r="E953" t="s">
        <v>37</v>
      </c>
      <c r="F953">
        <v>139</v>
      </c>
      <c r="G953">
        <v>485.61</v>
      </c>
      <c r="H953">
        <v>106</v>
      </c>
      <c r="I953" s="1">
        <v>45516</v>
      </c>
      <c r="J953" t="s">
        <v>14</v>
      </c>
    </row>
    <row r="954" spans="1:10" x14ac:dyDescent="0.25">
      <c r="A954">
        <v>953</v>
      </c>
      <c r="B954" t="s">
        <v>52</v>
      </c>
      <c r="C954" t="s">
        <v>16</v>
      </c>
      <c r="D954" t="s">
        <v>17</v>
      </c>
      <c r="E954" t="s">
        <v>32</v>
      </c>
      <c r="F954">
        <v>80</v>
      </c>
      <c r="G954">
        <v>112.57</v>
      </c>
      <c r="H954">
        <v>125</v>
      </c>
      <c r="I954" s="1">
        <v>45489</v>
      </c>
      <c r="J954" t="s">
        <v>28</v>
      </c>
    </row>
    <row r="955" spans="1:10" x14ac:dyDescent="0.25">
      <c r="A955">
        <v>954</v>
      </c>
      <c r="B955" t="s">
        <v>25</v>
      </c>
      <c r="C955" t="s">
        <v>26</v>
      </c>
      <c r="D955" t="s">
        <v>17</v>
      </c>
      <c r="E955" t="s">
        <v>27</v>
      </c>
      <c r="F955">
        <v>268</v>
      </c>
      <c r="G955">
        <v>427.89</v>
      </c>
      <c r="H955">
        <v>86</v>
      </c>
      <c r="I955" s="1">
        <v>45800</v>
      </c>
      <c r="J955" t="s">
        <v>14</v>
      </c>
    </row>
    <row r="956" spans="1:10" x14ac:dyDescent="0.25">
      <c r="A956">
        <v>955</v>
      </c>
      <c r="B956" t="s">
        <v>51</v>
      </c>
      <c r="C956" t="s">
        <v>11</v>
      </c>
      <c r="D956" t="s">
        <v>17</v>
      </c>
      <c r="E956" t="s">
        <v>37</v>
      </c>
      <c r="F956">
        <v>375</v>
      </c>
      <c r="G956">
        <v>20.89</v>
      </c>
      <c r="H956">
        <v>144</v>
      </c>
      <c r="I956" s="1">
        <v>45574</v>
      </c>
      <c r="J956" t="s">
        <v>14</v>
      </c>
    </row>
    <row r="957" spans="1:10" x14ac:dyDescent="0.25">
      <c r="A957">
        <v>956</v>
      </c>
      <c r="B957" t="s">
        <v>22</v>
      </c>
      <c r="C957" t="s">
        <v>11</v>
      </c>
      <c r="D957" t="s">
        <v>24</v>
      </c>
      <c r="E957" t="s">
        <v>32</v>
      </c>
      <c r="F957">
        <v>237</v>
      </c>
      <c r="G957">
        <v>239.85</v>
      </c>
      <c r="H957">
        <v>91</v>
      </c>
      <c r="I957" s="1">
        <v>45587</v>
      </c>
      <c r="J957" t="s">
        <v>14</v>
      </c>
    </row>
    <row r="958" spans="1:10" x14ac:dyDescent="0.25">
      <c r="A958">
        <v>957</v>
      </c>
      <c r="B958" t="s">
        <v>54</v>
      </c>
      <c r="C958" t="s">
        <v>20</v>
      </c>
      <c r="D958" t="s">
        <v>12</v>
      </c>
      <c r="E958" t="s">
        <v>27</v>
      </c>
      <c r="F958">
        <v>232</v>
      </c>
      <c r="G958">
        <v>292.7</v>
      </c>
      <c r="H958">
        <v>87</v>
      </c>
      <c r="I958" s="1">
        <v>45732</v>
      </c>
      <c r="J958" t="s">
        <v>14</v>
      </c>
    </row>
    <row r="959" spans="1:10" x14ac:dyDescent="0.25">
      <c r="A959">
        <v>958</v>
      </c>
      <c r="B959" t="s">
        <v>35</v>
      </c>
      <c r="C959" t="s">
        <v>11</v>
      </c>
      <c r="D959" t="s">
        <v>17</v>
      </c>
      <c r="E959" t="s">
        <v>37</v>
      </c>
      <c r="F959">
        <v>315</v>
      </c>
      <c r="G959">
        <v>550.91</v>
      </c>
      <c r="H959">
        <v>62</v>
      </c>
      <c r="I959" s="1">
        <v>44948</v>
      </c>
      <c r="J959" t="s">
        <v>14</v>
      </c>
    </row>
    <row r="960" spans="1:10" x14ac:dyDescent="0.25">
      <c r="A960">
        <v>959</v>
      </c>
      <c r="B960" t="s">
        <v>15</v>
      </c>
      <c r="C960" t="s">
        <v>16</v>
      </c>
      <c r="D960" t="s">
        <v>24</v>
      </c>
      <c r="E960" t="s">
        <v>37</v>
      </c>
      <c r="F960">
        <v>149</v>
      </c>
      <c r="G960">
        <v>366.98</v>
      </c>
      <c r="H960">
        <v>136</v>
      </c>
      <c r="I960" s="1">
        <v>45573</v>
      </c>
      <c r="J960" t="s">
        <v>14</v>
      </c>
    </row>
    <row r="961" spans="1:10" x14ac:dyDescent="0.25">
      <c r="A961">
        <v>960</v>
      </c>
      <c r="B961" t="s">
        <v>53</v>
      </c>
      <c r="C961" t="s">
        <v>26</v>
      </c>
      <c r="D961" t="s">
        <v>21</v>
      </c>
      <c r="E961" t="s">
        <v>32</v>
      </c>
      <c r="F961">
        <v>353</v>
      </c>
      <c r="G961">
        <v>179.82</v>
      </c>
      <c r="H961">
        <v>139</v>
      </c>
      <c r="I961" s="1">
        <v>45560</v>
      </c>
      <c r="J961" t="s">
        <v>14</v>
      </c>
    </row>
    <row r="962" spans="1:10" x14ac:dyDescent="0.25">
      <c r="A962">
        <v>961</v>
      </c>
      <c r="B962" t="s">
        <v>38</v>
      </c>
      <c r="C962" t="s">
        <v>26</v>
      </c>
      <c r="D962" t="s">
        <v>12</v>
      </c>
      <c r="E962" t="s">
        <v>37</v>
      </c>
      <c r="F962">
        <v>219</v>
      </c>
      <c r="G962">
        <v>425.7</v>
      </c>
      <c r="H962">
        <v>88</v>
      </c>
      <c r="I962" s="1">
        <v>45849</v>
      </c>
      <c r="J962" t="s">
        <v>14</v>
      </c>
    </row>
    <row r="963" spans="1:10" x14ac:dyDescent="0.25">
      <c r="A963">
        <v>962</v>
      </c>
      <c r="B963" t="s">
        <v>47</v>
      </c>
      <c r="C963" t="s">
        <v>20</v>
      </c>
      <c r="D963" t="s">
        <v>24</v>
      </c>
      <c r="E963" t="s">
        <v>37</v>
      </c>
      <c r="F963">
        <v>183</v>
      </c>
      <c r="G963">
        <v>387.82</v>
      </c>
      <c r="H963">
        <v>85</v>
      </c>
      <c r="I963" s="1">
        <v>45292</v>
      </c>
      <c r="J963" t="s">
        <v>14</v>
      </c>
    </row>
    <row r="964" spans="1:10" x14ac:dyDescent="0.25">
      <c r="A964">
        <v>963</v>
      </c>
      <c r="B964" t="s">
        <v>43</v>
      </c>
      <c r="C964" t="s">
        <v>26</v>
      </c>
      <c r="D964" t="s">
        <v>24</v>
      </c>
      <c r="E964" t="s">
        <v>13</v>
      </c>
      <c r="F964">
        <v>376</v>
      </c>
      <c r="G964">
        <v>17.91</v>
      </c>
      <c r="H964">
        <v>63</v>
      </c>
      <c r="I964" s="1">
        <v>45944</v>
      </c>
      <c r="J964" t="s">
        <v>14</v>
      </c>
    </row>
    <row r="965" spans="1:10" x14ac:dyDescent="0.25">
      <c r="A965">
        <v>964</v>
      </c>
      <c r="B965" t="s">
        <v>23</v>
      </c>
      <c r="C965" t="s">
        <v>20</v>
      </c>
      <c r="D965" t="s">
        <v>30</v>
      </c>
      <c r="E965" t="s">
        <v>37</v>
      </c>
      <c r="F965">
        <v>251</v>
      </c>
      <c r="G965">
        <v>623.20000000000005</v>
      </c>
      <c r="H965">
        <v>73</v>
      </c>
      <c r="I965" s="1">
        <v>45253</v>
      </c>
      <c r="J965" t="s">
        <v>14</v>
      </c>
    </row>
    <row r="966" spans="1:10" x14ac:dyDescent="0.25">
      <c r="A966">
        <v>965</v>
      </c>
      <c r="B966" t="s">
        <v>29</v>
      </c>
      <c r="C966" t="s">
        <v>16</v>
      </c>
      <c r="D966" t="s">
        <v>21</v>
      </c>
      <c r="E966" t="s">
        <v>18</v>
      </c>
      <c r="F966">
        <v>495</v>
      </c>
      <c r="G966">
        <v>777.49</v>
      </c>
      <c r="H966">
        <v>124</v>
      </c>
      <c r="I966" s="1">
        <v>45312</v>
      </c>
      <c r="J966" t="s">
        <v>14</v>
      </c>
    </row>
    <row r="967" spans="1:10" x14ac:dyDescent="0.25">
      <c r="A967">
        <v>966</v>
      </c>
      <c r="B967" t="s">
        <v>49</v>
      </c>
      <c r="C967" t="s">
        <v>16</v>
      </c>
      <c r="D967" t="s">
        <v>12</v>
      </c>
      <c r="E967" t="s">
        <v>32</v>
      </c>
      <c r="F967">
        <v>385</v>
      </c>
      <c r="G967">
        <v>599.13</v>
      </c>
      <c r="H967">
        <v>89</v>
      </c>
      <c r="I967" s="1">
        <v>44983</v>
      </c>
      <c r="J967" t="s">
        <v>14</v>
      </c>
    </row>
    <row r="968" spans="1:10" x14ac:dyDescent="0.25">
      <c r="A968">
        <v>967</v>
      </c>
      <c r="B968" t="s">
        <v>49</v>
      </c>
      <c r="C968" t="s">
        <v>16</v>
      </c>
      <c r="D968" t="s">
        <v>24</v>
      </c>
      <c r="E968" t="s">
        <v>32</v>
      </c>
      <c r="F968">
        <v>468</v>
      </c>
      <c r="G968">
        <v>215.31</v>
      </c>
      <c r="H968">
        <v>138</v>
      </c>
      <c r="I968" s="1">
        <v>45329</v>
      </c>
      <c r="J968" t="s">
        <v>14</v>
      </c>
    </row>
    <row r="969" spans="1:10" x14ac:dyDescent="0.25">
      <c r="A969">
        <v>968</v>
      </c>
      <c r="B969" t="s">
        <v>15</v>
      </c>
      <c r="C969" t="s">
        <v>16</v>
      </c>
      <c r="D969" t="s">
        <v>21</v>
      </c>
      <c r="E969" t="s">
        <v>18</v>
      </c>
      <c r="F969">
        <v>140</v>
      </c>
      <c r="G969">
        <v>69.41</v>
      </c>
      <c r="H969">
        <v>65</v>
      </c>
      <c r="I969" s="1">
        <v>45897</v>
      </c>
      <c r="J969" t="s">
        <v>14</v>
      </c>
    </row>
    <row r="970" spans="1:10" x14ac:dyDescent="0.25">
      <c r="A970">
        <v>969</v>
      </c>
      <c r="B970" t="s">
        <v>42</v>
      </c>
      <c r="C970" t="s">
        <v>16</v>
      </c>
      <c r="D970" t="s">
        <v>17</v>
      </c>
      <c r="E970" t="s">
        <v>13</v>
      </c>
      <c r="F970">
        <v>167</v>
      </c>
      <c r="G970">
        <v>191.6</v>
      </c>
      <c r="H970">
        <v>72</v>
      </c>
      <c r="I970" s="1">
        <v>45076</v>
      </c>
      <c r="J970" t="s">
        <v>14</v>
      </c>
    </row>
    <row r="971" spans="1:10" x14ac:dyDescent="0.25">
      <c r="A971">
        <v>970</v>
      </c>
      <c r="B971" t="s">
        <v>44</v>
      </c>
      <c r="C971" t="s">
        <v>34</v>
      </c>
      <c r="D971" t="s">
        <v>30</v>
      </c>
      <c r="E971" t="s">
        <v>27</v>
      </c>
      <c r="F971">
        <v>475</v>
      </c>
      <c r="G971">
        <v>93.24</v>
      </c>
      <c r="H971">
        <v>144</v>
      </c>
      <c r="I971" s="1">
        <v>45434</v>
      </c>
      <c r="J971" t="s">
        <v>14</v>
      </c>
    </row>
    <row r="972" spans="1:10" x14ac:dyDescent="0.25">
      <c r="A972">
        <v>971</v>
      </c>
      <c r="B972" t="s">
        <v>10</v>
      </c>
      <c r="C972" t="s">
        <v>11</v>
      </c>
      <c r="D972" t="s">
        <v>12</v>
      </c>
      <c r="E972" t="s">
        <v>39</v>
      </c>
      <c r="F972">
        <v>375</v>
      </c>
      <c r="G972">
        <v>66.05</v>
      </c>
      <c r="H972">
        <v>72</v>
      </c>
      <c r="I972" s="1">
        <v>45858</v>
      </c>
      <c r="J972" t="s">
        <v>14</v>
      </c>
    </row>
    <row r="973" spans="1:10" x14ac:dyDescent="0.25">
      <c r="A973">
        <v>972</v>
      </c>
      <c r="B973" t="s">
        <v>49</v>
      </c>
      <c r="C973" t="s">
        <v>16</v>
      </c>
      <c r="D973" t="s">
        <v>17</v>
      </c>
      <c r="E973" t="s">
        <v>32</v>
      </c>
      <c r="F973">
        <v>47</v>
      </c>
      <c r="G973">
        <v>101.86</v>
      </c>
      <c r="H973">
        <v>112</v>
      </c>
      <c r="I973" s="1">
        <v>45815</v>
      </c>
      <c r="J973" t="s">
        <v>28</v>
      </c>
    </row>
    <row r="974" spans="1:10" x14ac:dyDescent="0.25">
      <c r="A974">
        <v>973</v>
      </c>
      <c r="B974" t="s">
        <v>52</v>
      </c>
      <c r="C974" t="s">
        <v>16</v>
      </c>
      <c r="D974" t="s">
        <v>30</v>
      </c>
      <c r="E974" t="s">
        <v>27</v>
      </c>
      <c r="F974">
        <v>452</v>
      </c>
      <c r="G974">
        <v>185.97</v>
      </c>
      <c r="H974">
        <v>85</v>
      </c>
      <c r="I974" s="1">
        <v>45645</v>
      </c>
      <c r="J974" t="s">
        <v>14</v>
      </c>
    </row>
    <row r="975" spans="1:10" x14ac:dyDescent="0.25">
      <c r="A975">
        <v>974</v>
      </c>
      <c r="B975" t="s">
        <v>40</v>
      </c>
      <c r="C975" t="s">
        <v>34</v>
      </c>
      <c r="D975" t="s">
        <v>21</v>
      </c>
      <c r="E975" t="s">
        <v>39</v>
      </c>
      <c r="F975">
        <v>78</v>
      </c>
      <c r="G975">
        <v>738.99</v>
      </c>
      <c r="H975">
        <v>66</v>
      </c>
      <c r="I975" s="1">
        <v>45270</v>
      </c>
      <c r="J975" t="s">
        <v>14</v>
      </c>
    </row>
    <row r="976" spans="1:10" x14ac:dyDescent="0.25">
      <c r="A976">
        <v>975</v>
      </c>
      <c r="B976" t="s">
        <v>50</v>
      </c>
      <c r="C976" t="s">
        <v>34</v>
      </c>
      <c r="D976" t="s">
        <v>21</v>
      </c>
      <c r="E976" t="s">
        <v>13</v>
      </c>
      <c r="F976">
        <v>296</v>
      </c>
      <c r="G976">
        <v>270.81</v>
      </c>
      <c r="H976">
        <v>140</v>
      </c>
      <c r="I976" s="1">
        <v>45060</v>
      </c>
      <c r="J976" t="s">
        <v>14</v>
      </c>
    </row>
    <row r="977" spans="1:13" x14ac:dyDescent="0.25">
      <c r="A977">
        <v>976</v>
      </c>
      <c r="B977" t="s">
        <v>38</v>
      </c>
      <c r="C977" t="s">
        <v>26</v>
      </c>
      <c r="D977" t="s">
        <v>24</v>
      </c>
      <c r="E977" t="s">
        <v>18</v>
      </c>
      <c r="F977">
        <v>326</v>
      </c>
      <c r="G977">
        <v>621.07000000000005</v>
      </c>
      <c r="H977">
        <v>123</v>
      </c>
      <c r="I977" s="1">
        <v>45273</v>
      </c>
      <c r="J977" t="s">
        <v>14</v>
      </c>
      <c r="M977" t="s">
        <v>55</v>
      </c>
    </row>
    <row r="978" spans="1:13" x14ac:dyDescent="0.25">
      <c r="A978">
        <v>977</v>
      </c>
      <c r="B978" t="s">
        <v>22</v>
      </c>
      <c r="C978" t="s">
        <v>11</v>
      </c>
      <c r="D978" t="s">
        <v>30</v>
      </c>
      <c r="E978" t="s">
        <v>37</v>
      </c>
      <c r="F978">
        <v>460</v>
      </c>
      <c r="G978">
        <v>262.07</v>
      </c>
      <c r="H978">
        <v>65</v>
      </c>
      <c r="I978" s="1">
        <v>44989</v>
      </c>
      <c r="J978" t="s">
        <v>14</v>
      </c>
    </row>
    <row r="979" spans="1:13" x14ac:dyDescent="0.25">
      <c r="A979">
        <v>978</v>
      </c>
      <c r="B979" t="s">
        <v>42</v>
      </c>
      <c r="C979" t="s">
        <v>16</v>
      </c>
      <c r="D979" t="s">
        <v>12</v>
      </c>
      <c r="E979" t="s">
        <v>13</v>
      </c>
      <c r="F979">
        <v>489</v>
      </c>
      <c r="G979">
        <v>606.77</v>
      </c>
      <c r="H979">
        <v>63</v>
      </c>
      <c r="I979" s="1">
        <v>45586</v>
      </c>
      <c r="J979" t="s">
        <v>14</v>
      </c>
    </row>
    <row r="980" spans="1:13" x14ac:dyDescent="0.25">
      <c r="A980">
        <v>979</v>
      </c>
      <c r="B980" t="s">
        <v>29</v>
      </c>
      <c r="C980" t="s">
        <v>16</v>
      </c>
      <c r="D980" t="s">
        <v>30</v>
      </c>
      <c r="E980" t="s">
        <v>13</v>
      </c>
      <c r="F980">
        <v>224</v>
      </c>
      <c r="G980">
        <v>378.84</v>
      </c>
      <c r="H980">
        <v>107</v>
      </c>
      <c r="I980" s="1">
        <v>45848</v>
      </c>
      <c r="J980" t="s">
        <v>14</v>
      </c>
    </row>
    <row r="981" spans="1:13" x14ac:dyDescent="0.25">
      <c r="A981">
        <v>980</v>
      </c>
      <c r="B981" t="s">
        <v>47</v>
      </c>
      <c r="C981" t="s">
        <v>20</v>
      </c>
      <c r="D981" t="s">
        <v>30</v>
      </c>
      <c r="E981" t="s">
        <v>37</v>
      </c>
      <c r="F981">
        <v>446</v>
      </c>
      <c r="G981">
        <v>622.44000000000005</v>
      </c>
      <c r="H981">
        <v>80</v>
      </c>
      <c r="I981" s="1">
        <v>45143</v>
      </c>
      <c r="J981" t="s">
        <v>14</v>
      </c>
    </row>
    <row r="982" spans="1:13" x14ac:dyDescent="0.25">
      <c r="A982">
        <v>981</v>
      </c>
      <c r="B982" t="s">
        <v>46</v>
      </c>
      <c r="C982" t="s">
        <v>34</v>
      </c>
      <c r="D982" t="s">
        <v>24</v>
      </c>
      <c r="E982" t="s">
        <v>18</v>
      </c>
      <c r="F982">
        <v>121</v>
      </c>
      <c r="G982">
        <v>46.56</v>
      </c>
      <c r="H982">
        <v>95</v>
      </c>
      <c r="I982" s="1">
        <v>45188</v>
      </c>
      <c r="J982" t="s">
        <v>14</v>
      </c>
    </row>
    <row r="983" spans="1:13" x14ac:dyDescent="0.25">
      <c r="A983">
        <v>982</v>
      </c>
      <c r="B983" t="s">
        <v>54</v>
      </c>
      <c r="C983" t="s">
        <v>20</v>
      </c>
      <c r="D983" t="s">
        <v>21</v>
      </c>
      <c r="E983" t="s">
        <v>37</v>
      </c>
      <c r="F983">
        <v>354</v>
      </c>
      <c r="G983">
        <v>417.09</v>
      </c>
      <c r="H983">
        <v>87</v>
      </c>
      <c r="I983" s="1">
        <v>44996</v>
      </c>
      <c r="J983" t="s">
        <v>14</v>
      </c>
    </row>
    <row r="984" spans="1:13" x14ac:dyDescent="0.25">
      <c r="A984">
        <v>983</v>
      </c>
      <c r="B984" t="s">
        <v>33</v>
      </c>
      <c r="C984" t="s">
        <v>34</v>
      </c>
      <c r="D984" t="s">
        <v>12</v>
      </c>
      <c r="E984" t="s">
        <v>18</v>
      </c>
      <c r="F984">
        <v>429</v>
      </c>
      <c r="G984">
        <v>134.51</v>
      </c>
      <c r="H984">
        <v>78</v>
      </c>
      <c r="I984" s="1">
        <v>45357</v>
      </c>
      <c r="J984" t="s">
        <v>14</v>
      </c>
    </row>
    <row r="985" spans="1:13" x14ac:dyDescent="0.25">
      <c r="A985">
        <v>984</v>
      </c>
      <c r="B985" t="s">
        <v>29</v>
      </c>
      <c r="C985" t="s">
        <v>16</v>
      </c>
      <c r="D985" t="s">
        <v>12</v>
      </c>
      <c r="E985" t="s">
        <v>13</v>
      </c>
      <c r="F985">
        <v>263</v>
      </c>
      <c r="G985">
        <v>317.14999999999998</v>
      </c>
      <c r="H985">
        <v>100</v>
      </c>
      <c r="I985" s="1">
        <v>45967</v>
      </c>
      <c r="J985" t="s">
        <v>14</v>
      </c>
    </row>
    <row r="986" spans="1:13" x14ac:dyDescent="0.25">
      <c r="A986">
        <v>985</v>
      </c>
      <c r="B986" t="s">
        <v>41</v>
      </c>
      <c r="C986" t="s">
        <v>16</v>
      </c>
      <c r="D986" t="s">
        <v>24</v>
      </c>
      <c r="E986" t="s">
        <v>32</v>
      </c>
      <c r="F986">
        <v>230</v>
      </c>
      <c r="G986">
        <v>703.56</v>
      </c>
      <c r="H986">
        <v>115</v>
      </c>
      <c r="I986" s="1">
        <v>46005</v>
      </c>
      <c r="J986" t="s">
        <v>14</v>
      </c>
    </row>
    <row r="987" spans="1:13" x14ac:dyDescent="0.25">
      <c r="A987">
        <v>986</v>
      </c>
      <c r="B987" t="s">
        <v>38</v>
      </c>
      <c r="C987" t="s">
        <v>26</v>
      </c>
      <c r="D987" t="s">
        <v>30</v>
      </c>
      <c r="E987" t="s">
        <v>39</v>
      </c>
      <c r="F987">
        <v>84</v>
      </c>
      <c r="G987">
        <v>312.24</v>
      </c>
      <c r="H987">
        <v>116</v>
      </c>
      <c r="I987" s="1">
        <v>45337</v>
      </c>
      <c r="J987" t="s">
        <v>28</v>
      </c>
    </row>
    <row r="988" spans="1:13" x14ac:dyDescent="0.25">
      <c r="A988">
        <v>987</v>
      </c>
      <c r="B988" t="s">
        <v>51</v>
      </c>
      <c r="C988" t="s">
        <v>11</v>
      </c>
      <c r="D988" t="s">
        <v>21</v>
      </c>
      <c r="E988" t="s">
        <v>39</v>
      </c>
      <c r="F988">
        <v>57</v>
      </c>
      <c r="G988">
        <v>16.48</v>
      </c>
      <c r="H988">
        <v>66</v>
      </c>
      <c r="I988" s="1">
        <v>45443</v>
      </c>
      <c r="J988" t="s">
        <v>28</v>
      </c>
    </row>
    <row r="989" spans="1:13" x14ac:dyDescent="0.25">
      <c r="A989">
        <v>988</v>
      </c>
      <c r="B989" t="s">
        <v>43</v>
      </c>
      <c r="C989" t="s">
        <v>26</v>
      </c>
      <c r="D989" t="s">
        <v>24</v>
      </c>
      <c r="E989" t="s">
        <v>39</v>
      </c>
      <c r="F989">
        <v>220</v>
      </c>
      <c r="G989">
        <v>321.37</v>
      </c>
      <c r="H989">
        <v>55</v>
      </c>
      <c r="I989" s="1">
        <v>45942</v>
      </c>
      <c r="J989" t="s">
        <v>14</v>
      </c>
    </row>
    <row r="990" spans="1:13" x14ac:dyDescent="0.25">
      <c r="A990">
        <v>989</v>
      </c>
      <c r="B990" t="s">
        <v>23</v>
      </c>
      <c r="C990" t="s">
        <v>20</v>
      </c>
      <c r="D990" t="s">
        <v>21</v>
      </c>
      <c r="E990" t="s">
        <v>39</v>
      </c>
      <c r="F990">
        <v>463</v>
      </c>
      <c r="G990">
        <v>302.92</v>
      </c>
      <c r="H990">
        <v>89</v>
      </c>
      <c r="I990" s="1">
        <v>45865</v>
      </c>
      <c r="J990" t="s">
        <v>14</v>
      </c>
    </row>
    <row r="991" spans="1:13" x14ac:dyDescent="0.25">
      <c r="A991">
        <v>990</v>
      </c>
      <c r="B991" t="s">
        <v>49</v>
      </c>
      <c r="C991" t="s">
        <v>16</v>
      </c>
      <c r="D991" t="s">
        <v>12</v>
      </c>
      <c r="E991" t="s">
        <v>27</v>
      </c>
      <c r="F991">
        <v>70</v>
      </c>
      <c r="G991">
        <v>153.71</v>
      </c>
      <c r="H991">
        <v>103</v>
      </c>
      <c r="I991" s="1">
        <v>45449</v>
      </c>
      <c r="J991" t="s">
        <v>28</v>
      </c>
    </row>
    <row r="992" spans="1:13" x14ac:dyDescent="0.25">
      <c r="A992">
        <v>991</v>
      </c>
      <c r="B992" t="s">
        <v>44</v>
      </c>
      <c r="C992" t="s">
        <v>34</v>
      </c>
      <c r="D992" t="s">
        <v>17</v>
      </c>
      <c r="E992" t="s">
        <v>13</v>
      </c>
      <c r="F992">
        <v>301</v>
      </c>
      <c r="G992">
        <v>209.48</v>
      </c>
      <c r="H992">
        <v>74</v>
      </c>
      <c r="I992" s="1">
        <v>45110</v>
      </c>
      <c r="J992" t="s">
        <v>14</v>
      </c>
    </row>
    <row r="993" spans="1:10" x14ac:dyDescent="0.25">
      <c r="A993">
        <v>992</v>
      </c>
      <c r="B993" t="s">
        <v>46</v>
      </c>
      <c r="C993" t="s">
        <v>34</v>
      </c>
      <c r="D993" t="s">
        <v>24</v>
      </c>
      <c r="E993" t="s">
        <v>13</v>
      </c>
      <c r="F993">
        <v>158</v>
      </c>
      <c r="G993">
        <v>431.27</v>
      </c>
      <c r="H993">
        <v>94</v>
      </c>
      <c r="I993" s="1">
        <v>45606</v>
      </c>
      <c r="J993" t="s">
        <v>14</v>
      </c>
    </row>
    <row r="994" spans="1:10" x14ac:dyDescent="0.25">
      <c r="A994">
        <v>993</v>
      </c>
      <c r="B994" t="s">
        <v>51</v>
      </c>
      <c r="C994" t="s">
        <v>11</v>
      </c>
      <c r="D994" t="s">
        <v>30</v>
      </c>
      <c r="E994" t="s">
        <v>37</v>
      </c>
      <c r="F994">
        <v>419</v>
      </c>
      <c r="G994">
        <v>130.74</v>
      </c>
      <c r="H994">
        <v>112</v>
      </c>
      <c r="I994" s="1">
        <v>45824</v>
      </c>
      <c r="J994" t="s">
        <v>14</v>
      </c>
    </row>
    <row r="995" spans="1:10" x14ac:dyDescent="0.25">
      <c r="A995">
        <v>994</v>
      </c>
      <c r="B995" t="s">
        <v>47</v>
      </c>
      <c r="C995" t="s">
        <v>20</v>
      </c>
      <c r="D995" t="s">
        <v>17</v>
      </c>
      <c r="E995" t="s">
        <v>32</v>
      </c>
      <c r="F995">
        <v>458</v>
      </c>
      <c r="G995">
        <v>26.86</v>
      </c>
      <c r="H995">
        <v>62</v>
      </c>
      <c r="I995" s="1">
        <v>45032</v>
      </c>
      <c r="J995" t="s">
        <v>14</v>
      </c>
    </row>
    <row r="996" spans="1:10" x14ac:dyDescent="0.25">
      <c r="A996">
        <v>995</v>
      </c>
      <c r="B996" t="s">
        <v>48</v>
      </c>
      <c r="C996" t="s">
        <v>20</v>
      </c>
      <c r="D996" t="s">
        <v>17</v>
      </c>
      <c r="E996" t="s">
        <v>27</v>
      </c>
      <c r="F996">
        <v>195</v>
      </c>
      <c r="G996">
        <v>586.54</v>
      </c>
      <c r="H996">
        <v>150</v>
      </c>
      <c r="I996" s="1">
        <v>45976</v>
      </c>
      <c r="J996" t="s">
        <v>14</v>
      </c>
    </row>
    <row r="997" spans="1:10" x14ac:dyDescent="0.25">
      <c r="A997">
        <v>996</v>
      </c>
      <c r="B997" t="s">
        <v>25</v>
      </c>
      <c r="C997" t="s">
        <v>26</v>
      </c>
      <c r="D997" t="s">
        <v>21</v>
      </c>
      <c r="E997" t="s">
        <v>18</v>
      </c>
      <c r="F997">
        <v>472</v>
      </c>
      <c r="G997">
        <v>750.19</v>
      </c>
      <c r="H997">
        <v>133</v>
      </c>
      <c r="I997" s="1">
        <v>45194</v>
      </c>
      <c r="J997" t="s">
        <v>14</v>
      </c>
    </row>
    <row r="998" spans="1:10" x14ac:dyDescent="0.25">
      <c r="A998">
        <v>997</v>
      </c>
      <c r="B998" t="s">
        <v>22</v>
      </c>
      <c r="C998" t="s">
        <v>11</v>
      </c>
      <c r="D998" t="s">
        <v>17</v>
      </c>
      <c r="E998" t="s">
        <v>39</v>
      </c>
      <c r="F998">
        <v>342</v>
      </c>
      <c r="G998">
        <v>312.77999999999997</v>
      </c>
      <c r="H998">
        <v>144</v>
      </c>
      <c r="I998" s="1">
        <v>45089</v>
      </c>
      <c r="J998" t="s">
        <v>14</v>
      </c>
    </row>
    <row r="999" spans="1:10" x14ac:dyDescent="0.25">
      <c r="A999">
        <v>998</v>
      </c>
      <c r="B999" t="s">
        <v>38</v>
      </c>
      <c r="C999" t="s">
        <v>26</v>
      </c>
      <c r="D999" t="s">
        <v>12</v>
      </c>
      <c r="E999" t="s">
        <v>37</v>
      </c>
      <c r="F999">
        <v>24</v>
      </c>
      <c r="G999">
        <v>368.33</v>
      </c>
      <c r="H999">
        <v>147</v>
      </c>
      <c r="I999" s="1">
        <v>45222</v>
      </c>
      <c r="J999" t="s">
        <v>28</v>
      </c>
    </row>
    <row r="1000" spans="1:10" x14ac:dyDescent="0.25">
      <c r="A1000">
        <v>999</v>
      </c>
      <c r="B1000" t="s">
        <v>33</v>
      </c>
      <c r="C1000" t="s">
        <v>34</v>
      </c>
      <c r="D1000" t="s">
        <v>21</v>
      </c>
      <c r="E1000" t="s">
        <v>18</v>
      </c>
      <c r="F1000">
        <v>299</v>
      </c>
      <c r="G1000">
        <v>232.61</v>
      </c>
      <c r="H1000">
        <v>72</v>
      </c>
      <c r="I1000" s="1">
        <v>45447</v>
      </c>
      <c r="J1000" t="s">
        <v>14</v>
      </c>
    </row>
    <row r="1001" spans="1:10" x14ac:dyDescent="0.25">
      <c r="A1001">
        <v>1000</v>
      </c>
      <c r="B1001" t="s">
        <v>40</v>
      </c>
      <c r="C1001" t="s">
        <v>34</v>
      </c>
      <c r="D1001" t="s">
        <v>24</v>
      </c>
      <c r="E1001" t="s">
        <v>32</v>
      </c>
      <c r="F1001">
        <v>271</v>
      </c>
      <c r="G1001">
        <v>405.3</v>
      </c>
      <c r="H1001">
        <v>88</v>
      </c>
      <c r="I1001" s="1">
        <v>45466</v>
      </c>
      <c r="J1001" t="s">
        <v>14</v>
      </c>
    </row>
  </sheetData>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0A2FA-37EF-4A59-82C0-F889DB72C520}">
  <sheetPr>
    <tabColor theme="8" tint="-0.249977111117893"/>
  </sheetPr>
  <dimension ref="A1:Q1001"/>
  <sheetViews>
    <sheetView showGridLines="0" topLeftCell="E1" workbookViewId="0"/>
  </sheetViews>
  <sheetFormatPr defaultRowHeight="15" x14ac:dyDescent="0.25"/>
  <cols>
    <col min="1" max="1" width="10.140625" customWidth="1"/>
    <col min="2" max="2" width="16.7109375" bestFit="1" customWidth="1"/>
    <col min="3" max="3" width="11" style="5" customWidth="1"/>
    <col min="4" max="4" width="13.42578125" style="5" customWidth="1"/>
    <col min="5" max="5" width="23.28515625" style="5" bestFit="1" customWidth="1"/>
    <col min="6" max="6" width="16.5703125" customWidth="1"/>
    <col min="7" max="7" width="11.85546875" style="3" customWidth="1"/>
    <col min="8" max="8" width="16" customWidth="1"/>
    <col min="9" max="9" width="26.85546875" bestFit="1" customWidth="1"/>
    <col min="10" max="10" width="19.5703125" style="4" customWidth="1"/>
    <col min="11" max="11" width="15.85546875" style="5" bestFit="1" customWidth="1"/>
    <col min="13" max="13" width="14.28515625" bestFit="1" customWidth="1"/>
    <col min="14" max="14" width="17.7109375" bestFit="1" customWidth="1"/>
    <col min="15" max="15" width="17.7109375" customWidth="1"/>
    <col min="17" max="17" width="25.140625" customWidth="1"/>
  </cols>
  <sheetData>
    <row r="1" spans="1:17" x14ac:dyDescent="0.25">
      <c r="A1" t="s">
        <v>0</v>
      </c>
      <c r="B1" t="s">
        <v>1</v>
      </c>
      <c r="C1" s="5" t="s">
        <v>2</v>
      </c>
      <c r="D1" s="5" t="s">
        <v>3</v>
      </c>
      <c r="E1" s="5" t="s">
        <v>4</v>
      </c>
      <c r="F1" t="s">
        <v>5</v>
      </c>
      <c r="G1" s="3" t="s">
        <v>6</v>
      </c>
      <c r="H1" t="s">
        <v>7</v>
      </c>
      <c r="I1" t="s">
        <v>65</v>
      </c>
      <c r="J1" s="4" t="s">
        <v>8</v>
      </c>
      <c r="K1" s="5" t="s">
        <v>9</v>
      </c>
      <c r="L1" t="s">
        <v>56</v>
      </c>
      <c r="M1" t="s">
        <v>57</v>
      </c>
      <c r="N1" t="s">
        <v>59</v>
      </c>
      <c r="O1" t="s">
        <v>60</v>
      </c>
      <c r="P1" t="s">
        <v>58</v>
      </c>
    </row>
    <row r="2" spans="1:17" x14ac:dyDescent="0.25">
      <c r="A2">
        <v>1</v>
      </c>
      <c r="B2" s="5" t="s">
        <v>10</v>
      </c>
      <c r="C2" s="5" t="s">
        <v>11</v>
      </c>
      <c r="D2" s="5" t="s">
        <v>12</v>
      </c>
      <c r="E2" s="5" t="s">
        <v>13</v>
      </c>
      <c r="F2" s="2">
        <v>303</v>
      </c>
      <c r="G2" s="3">
        <v>679.85</v>
      </c>
      <c r="H2">
        <v>55</v>
      </c>
      <c r="I2">
        <f>IF(Table1[[#This Row],[Status]]= "Sufficient",
     Table1[[#This Row],[Stock_Quantity]] - Table1[[#This Row],[Reorder_Level]],
     0)</f>
        <v>248</v>
      </c>
      <c r="J2" s="4">
        <v>46001</v>
      </c>
      <c r="K2" s="5" t="s">
        <v>14</v>
      </c>
      <c r="L2">
        <f>YEAR(Table1[[#This Row],[Last_Restock_Date]])</f>
        <v>2025</v>
      </c>
      <c r="M2" t="str">
        <f>_xlfn.CONCAT(TEXT(Table1[[#This Row],[Last_Restock_Date]],"mmm"), "-", YEAR(Table1[[#This Row],[Last_Restock_Date]]))</f>
        <v>Dec-2025</v>
      </c>
      <c r="N2">
        <f>MONTH(Table1[[#This Row],[Last_Restock_Date]])</f>
        <v>12</v>
      </c>
      <c r="O2" t="str" cm="1">
        <f t="array" ref="O2">_xlfn.SWITCH(Table1[[#This Row],[Month_Number]],
    1,"Q1",2,"Q1",3,"Q1",
    4,"Q2",5,"Q2",6,"Q2",
    7,"Q3",8,"Q3",9,"Q3",
    10,"Q4",11,"Q4",12,"Q4",
    "Invalid Month"
)</f>
        <v>Q4</v>
      </c>
      <c r="P2" t="str">
        <f>TEXT(Table1[[#This Row],[Last_Restock_Date]],"mmm")</f>
        <v>Dec</v>
      </c>
    </row>
    <row r="3" spans="1:17" x14ac:dyDescent="0.25">
      <c r="A3">
        <v>2</v>
      </c>
      <c r="B3" s="5" t="s">
        <v>15</v>
      </c>
      <c r="C3" s="5" t="s">
        <v>16</v>
      </c>
      <c r="D3" s="5" t="s">
        <v>17</v>
      </c>
      <c r="E3" s="5" t="s">
        <v>18</v>
      </c>
      <c r="F3" s="2">
        <v>105</v>
      </c>
      <c r="G3" s="3">
        <v>433.78</v>
      </c>
      <c r="H3">
        <v>93</v>
      </c>
      <c r="I3">
        <f>IF(Table1[[#This Row],[Status]]= "Sufficient",
     Table1[[#This Row],[Stock_Quantity]] - Table1[[#This Row],[Reorder_Level]],
     0)</f>
        <v>12</v>
      </c>
      <c r="J3" s="4">
        <v>45109</v>
      </c>
      <c r="K3" s="5" t="s">
        <v>14</v>
      </c>
      <c r="L3">
        <f>YEAR(Table1[[#This Row],[Last_Restock_Date]])</f>
        <v>2023</v>
      </c>
      <c r="M3" t="str">
        <f>_xlfn.CONCAT(TEXT(Table1[[#This Row],[Last_Restock_Date]],"mmm"), "-", YEAR(Table1[[#This Row],[Last_Restock_Date]]))</f>
        <v>Jul-2023</v>
      </c>
      <c r="N3">
        <f>MONTH(Table1[[#This Row],[Last_Restock_Date]])</f>
        <v>7</v>
      </c>
      <c r="O3" t="str" cm="1">
        <f t="array" ref="O3">_xlfn.SWITCH(Table1[[#This Row],[Month_Number]],
    1,"Q1",2,"Q1",3,"Q1",
    4,"Q2",5,"Q2",6,"Q2",
    7,"Q3",8,"Q3",9,"Q3",
    10,"Q4",11,"Q4",12,"Q4",
    "Invalid Month"
)</f>
        <v>Q3</v>
      </c>
      <c r="P3" t="str">
        <f>TEXT(Table1[[#This Row],[Last_Restock_Date]],"mmm")</f>
        <v>Jul</v>
      </c>
    </row>
    <row r="4" spans="1:17" x14ac:dyDescent="0.25">
      <c r="A4">
        <v>3</v>
      </c>
      <c r="B4" s="5" t="s">
        <v>19</v>
      </c>
      <c r="C4" s="5" t="s">
        <v>20</v>
      </c>
      <c r="D4" s="5" t="s">
        <v>21</v>
      </c>
      <c r="E4" s="5" t="s">
        <v>18</v>
      </c>
      <c r="F4" s="2">
        <v>474</v>
      </c>
      <c r="G4" s="3">
        <v>743.62</v>
      </c>
      <c r="H4">
        <v>75</v>
      </c>
      <c r="I4">
        <f>IF(Table1[[#This Row],[Status]]= "Sufficient",
     Table1[[#This Row],[Stock_Quantity]] - Table1[[#This Row],[Reorder_Level]],
     0)</f>
        <v>399</v>
      </c>
      <c r="J4" s="4">
        <v>45223</v>
      </c>
      <c r="K4" s="5" t="s">
        <v>14</v>
      </c>
      <c r="L4">
        <f>YEAR(Table1[[#This Row],[Last_Restock_Date]])</f>
        <v>2023</v>
      </c>
      <c r="M4" t="str">
        <f>_xlfn.CONCAT(TEXT(Table1[[#This Row],[Last_Restock_Date]],"mmm"), "-", YEAR(Table1[[#This Row],[Last_Restock_Date]]))</f>
        <v>Oct-2023</v>
      </c>
      <c r="N4">
        <f>MONTH(Table1[[#This Row],[Last_Restock_Date]])</f>
        <v>10</v>
      </c>
      <c r="O4" t="str" cm="1">
        <f t="array" ref="O4">_xlfn.SWITCH(Table1[[#This Row],[Month_Number]],
    1,"Q1",2,"Q1",3,"Q1",
    4,"Q2",5,"Q2",6,"Q2",
    7,"Q3",8,"Q3",9,"Q3",
    10,"Q4",11,"Q4",12,"Q4",
    "Invalid Month"
)</f>
        <v>Q4</v>
      </c>
      <c r="P4" t="str">
        <f>TEXT(Table1[[#This Row],[Last_Restock_Date]],"mmm")</f>
        <v>Oct</v>
      </c>
      <c r="Q4" s="15" t="s">
        <v>87</v>
      </c>
    </row>
    <row r="5" spans="1:17" x14ac:dyDescent="0.25">
      <c r="A5">
        <v>4</v>
      </c>
      <c r="B5" s="5" t="s">
        <v>22</v>
      </c>
      <c r="C5" s="5" t="s">
        <v>11</v>
      </c>
      <c r="D5" s="5" t="s">
        <v>21</v>
      </c>
      <c r="E5" s="5" t="s">
        <v>13</v>
      </c>
      <c r="F5" s="2">
        <v>170</v>
      </c>
      <c r="G5" s="3">
        <v>129.43</v>
      </c>
      <c r="H5">
        <v>98</v>
      </c>
      <c r="I5">
        <f>IF(Table1[[#This Row],[Status]]= "Sufficient",
     Table1[[#This Row],[Stock_Quantity]] - Table1[[#This Row],[Reorder_Level]],
     0)</f>
        <v>72</v>
      </c>
      <c r="J5" s="4">
        <v>45068</v>
      </c>
      <c r="K5" s="5" t="s">
        <v>14</v>
      </c>
      <c r="L5">
        <f>YEAR(Table1[[#This Row],[Last_Restock_Date]])</f>
        <v>2023</v>
      </c>
      <c r="M5" t="str">
        <f>_xlfn.CONCAT(TEXT(Table1[[#This Row],[Last_Restock_Date]],"mmm"), "-", YEAR(Table1[[#This Row],[Last_Restock_Date]]))</f>
        <v>May-2023</v>
      </c>
      <c r="N5">
        <f>MONTH(Table1[[#This Row],[Last_Restock_Date]])</f>
        <v>5</v>
      </c>
      <c r="O5" t="str" cm="1">
        <f t="array" ref="O5">_xlfn.SWITCH(Table1[[#This Row],[Month_Number]],
    1,"Q1",2,"Q1",3,"Q1",
    4,"Q2",5,"Q2",6,"Q2",
    7,"Q3",8,"Q3",9,"Q3",
    10,"Q4",11,"Q4",12,"Q4",
    "Invalid Month"
)</f>
        <v>Q2</v>
      </c>
      <c r="P5" t="str">
        <f>TEXT(Table1[[#This Row],[Last_Restock_Date]],"mmm")</f>
        <v>May</v>
      </c>
    </row>
    <row r="6" spans="1:17" x14ac:dyDescent="0.25">
      <c r="A6">
        <v>5</v>
      </c>
      <c r="B6" s="5" t="s">
        <v>23</v>
      </c>
      <c r="C6" s="5" t="s">
        <v>20</v>
      </c>
      <c r="D6" s="5" t="s">
        <v>24</v>
      </c>
      <c r="E6" s="5" t="s">
        <v>13</v>
      </c>
      <c r="F6" s="2">
        <v>150</v>
      </c>
      <c r="G6" s="3">
        <v>573.22</v>
      </c>
      <c r="H6">
        <v>101</v>
      </c>
      <c r="I6">
        <f>IF(Table1[[#This Row],[Status]]= "Sufficient",
     Table1[[#This Row],[Stock_Quantity]] - Table1[[#This Row],[Reorder_Level]],
     0)</f>
        <v>49</v>
      </c>
      <c r="J6" s="4">
        <v>44995</v>
      </c>
      <c r="K6" s="5" t="s">
        <v>14</v>
      </c>
      <c r="L6">
        <f>YEAR(Table1[[#This Row],[Last_Restock_Date]])</f>
        <v>2023</v>
      </c>
      <c r="M6" t="str">
        <f>_xlfn.CONCAT(TEXT(Table1[[#This Row],[Last_Restock_Date]],"mmm"), "-", YEAR(Table1[[#This Row],[Last_Restock_Date]]))</f>
        <v>Mar-2023</v>
      </c>
      <c r="N6">
        <f>MONTH(Table1[[#This Row],[Last_Restock_Date]])</f>
        <v>3</v>
      </c>
      <c r="O6" t="str" cm="1">
        <f t="array" ref="O6">_xlfn.SWITCH(Table1[[#This Row],[Month_Number]],
    1,"Q1",2,"Q1",3,"Q1",
    4,"Q2",5,"Q2",6,"Q2",
    7,"Q3",8,"Q3",9,"Q3",
    10,"Q4",11,"Q4",12,"Q4",
    "Invalid Month"
)</f>
        <v>Q1</v>
      </c>
      <c r="P6" t="str">
        <f>TEXT(Table1[[#This Row],[Last_Restock_Date]],"mmm")</f>
        <v>Mar</v>
      </c>
    </row>
    <row r="7" spans="1:17" x14ac:dyDescent="0.25">
      <c r="A7">
        <v>6</v>
      </c>
      <c r="B7" s="5" t="s">
        <v>25</v>
      </c>
      <c r="C7" s="5" t="s">
        <v>26</v>
      </c>
      <c r="D7" s="5" t="s">
        <v>17</v>
      </c>
      <c r="E7" s="5" t="s">
        <v>18</v>
      </c>
      <c r="F7" s="2">
        <v>157</v>
      </c>
      <c r="G7" s="3">
        <v>700.2</v>
      </c>
      <c r="H7">
        <v>97</v>
      </c>
      <c r="I7">
        <f>IF(Table1[[#This Row],[Status]]= "Sufficient",
     Table1[[#This Row],[Stock_Quantity]] - Table1[[#This Row],[Reorder_Level]],
     0)</f>
        <v>60</v>
      </c>
      <c r="J7" s="4">
        <v>45419</v>
      </c>
      <c r="K7" s="5" t="s">
        <v>14</v>
      </c>
      <c r="L7">
        <f>YEAR(Table1[[#This Row],[Last_Restock_Date]])</f>
        <v>2024</v>
      </c>
      <c r="M7" t="str">
        <f>_xlfn.CONCAT(TEXT(Table1[[#This Row],[Last_Restock_Date]],"mmm"), "-", YEAR(Table1[[#This Row],[Last_Restock_Date]]))</f>
        <v>May-2024</v>
      </c>
      <c r="N7">
        <f>MONTH(Table1[[#This Row],[Last_Restock_Date]])</f>
        <v>5</v>
      </c>
      <c r="O7" t="str" cm="1">
        <f t="array" ref="O7">_xlfn.SWITCH(Table1[[#This Row],[Month_Number]],
    1,"Q1",2,"Q1",3,"Q1",
    4,"Q2",5,"Q2",6,"Q2",
    7,"Q3",8,"Q3",9,"Q3",
    10,"Q4",11,"Q4",12,"Q4",
    "Invalid Month"
)</f>
        <v>Q2</v>
      </c>
      <c r="P7" t="str">
        <f>TEXT(Table1[[#This Row],[Last_Restock_Date]],"mmm")</f>
        <v>May</v>
      </c>
    </row>
    <row r="8" spans="1:17" x14ac:dyDescent="0.25">
      <c r="A8">
        <v>7</v>
      </c>
      <c r="B8" s="5" t="s">
        <v>25</v>
      </c>
      <c r="C8" s="5" t="s">
        <v>26</v>
      </c>
      <c r="D8" s="5" t="s">
        <v>24</v>
      </c>
      <c r="E8" s="5" t="s">
        <v>27</v>
      </c>
      <c r="F8" s="2">
        <v>30</v>
      </c>
      <c r="G8" s="3">
        <v>322.36</v>
      </c>
      <c r="H8">
        <v>109</v>
      </c>
      <c r="I8">
        <f>IF(Table1[[#This Row],[Status]]= "Sufficient",
     Table1[[#This Row],[Stock_Quantity]] - Table1[[#This Row],[Reorder_Level]],
     0)</f>
        <v>0</v>
      </c>
      <c r="J8" s="4">
        <v>45704</v>
      </c>
      <c r="K8" s="5" t="s">
        <v>28</v>
      </c>
      <c r="L8">
        <f>YEAR(Table1[[#This Row],[Last_Restock_Date]])</f>
        <v>2025</v>
      </c>
      <c r="M8" t="str">
        <f>_xlfn.CONCAT(TEXT(Table1[[#This Row],[Last_Restock_Date]],"mmm"), "-", YEAR(Table1[[#This Row],[Last_Restock_Date]]))</f>
        <v>Feb-2025</v>
      </c>
      <c r="N8">
        <f>MONTH(Table1[[#This Row],[Last_Restock_Date]])</f>
        <v>2</v>
      </c>
      <c r="O8" t="str" cm="1">
        <f t="array" ref="O8">_xlfn.SWITCH(Table1[[#This Row],[Month_Number]],
    1,"Q1",2,"Q1",3,"Q1",
    4,"Q2",5,"Q2",6,"Q2",
    7,"Q3",8,"Q3",9,"Q3",
    10,"Q4",11,"Q4",12,"Q4",
    "Invalid Month"
)</f>
        <v>Q1</v>
      </c>
      <c r="P8" t="str">
        <f>TEXT(Table1[[#This Row],[Last_Restock_Date]],"mmm")</f>
        <v>Feb</v>
      </c>
    </row>
    <row r="9" spans="1:17" x14ac:dyDescent="0.25">
      <c r="A9">
        <v>8</v>
      </c>
      <c r="B9" s="5" t="s">
        <v>29</v>
      </c>
      <c r="C9" s="5" t="s">
        <v>16</v>
      </c>
      <c r="D9" s="5" t="s">
        <v>30</v>
      </c>
      <c r="E9" s="5" t="s">
        <v>13</v>
      </c>
      <c r="F9" s="2">
        <v>339</v>
      </c>
      <c r="G9" s="3">
        <v>388.9</v>
      </c>
      <c r="H9">
        <v>116</v>
      </c>
      <c r="I9">
        <f>IF(Table1[[#This Row],[Status]]= "Sufficient",
     Table1[[#This Row],[Stock_Quantity]] - Table1[[#This Row],[Reorder_Level]],
     0)</f>
        <v>223</v>
      </c>
      <c r="J9" s="4">
        <v>45789</v>
      </c>
      <c r="K9" s="5" t="s">
        <v>14</v>
      </c>
      <c r="L9">
        <f>YEAR(Table1[[#This Row],[Last_Restock_Date]])</f>
        <v>2025</v>
      </c>
      <c r="M9" t="str">
        <f>_xlfn.CONCAT(TEXT(Table1[[#This Row],[Last_Restock_Date]],"mmm"), "-", YEAR(Table1[[#This Row],[Last_Restock_Date]]))</f>
        <v>May-2025</v>
      </c>
      <c r="N9">
        <f>MONTH(Table1[[#This Row],[Last_Restock_Date]])</f>
        <v>5</v>
      </c>
      <c r="O9" t="str" cm="1">
        <f t="array" ref="O9">_xlfn.SWITCH(Table1[[#This Row],[Month_Number]],
    1,"Q1",2,"Q1",3,"Q1",
    4,"Q2",5,"Q2",6,"Q2",
    7,"Q3",8,"Q3",9,"Q3",
    10,"Q4",11,"Q4",12,"Q4",
    "Invalid Month"
)</f>
        <v>Q2</v>
      </c>
      <c r="P9" t="str">
        <f>TEXT(Table1[[#This Row],[Last_Restock_Date]],"mmm")</f>
        <v>May</v>
      </c>
    </row>
    <row r="10" spans="1:17" x14ac:dyDescent="0.25">
      <c r="A10">
        <v>9</v>
      </c>
      <c r="B10" s="5" t="s">
        <v>31</v>
      </c>
      <c r="C10" s="5" t="s">
        <v>20</v>
      </c>
      <c r="D10" s="5" t="s">
        <v>30</v>
      </c>
      <c r="E10" s="5" t="s">
        <v>18</v>
      </c>
      <c r="F10" s="2">
        <v>54</v>
      </c>
      <c r="G10" s="3">
        <v>418.72</v>
      </c>
      <c r="H10">
        <v>62</v>
      </c>
      <c r="I10">
        <f>IF(Table1[[#This Row],[Status]]= "Sufficient",
     Table1[[#This Row],[Stock_Quantity]] - Table1[[#This Row],[Reorder_Level]],
     0)</f>
        <v>0</v>
      </c>
      <c r="J10" s="4">
        <v>45543</v>
      </c>
      <c r="K10" s="5" t="s">
        <v>28</v>
      </c>
      <c r="L10">
        <f>YEAR(Table1[[#This Row],[Last_Restock_Date]])</f>
        <v>2024</v>
      </c>
      <c r="M10" t="str">
        <f>_xlfn.CONCAT(TEXT(Table1[[#This Row],[Last_Restock_Date]],"mmm"), "-", YEAR(Table1[[#This Row],[Last_Restock_Date]]))</f>
        <v>Sep-2024</v>
      </c>
      <c r="N10">
        <f>MONTH(Table1[[#This Row],[Last_Restock_Date]])</f>
        <v>9</v>
      </c>
      <c r="O10" t="str" cm="1">
        <f t="array" ref="O10">_xlfn.SWITCH(Table1[[#This Row],[Month_Number]],
    1,"Q1",2,"Q1",3,"Q1",
    4,"Q2",5,"Q2",6,"Q2",
    7,"Q3",8,"Q3",9,"Q3",
    10,"Q4",11,"Q4",12,"Q4",
    "Invalid Month"
)</f>
        <v>Q3</v>
      </c>
      <c r="P10" t="str">
        <f>TEXT(Table1[[#This Row],[Last_Restock_Date]],"mmm")</f>
        <v>Sep</v>
      </c>
    </row>
    <row r="11" spans="1:17" x14ac:dyDescent="0.25">
      <c r="A11">
        <v>10</v>
      </c>
      <c r="B11" s="5" t="s">
        <v>29</v>
      </c>
      <c r="C11" s="5" t="s">
        <v>16</v>
      </c>
      <c r="D11" s="5" t="s">
        <v>17</v>
      </c>
      <c r="E11" s="5" t="s">
        <v>13</v>
      </c>
      <c r="F11" s="2">
        <v>267</v>
      </c>
      <c r="G11" s="3">
        <v>499.21</v>
      </c>
      <c r="H11">
        <v>84</v>
      </c>
      <c r="I11">
        <f>IF(Table1[[#This Row],[Status]]= "Sufficient",
     Table1[[#This Row],[Stock_Quantity]] - Table1[[#This Row],[Reorder_Level]],
     0)</f>
        <v>183</v>
      </c>
      <c r="J11" s="4">
        <v>45490</v>
      </c>
      <c r="K11" s="5" t="s">
        <v>14</v>
      </c>
      <c r="L11">
        <f>YEAR(Table1[[#This Row],[Last_Restock_Date]])</f>
        <v>2024</v>
      </c>
      <c r="M11" t="str">
        <f>_xlfn.CONCAT(TEXT(Table1[[#This Row],[Last_Restock_Date]],"mmm"), "-", YEAR(Table1[[#This Row],[Last_Restock_Date]]))</f>
        <v>Jul-2024</v>
      </c>
      <c r="N11">
        <f>MONTH(Table1[[#This Row],[Last_Restock_Date]])</f>
        <v>7</v>
      </c>
      <c r="O11" t="str" cm="1">
        <f t="array" ref="O11">_xlfn.SWITCH(Table1[[#This Row],[Month_Number]],
    1,"Q1",2,"Q1",3,"Q1",
    4,"Q2",5,"Q2",6,"Q2",
    7,"Q3",8,"Q3",9,"Q3",
    10,"Q4",11,"Q4",12,"Q4",
    "Invalid Month"
)</f>
        <v>Q3</v>
      </c>
      <c r="P11" t="str">
        <f>TEXT(Table1[[#This Row],[Last_Restock_Date]],"mmm")</f>
        <v>Jul</v>
      </c>
    </row>
    <row r="12" spans="1:17" x14ac:dyDescent="0.25">
      <c r="A12">
        <v>11</v>
      </c>
      <c r="B12" s="5" t="s">
        <v>29</v>
      </c>
      <c r="C12" s="5" t="s">
        <v>16</v>
      </c>
      <c r="D12" s="5" t="s">
        <v>21</v>
      </c>
      <c r="E12" s="5" t="s">
        <v>32</v>
      </c>
      <c r="F12" s="2">
        <v>382</v>
      </c>
      <c r="G12" s="3">
        <v>515.82000000000005</v>
      </c>
      <c r="H12">
        <v>59</v>
      </c>
      <c r="I12">
        <f>IF(Table1[[#This Row],[Status]]= "Sufficient",
     Table1[[#This Row],[Stock_Quantity]] - Table1[[#This Row],[Reorder_Level]],
     0)</f>
        <v>323</v>
      </c>
      <c r="J12" s="4">
        <v>45699</v>
      </c>
      <c r="K12" s="5" t="s">
        <v>14</v>
      </c>
      <c r="L12">
        <f>YEAR(Table1[[#This Row],[Last_Restock_Date]])</f>
        <v>2025</v>
      </c>
      <c r="M12" t="str">
        <f>_xlfn.CONCAT(TEXT(Table1[[#This Row],[Last_Restock_Date]],"mmm"), "-", YEAR(Table1[[#This Row],[Last_Restock_Date]]))</f>
        <v>Feb-2025</v>
      </c>
      <c r="N12">
        <f>MONTH(Table1[[#This Row],[Last_Restock_Date]])</f>
        <v>2</v>
      </c>
      <c r="O12" t="str" cm="1">
        <f t="array" ref="O12">_xlfn.SWITCH(Table1[[#This Row],[Month_Number]],
    1,"Q1",2,"Q1",3,"Q1",
    4,"Q2",5,"Q2",6,"Q2",
    7,"Q3",8,"Q3",9,"Q3",
    10,"Q4",11,"Q4",12,"Q4",
    "Invalid Month"
)</f>
        <v>Q1</v>
      </c>
      <c r="P12" t="str">
        <f>TEXT(Table1[[#This Row],[Last_Restock_Date]],"mmm")</f>
        <v>Feb</v>
      </c>
    </row>
    <row r="13" spans="1:17" x14ac:dyDescent="0.25">
      <c r="A13">
        <v>12</v>
      </c>
      <c r="B13" s="5" t="s">
        <v>33</v>
      </c>
      <c r="C13" s="5" t="s">
        <v>34</v>
      </c>
      <c r="D13" s="5" t="s">
        <v>12</v>
      </c>
      <c r="E13" s="5" t="s">
        <v>27</v>
      </c>
      <c r="F13" s="2">
        <v>265</v>
      </c>
      <c r="G13" s="3">
        <v>449.21</v>
      </c>
      <c r="H13">
        <v>129</v>
      </c>
      <c r="I13">
        <f>IF(Table1[[#This Row],[Status]]= "Sufficient",
     Table1[[#This Row],[Stock_Quantity]] - Table1[[#This Row],[Reorder_Level]],
     0)</f>
        <v>136</v>
      </c>
      <c r="J13" s="4">
        <v>45504</v>
      </c>
      <c r="K13" s="5" t="s">
        <v>14</v>
      </c>
      <c r="L13">
        <f>YEAR(Table1[[#This Row],[Last_Restock_Date]])</f>
        <v>2024</v>
      </c>
      <c r="M13" t="str">
        <f>_xlfn.CONCAT(TEXT(Table1[[#This Row],[Last_Restock_Date]],"mmm"), "-", YEAR(Table1[[#This Row],[Last_Restock_Date]]))</f>
        <v>Jul-2024</v>
      </c>
      <c r="N13">
        <f>MONTH(Table1[[#This Row],[Last_Restock_Date]])</f>
        <v>7</v>
      </c>
      <c r="O13" t="str" cm="1">
        <f t="array" ref="O13">_xlfn.SWITCH(Table1[[#This Row],[Month_Number]],
    1,"Q1",2,"Q1",3,"Q1",
    4,"Q2",5,"Q2",6,"Q2",
    7,"Q3",8,"Q3",9,"Q3",
    10,"Q4",11,"Q4",12,"Q4",
    "Invalid Month"
)</f>
        <v>Q3</v>
      </c>
      <c r="P13" t="str">
        <f>TEXT(Table1[[#This Row],[Last_Restock_Date]],"mmm")</f>
        <v>Jul</v>
      </c>
      <c r="Q13" t="s">
        <v>55</v>
      </c>
    </row>
    <row r="14" spans="1:17" x14ac:dyDescent="0.25">
      <c r="A14">
        <v>13</v>
      </c>
      <c r="B14" s="5" t="s">
        <v>35</v>
      </c>
      <c r="C14" s="5" t="s">
        <v>11</v>
      </c>
      <c r="D14" s="5" t="s">
        <v>21</v>
      </c>
      <c r="E14" s="5" t="s">
        <v>18</v>
      </c>
      <c r="F14" s="2">
        <v>254</v>
      </c>
      <c r="G14" s="3">
        <v>324.76</v>
      </c>
      <c r="H14">
        <v>93</v>
      </c>
      <c r="I14">
        <f>IF(Table1[[#This Row],[Status]]= "Sufficient",
     Table1[[#This Row],[Stock_Quantity]] - Table1[[#This Row],[Reorder_Level]],
     0)</f>
        <v>161</v>
      </c>
      <c r="J14" s="4">
        <v>45168</v>
      </c>
      <c r="K14" s="5" t="s">
        <v>14</v>
      </c>
      <c r="L14">
        <f>YEAR(Table1[[#This Row],[Last_Restock_Date]])</f>
        <v>2023</v>
      </c>
      <c r="M14" t="str">
        <f>_xlfn.CONCAT(TEXT(Table1[[#This Row],[Last_Restock_Date]],"mmm"), "-", YEAR(Table1[[#This Row],[Last_Restock_Date]]))</f>
        <v>Aug-2023</v>
      </c>
      <c r="N14">
        <f>MONTH(Table1[[#This Row],[Last_Restock_Date]])</f>
        <v>8</v>
      </c>
      <c r="O14" t="str" cm="1">
        <f t="array" ref="O14">_xlfn.SWITCH(Table1[[#This Row],[Month_Number]],
    1,"Q1",2,"Q1",3,"Q1",
    4,"Q2",5,"Q2",6,"Q2",
    7,"Q3",8,"Q3",9,"Q3",
    10,"Q4",11,"Q4",12,"Q4",
    "Invalid Month"
)</f>
        <v>Q3</v>
      </c>
      <c r="P14" t="str">
        <f>TEXT(Table1[[#This Row],[Last_Restock_Date]],"mmm")</f>
        <v>Aug</v>
      </c>
    </row>
    <row r="15" spans="1:17" x14ac:dyDescent="0.25">
      <c r="A15">
        <v>14</v>
      </c>
      <c r="B15" s="5" t="s">
        <v>36</v>
      </c>
      <c r="C15" s="5" t="s">
        <v>11</v>
      </c>
      <c r="D15" s="5" t="s">
        <v>30</v>
      </c>
      <c r="E15" s="5" t="s">
        <v>37</v>
      </c>
      <c r="F15" s="2">
        <v>48</v>
      </c>
      <c r="G15" s="3">
        <v>197.87</v>
      </c>
      <c r="H15">
        <v>121</v>
      </c>
      <c r="I15">
        <f>IF(Table1[[#This Row],[Status]]= "Sufficient",
     Table1[[#This Row],[Stock_Quantity]] - Table1[[#This Row],[Reorder_Level]],
     0)</f>
        <v>0</v>
      </c>
      <c r="J15" s="4">
        <v>45297</v>
      </c>
      <c r="K15" s="5" t="s">
        <v>28</v>
      </c>
      <c r="L15">
        <f>YEAR(Table1[[#This Row],[Last_Restock_Date]])</f>
        <v>2024</v>
      </c>
      <c r="M15" t="str">
        <f>_xlfn.CONCAT(TEXT(Table1[[#This Row],[Last_Restock_Date]],"mmm"), "-", YEAR(Table1[[#This Row],[Last_Restock_Date]]))</f>
        <v>Jan-2024</v>
      </c>
      <c r="N15">
        <f>MONTH(Table1[[#This Row],[Last_Restock_Date]])</f>
        <v>1</v>
      </c>
      <c r="O15" t="str" cm="1">
        <f t="array" ref="O15">_xlfn.SWITCH(Table1[[#This Row],[Month_Number]],
    1,"Q1",2,"Q1",3,"Q1",
    4,"Q2",5,"Q2",6,"Q2",
    7,"Q3",8,"Q3",9,"Q3",
    10,"Q4",11,"Q4",12,"Q4",
    "Invalid Month"
)</f>
        <v>Q1</v>
      </c>
      <c r="P15" t="str">
        <f>TEXT(Table1[[#This Row],[Last_Restock_Date]],"mmm")</f>
        <v>Jan</v>
      </c>
    </row>
    <row r="16" spans="1:17" x14ac:dyDescent="0.25">
      <c r="A16">
        <v>15</v>
      </c>
      <c r="B16" s="5" t="s">
        <v>38</v>
      </c>
      <c r="C16" s="5" t="s">
        <v>26</v>
      </c>
      <c r="D16" s="5" t="s">
        <v>30</v>
      </c>
      <c r="E16" s="5" t="s">
        <v>39</v>
      </c>
      <c r="F16" s="2">
        <v>232</v>
      </c>
      <c r="G16" s="3">
        <v>644.76</v>
      </c>
      <c r="H16">
        <v>85</v>
      </c>
      <c r="I16">
        <f>IF(Table1[[#This Row],[Status]]= "Sufficient",
     Table1[[#This Row],[Stock_Quantity]] - Table1[[#This Row],[Reorder_Level]],
     0)</f>
        <v>147</v>
      </c>
      <c r="J16" s="4">
        <v>45086</v>
      </c>
      <c r="K16" s="5" t="s">
        <v>14</v>
      </c>
      <c r="L16">
        <f>YEAR(Table1[[#This Row],[Last_Restock_Date]])</f>
        <v>2023</v>
      </c>
      <c r="M16" t="str">
        <f>_xlfn.CONCAT(TEXT(Table1[[#This Row],[Last_Restock_Date]],"mmm"), "-", YEAR(Table1[[#This Row],[Last_Restock_Date]]))</f>
        <v>Jun-2023</v>
      </c>
      <c r="N16">
        <f>MONTH(Table1[[#This Row],[Last_Restock_Date]])</f>
        <v>6</v>
      </c>
      <c r="O16" t="str" cm="1">
        <f t="array" ref="O16">_xlfn.SWITCH(Table1[[#This Row],[Month_Number]],
    1,"Q1",2,"Q1",3,"Q1",
    4,"Q2",5,"Q2",6,"Q2",
    7,"Q3",8,"Q3",9,"Q3",
    10,"Q4",11,"Q4",12,"Q4",
    "Invalid Month"
)</f>
        <v>Q2</v>
      </c>
      <c r="P16" t="str">
        <f>TEXT(Table1[[#This Row],[Last_Restock_Date]],"mmm")</f>
        <v>Jun</v>
      </c>
    </row>
    <row r="17" spans="1:17" x14ac:dyDescent="0.25">
      <c r="A17">
        <v>16</v>
      </c>
      <c r="B17" s="5" t="s">
        <v>10</v>
      </c>
      <c r="C17" s="5" t="s">
        <v>11</v>
      </c>
      <c r="D17" s="5" t="s">
        <v>21</v>
      </c>
      <c r="E17" s="5" t="s">
        <v>27</v>
      </c>
      <c r="F17" s="2">
        <v>270</v>
      </c>
      <c r="G17" s="3">
        <v>650.41</v>
      </c>
      <c r="H17">
        <v>61</v>
      </c>
      <c r="I17">
        <f>IF(Table1[[#This Row],[Status]]= "Sufficient",
     Table1[[#This Row],[Stock_Quantity]] - Table1[[#This Row],[Reorder_Level]],
     0)</f>
        <v>209</v>
      </c>
      <c r="J17" s="4">
        <v>45146</v>
      </c>
      <c r="K17" s="5" t="s">
        <v>14</v>
      </c>
      <c r="L17">
        <f>YEAR(Table1[[#This Row],[Last_Restock_Date]])</f>
        <v>2023</v>
      </c>
      <c r="M17" t="str">
        <f>_xlfn.CONCAT(TEXT(Table1[[#This Row],[Last_Restock_Date]],"mmm"), "-", YEAR(Table1[[#This Row],[Last_Restock_Date]]))</f>
        <v>Aug-2023</v>
      </c>
      <c r="N17">
        <f>MONTH(Table1[[#This Row],[Last_Restock_Date]])</f>
        <v>8</v>
      </c>
      <c r="O17" t="str" cm="1">
        <f t="array" ref="O17">_xlfn.SWITCH(Table1[[#This Row],[Month_Number]],
    1,"Q1",2,"Q1",3,"Q1",
    4,"Q2",5,"Q2",6,"Q2",
    7,"Q3",8,"Q3",9,"Q3",
    10,"Q4",11,"Q4",12,"Q4",
    "Invalid Month"
)</f>
        <v>Q3</v>
      </c>
      <c r="P17" t="str">
        <f>TEXT(Table1[[#This Row],[Last_Restock_Date]],"mmm")</f>
        <v>Aug</v>
      </c>
    </row>
    <row r="18" spans="1:17" x14ac:dyDescent="0.25">
      <c r="A18">
        <v>17</v>
      </c>
      <c r="B18" s="5" t="s">
        <v>35</v>
      </c>
      <c r="C18" s="5" t="s">
        <v>11</v>
      </c>
      <c r="D18" s="5" t="s">
        <v>30</v>
      </c>
      <c r="E18" s="5" t="s">
        <v>18</v>
      </c>
      <c r="F18" s="2">
        <v>218</v>
      </c>
      <c r="G18" s="3">
        <v>499.94</v>
      </c>
      <c r="H18">
        <v>93</v>
      </c>
      <c r="I18">
        <f>IF(Table1[[#This Row],[Status]]= "Sufficient",
     Table1[[#This Row],[Stock_Quantity]] - Table1[[#This Row],[Reorder_Level]],
     0)</f>
        <v>125</v>
      </c>
      <c r="J18" s="4">
        <v>45634</v>
      </c>
      <c r="K18" s="5" t="s">
        <v>14</v>
      </c>
      <c r="L18">
        <f>YEAR(Table1[[#This Row],[Last_Restock_Date]])</f>
        <v>2024</v>
      </c>
      <c r="M18" t="str">
        <f>_xlfn.CONCAT(TEXT(Table1[[#This Row],[Last_Restock_Date]],"mmm"), "-", YEAR(Table1[[#This Row],[Last_Restock_Date]]))</f>
        <v>Dec-2024</v>
      </c>
      <c r="N18">
        <f>MONTH(Table1[[#This Row],[Last_Restock_Date]])</f>
        <v>12</v>
      </c>
      <c r="O18" t="str" cm="1">
        <f t="array" ref="O18">_xlfn.SWITCH(Table1[[#This Row],[Month_Number]],
    1,"Q1",2,"Q1",3,"Q1",
    4,"Q2",5,"Q2",6,"Q2",
    7,"Q3",8,"Q3",9,"Q3",
    10,"Q4",11,"Q4",12,"Q4",
    "Invalid Month"
)</f>
        <v>Q4</v>
      </c>
      <c r="P18" t="str">
        <f>TEXT(Table1[[#This Row],[Last_Restock_Date]],"mmm")</f>
        <v>Dec</v>
      </c>
    </row>
    <row r="19" spans="1:17" x14ac:dyDescent="0.25">
      <c r="A19">
        <v>18</v>
      </c>
      <c r="B19" s="5" t="s">
        <v>40</v>
      </c>
      <c r="C19" s="5" t="s">
        <v>34</v>
      </c>
      <c r="D19" s="5" t="s">
        <v>21</v>
      </c>
      <c r="E19" s="5" t="s">
        <v>32</v>
      </c>
      <c r="F19" s="2">
        <v>369</v>
      </c>
      <c r="G19" s="3">
        <v>361</v>
      </c>
      <c r="H19">
        <v>103</v>
      </c>
      <c r="I19">
        <f>IF(Table1[[#This Row],[Status]]= "Sufficient",
     Table1[[#This Row],[Stock_Quantity]] - Table1[[#This Row],[Reorder_Level]],
     0)</f>
        <v>266</v>
      </c>
      <c r="J19" s="4">
        <v>45592</v>
      </c>
      <c r="K19" s="5" t="s">
        <v>14</v>
      </c>
      <c r="L19">
        <f>YEAR(Table1[[#This Row],[Last_Restock_Date]])</f>
        <v>2024</v>
      </c>
      <c r="M19" t="str">
        <f>_xlfn.CONCAT(TEXT(Table1[[#This Row],[Last_Restock_Date]],"mmm"), "-", YEAR(Table1[[#This Row],[Last_Restock_Date]]))</f>
        <v>Oct-2024</v>
      </c>
      <c r="N19">
        <f>MONTH(Table1[[#This Row],[Last_Restock_Date]])</f>
        <v>10</v>
      </c>
      <c r="O19" t="str" cm="1">
        <f t="array" ref="O19">_xlfn.SWITCH(Table1[[#This Row],[Month_Number]],
    1,"Q1",2,"Q1",3,"Q1",
    4,"Q2",5,"Q2",6,"Q2",
    7,"Q3",8,"Q3",9,"Q3",
    10,"Q4",11,"Q4",12,"Q4",
    "Invalid Month"
)</f>
        <v>Q4</v>
      </c>
      <c r="P19" t="str">
        <f>TEXT(Table1[[#This Row],[Last_Restock_Date]],"mmm")</f>
        <v>Oct</v>
      </c>
    </row>
    <row r="20" spans="1:17" x14ac:dyDescent="0.25">
      <c r="A20">
        <v>19</v>
      </c>
      <c r="B20" s="5" t="s">
        <v>15</v>
      </c>
      <c r="C20" s="5" t="s">
        <v>16</v>
      </c>
      <c r="D20" s="5" t="s">
        <v>17</v>
      </c>
      <c r="E20" s="5" t="s">
        <v>32</v>
      </c>
      <c r="F20" s="2">
        <v>361</v>
      </c>
      <c r="G20" s="3">
        <v>204.88</v>
      </c>
      <c r="H20">
        <v>147</v>
      </c>
      <c r="I20">
        <f>IF(Table1[[#This Row],[Status]]= "Sufficient",
     Table1[[#This Row],[Stock_Quantity]] - Table1[[#This Row],[Reorder_Level]],
     0)</f>
        <v>214</v>
      </c>
      <c r="J20" s="4">
        <v>45955</v>
      </c>
      <c r="K20" s="5" t="s">
        <v>14</v>
      </c>
      <c r="L20">
        <f>YEAR(Table1[[#This Row],[Last_Restock_Date]])</f>
        <v>2025</v>
      </c>
      <c r="M20" t="str">
        <f>_xlfn.CONCAT(TEXT(Table1[[#This Row],[Last_Restock_Date]],"mmm"), "-", YEAR(Table1[[#This Row],[Last_Restock_Date]]))</f>
        <v>Oct-2025</v>
      </c>
      <c r="N20">
        <f>MONTH(Table1[[#This Row],[Last_Restock_Date]])</f>
        <v>10</v>
      </c>
      <c r="O20" t="str" cm="1">
        <f t="array" ref="O20">_xlfn.SWITCH(Table1[[#This Row],[Month_Number]],
    1,"Q1",2,"Q1",3,"Q1",
    4,"Q2",5,"Q2",6,"Q2",
    7,"Q3",8,"Q3",9,"Q3",
    10,"Q4",11,"Q4",12,"Q4",
    "Invalid Month"
)</f>
        <v>Q4</v>
      </c>
      <c r="P20" t="str">
        <f>TEXT(Table1[[#This Row],[Last_Restock_Date]],"mmm")</f>
        <v>Oct</v>
      </c>
      <c r="Q20" t="s">
        <v>55</v>
      </c>
    </row>
    <row r="21" spans="1:17" x14ac:dyDescent="0.25">
      <c r="A21">
        <v>20</v>
      </c>
      <c r="B21" s="5" t="s">
        <v>15</v>
      </c>
      <c r="C21" s="5" t="s">
        <v>16</v>
      </c>
      <c r="D21" s="5" t="s">
        <v>12</v>
      </c>
      <c r="E21" s="5" t="s">
        <v>13</v>
      </c>
      <c r="F21" s="2">
        <v>215</v>
      </c>
      <c r="G21" s="3">
        <v>64.790000000000006</v>
      </c>
      <c r="H21">
        <v>118</v>
      </c>
      <c r="I21">
        <f>IF(Table1[[#This Row],[Status]]= "Sufficient",
     Table1[[#This Row],[Stock_Quantity]] - Table1[[#This Row],[Reorder_Level]],
     0)</f>
        <v>97</v>
      </c>
      <c r="J21" s="4">
        <v>45833</v>
      </c>
      <c r="K21" s="5" t="s">
        <v>14</v>
      </c>
      <c r="L21">
        <f>YEAR(Table1[[#This Row],[Last_Restock_Date]])</f>
        <v>2025</v>
      </c>
      <c r="M21" t="str">
        <f>_xlfn.CONCAT(TEXT(Table1[[#This Row],[Last_Restock_Date]],"mmm"), "-", YEAR(Table1[[#This Row],[Last_Restock_Date]]))</f>
        <v>Jun-2025</v>
      </c>
      <c r="N21">
        <f>MONTH(Table1[[#This Row],[Last_Restock_Date]])</f>
        <v>6</v>
      </c>
      <c r="O21" t="str" cm="1">
        <f t="array" ref="O21">_xlfn.SWITCH(Table1[[#This Row],[Month_Number]],
    1,"Q1",2,"Q1",3,"Q1",
    4,"Q2",5,"Q2",6,"Q2",
    7,"Q3",8,"Q3",9,"Q3",
    10,"Q4",11,"Q4",12,"Q4",
    "Invalid Month"
)</f>
        <v>Q2</v>
      </c>
      <c r="P21" t="str">
        <f>TEXT(Table1[[#This Row],[Last_Restock_Date]],"mmm")</f>
        <v>Jun</v>
      </c>
    </row>
    <row r="22" spans="1:17" x14ac:dyDescent="0.25">
      <c r="A22">
        <v>21</v>
      </c>
      <c r="B22" s="5" t="s">
        <v>40</v>
      </c>
      <c r="C22" s="5" t="s">
        <v>34</v>
      </c>
      <c r="D22" s="5" t="s">
        <v>24</v>
      </c>
      <c r="E22" s="5" t="s">
        <v>27</v>
      </c>
      <c r="F22" s="2">
        <v>135</v>
      </c>
      <c r="G22" s="3">
        <v>643.14</v>
      </c>
      <c r="H22">
        <v>72</v>
      </c>
      <c r="I22">
        <f>IF(Table1[[#This Row],[Status]]= "Sufficient",
     Table1[[#This Row],[Stock_Quantity]] - Table1[[#This Row],[Reorder_Level]],
     0)</f>
        <v>63</v>
      </c>
      <c r="J22" s="4">
        <v>45031</v>
      </c>
      <c r="K22" s="5" t="s">
        <v>14</v>
      </c>
      <c r="L22">
        <f>YEAR(Table1[[#This Row],[Last_Restock_Date]])</f>
        <v>2023</v>
      </c>
      <c r="M22" t="str">
        <f>_xlfn.CONCAT(TEXT(Table1[[#This Row],[Last_Restock_Date]],"mmm"), "-", YEAR(Table1[[#This Row],[Last_Restock_Date]]))</f>
        <v>Apr-2023</v>
      </c>
      <c r="N22">
        <f>MONTH(Table1[[#This Row],[Last_Restock_Date]])</f>
        <v>4</v>
      </c>
      <c r="O22" t="str" cm="1">
        <f t="array" ref="O22">_xlfn.SWITCH(Table1[[#This Row],[Month_Number]],
    1,"Q1",2,"Q1",3,"Q1",
    4,"Q2",5,"Q2",6,"Q2",
    7,"Q3",8,"Q3",9,"Q3",
    10,"Q4",11,"Q4",12,"Q4",
    "Invalid Month"
)</f>
        <v>Q2</v>
      </c>
      <c r="P22" t="str">
        <f>TEXT(Table1[[#This Row],[Last_Restock_Date]],"mmm")</f>
        <v>Apr</v>
      </c>
    </row>
    <row r="23" spans="1:17" x14ac:dyDescent="0.25">
      <c r="A23">
        <v>22</v>
      </c>
      <c r="B23" s="5" t="s">
        <v>19</v>
      </c>
      <c r="C23" s="5" t="s">
        <v>20</v>
      </c>
      <c r="D23" s="5" t="s">
        <v>17</v>
      </c>
      <c r="E23" s="5" t="s">
        <v>37</v>
      </c>
      <c r="F23" s="2">
        <v>55</v>
      </c>
      <c r="G23" s="3">
        <v>476.7</v>
      </c>
      <c r="H23">
        <v>91</v>
      </c>
      <c r="I23">
        <f>IF(Table1[[#This Row],[Status]]= "Sufficient",
     Table1[[#This Row],[Stock_Quantity]] - Table1[[#This Row],[Reorder_Level]],
     0)</f>
        <v>0</v>
      </c>
      <c r="J23" s="4">
        <v>45717</v>
      </c>
      <c r="K23" s="5" t="s">
        <v>28</v>
      </c>
      <c r="L23">
        <f>YEAR(Table1[[#This Row],[Last_Restock_Date]])</f>
        <v>2025</v>
      </c>
      <c r="M23" t="str">
        <f>_xlfn.CONCAT(TEXT(Table1[[#This Row],[Last_Restock_Date]],"mmm"), "-", YEAR(Table1[[#This Row],[Last_Restock_Date]]))</f>
        <v>Mar-2025</v>
      </c>
      <c r="N23">
        <f>MONTH(Table1[[#This Row],[Last_Restock_Date]])</f>
        <v>3</v>
      </c>
      <c r="O23" t="str" cm="1">
        <f t="array" ref="O23">_xlfn.SWITCH(Table1[[#This Row],[Month_Number]],
    1,"Q1",2,"Q1",3,"Q1",
    4,"Q2",5,"Q2",6,"Q2",
    7,"Q3",8,"Q3",9,"Q3",
    10,"Q4",11,"Q4",12,"Q4",
    "Invalid Month"
)</f>
        <v>Q1</v>
      </c>
      <c r="P23" t="str">
        <f>TEXT(Table1[[#This Row],[Last_Restock_Date]],"mmm")</f>
        <v>Mar</v>
      </c>
    </row>
    <row r="24" spans="1:17" x14ac:dyDescent="0.25">
      <c r="A24">
        <v>23</v>
      </c>
      <c r="B24" s="5" t="s">
        <v>41</v>
      </c>
      <c r="C24" s="5" t="s">
        <v>16</v>
      </c>
      <c r="D24" s="5" t="s">
        <v>12</v>
      </c>
      <c r="E24" s="5" t="s">
        <v>27</v>
      </c>
      <c r="F24" s="2">
        <v>452</v>
      </c>
      <c r="G24" s="3">
        <v>61.66</v>
      </c>
      <c r="H24">
        <v>55</v>
      </c>
      <c r="I24">
        <f>IF(Table1[[#This Row],[Status]]= "Sufficient",
     Table1[[#This Row],[Stock_Quantity]] - Table1[[#This Row],[Reorder_Level]],
     0)</f>
        <v>397</v>
      </c>
      <c r="J24" s="4">
        <v>45740</v>
      </c>
      <c r="K24" s="5" t="s">
        <v>14</v>
      </c>
      <c r="L24">
        <f>YEAR(Table1[[#This Row],[Last_Restock_Date]])</f>
        <v>2025</v>
      </c>
      <c r="M24" t="str">
        <f>_xlfn.CONCAT(TEXT(Table1[[#This Row],[Last_Restock_Date]],"mmm"), "-", YEAR(Table1[[#This Row],[Last_Restock_Date]]))</f>
        <v>Mar-2025</v>
      </c>
      <c r="N24">
        <f>MONTH(Table1[[#This Row],[Last_Restock_Date]])</f>
        <v>3</v>
      </c>
      <c r="O24" t="str" cm="1">
        <f t="array" ref="O24">_xlfn.SWITCH(Table1[[#This Row],[Month_Number]],
    1,"Q1",2,"Q1",3,"Q1",
    4,"Q2",5,"Q2",6,"Q2",
    7,"Q3",8,"Q3",9,"Q3",
    10,"Q4",11,"Q4",12,"Q4",
    "Invalid Month"
)</f>
        <v>Q1</v>
      </c>
      <c r="P24" t="str">
        <f>TEXT(Table1[[#This Row],[Last_Restock_Date]],"mmm")</f>
        <v>Mar</v>
      </c>
    </row>
    <row r="25" spans="1:17" x14ac:dyDescent="0.25">
      <c r="A25">
        <v>24</v>
      </c>
      <c r="B25" s="5" t="s">
        <v>42</v>
      </c>
      <c r="C25" s="5" t="s">
        <v>16</v>
      </c>
      <c r="D25" s="5" t="s">
        <v>12</v>
      </c>
      <c r="E25" s="5" t="s">
        <v>39</v>
      </c>
      <c r="F25" s="2">
        <v>452</v>
      </c>
      <c r="G25" s="3">
        <v>379.74</v>
      </c>
      <c r="H25">
        <v>50</v>
      </c>
      <c r="I25">
        <f>IF(Table1[[#This Row],[Status]]= "Sufficient",
     Table1[[#This Row],[Stock_Quantity]] - Table1[[#This Row],[Reorder_Level]],
     0)</f>
        <v>402</v>
      </c>
      <c r="J25" s="4">
        <v>45720</v>
      </c>
      <c r="K25" s="5" t="s">
        <v>14</v>
      </c>
      <c r="L25">
        <f>YEAR(Table1[[#This Row],[Last_Restock_Date]])</f>
        <v>2025</v>
      </c>
      <c r="M25" t="str">
        <f>_xlfn.CONCAT(TEXT(Table1[[#This Row],[Last_Restock_Date]],"mmm"), "-", YEAR(Table1[[#This Row],[Last_Restock_Date]]))</f>
        <v>Mar-2025</v>
      </c>
      <c r="N25">
        <f>MONTH(Table1[[#This Row],[Last_Restock_Date]])</f>
        <v>3</v>
      </c>
      <c r="O25" t="str" cm="1">
        <f t="array" ref="O25">_xlfn.SWITCH(Table1[[#This Row],[Month_Number]],
    1,"Q1",2,"Q1",3,"Q1",
    4,"Q2",5,"Q2",6,"Q2",
    7,"Q3",8,"Q3",9,"Q3",
    10,"Q4",11,"Q4",12,"Q4",
    "Invalid Month"
)</f>
        <v>Q1</v>
      </c>
      <c r="P25" t="str">
        <f>TEXT(Table1[[#This Row],[Last_Restock_Date]],"mmm")</f>
        <v>Mar</v>
      </c>
    </row>
    <row r="26" spans="1:17" x14ac:dyDescent="0.25">
      <c r="A26">
        <v>25</v>
      </c>
      <c r="B26" s="5" t="s">
        <v>43</v>
      </c>
      <c r="C26" s="5" t="s">
        <v>26</v>
      </c>
      <c r="D26" s="5" t="s">
        <v>24</v>
      </c>
      <c r="E26" s="5" t="s">
        <v>13</v>
      </c>
      <c r="F26" s="2">
        <v>147</v>
      </c>
      <c r="G26" s="3">
        <v>629.4</v>
      </c>
      <c r="H26">
        <v>76</v>
      </c>
      <c r="I26">
        <f>IF(Table1[[#This Row],[Status]]= "Sufficient",
     Table1[[#This Row],[Stock_Quantity]] - Table1[[#This Row],[Reorder_Level]],
     0)</f>
        <v>71</v>
      </c>
      <c r="J26" s="4">
        <v>45120</v>
      </c>
      <c r="K26" s="5" t="s">
        <v>14</v>
      </c>
      <c r="L26">
        <f>YEAR(Table1[[#This Row],[Last_Restock_Date]])</f>
        <v>2023</v>
      </c>
      <c r="M26" t="str">
        <f>_xlfn.CONCAT(TEXT(Table1[[#This Row],[Last_Restock_Date]],"mmm"), "-", YEAR(Table1[[#This Row],[Last_Restock_Date]]))</f>
        <v>Jul-2023</v>
      </c>
      <c r="N26">
        <f>MONTH(Table1[[#This Row],[Last_Restock_Date]])</f>
        <v>7</v>
      </c>
      <c r="O26" t="str" cm="1">
        <f t="array" ref="O26">_xlfn.SWITCH(Table1[[#This Row],[Month_Number]],
    1,"Q1",2,"Q1",3,"Q1",
    4,"Q2",5,"Q2",6,"Q2",
    7,"Q3",8,"Q3",9,"Q3",
    10,"Q4",11,"Q4",12,"Q4",
    "Invalid Month"
)</f>
        <v>Q3</v>
      </c>
      <c r="P26" t="str">
        <f>TEXT(Table1[[#This Row],[Last_Restock_Date]],"mmm")</f>
        <v>Jul</v>
      </c>
    </row>
    <row r="27" spans="1:17" x14ac:dyDescent="0.25">
      <c r="A27">
        <v>26</v>
      </c>
      <c r="B27" s="5" t="s">
        <v>40</v>
      </c>
      <c r="C27" s="5" t="s">
        <v>34</v>
      </c>
      <c r="D27" s="5" t="s">
        <v>21</v>
      </c>
      <c r="E27" s="5" t="s">
        <v>27</v>
      </c>
      <c r="F27" s="2">
        <v>407</v>
      </c>
      <c r="G27" s="3">
        <v>607.5</v>
      </c>
      <c r="H27">
        <v>107</v>
      </c>
      <c r="I27">
        <f>IF(Table1[[#This Row],[Status]]= "Sufficient",
     Table1[[#This Row],[Stock_Quantity]] - Table1[[#This Row],[Reorder_Level]],
     0)</f>
        <v>300</v>
      </c>
      <c r="J27" s="4">
        <v>45124</v>
      </c>
      <c r="K27" s="5" t="s">
        <v>14</v>
      </c>
      <c r="L27">
        <f>YEAR(Table1[[#This Row],[Last_Restock_Date]])</f>
        <v>2023</v>
      </c>
      <c r="M27" t="str">
        <f>_xlfn.CONCAT(TEXT(Table1[[#This Row],[Last_Restock_Date]],"mmm"), "-", YEAR(Table1[[#This Row],[Last_Restock_Date]]))</f>
        <v>Jul-2023</v>
      </c>
      <c r="N27">
        <f>MONTH(Table1[[#This Row],[Last_Restock_Date]])</f>
        <v>7</v>
      </c>
      <c r="O27" t="str" cm="1">
        <f t="array" ref="O27">_xlfn.SWITCH(Table1[[#This Row],[Month_Number]],
    1,"Q1",2,"Q1",3,"Q1",
    4,"Q2",5,"Q2",6,"Q2",
    7,"Q3",8,"Q3",9,"Q3",
    10,"Q4",11,"Q4",12,"Q4",
    "Invalid Month"
)</f>
        <v>Q3</v>
      </c>
      <c r="P27" t="str">
        <f>TEXT(Table1[[#This Row],[Last_Restock_Date]],"mmm")</f>
        <v>Jul</v>
      </c>
    </row>
    <row r="28" spans="1:17" x14ac:dyDescent="0.25">
      <c r="A28">
        <v>27</v>
      </c>
      <c r="B28" s="5" t="s">
        <v>15</v>
      </c>
      <c r="C28" s="5" t="s">
        <v>16</v>
      </c>
      <c r="D28" s="5" t="s">
        <v>24</v>
      </c>
      <c r="E28" s="5" t="s">
        <v>13</v>
      </c>
      <c r="F28" s="2">
        <v>421</v>
      </c>
      <c r="G28" s="3">
        <v>23.94</v>
      </c>
      <c r="H28">
        <v>61</v>
      </c>
      <c r="I28">
        <f>IF(Table1[[#This Row],[Status]]= "Sufficient",
     Table1[[#This Row],[Stock_Quantity]] - Table1[[#This Row],[Reorder_Level]],
     0)</f>
        <v>360</v>
      </c>
      <c r="J28" s="4">
        <v>45974</v>
      </c>
      <c r="K28" s="5" t="s">
        <v>14</v>
      </c>
      <c r="L28">
        <f>YEAR(Table1[[#This Row],[Last_Restock_Date]])</f>
        <v>2025</v>
      </c>
      <c r="M28" t="str">
        <f>_xlfn.CONCAT(TEXT(Table1[[#This Row],[Last_Restock_Date]],"mmm"), "-", YEAR(Table1[[#This Row],[Last_Restock_Date]]))</f>
        <v>Nov-2025</v>
      </c>
      <c r="N28">
        <f>MONTH(Table1[[#This Row],[Last_Restock_Date]])</f>
        <v>11</v>
      </c>
      <c r="O28" t="str" cm="1">
        <f t="array" ref="O28">_xlfn.SWITCH(Table1[[#This Row],[Month_Number]],
    1,"Q1",2,"Q1",3,"Q1",
    4,"Q2",5,"Q2",6,"Q2",
    7,"Q3",8,"Q3",9,"Q3",
    10,"Q4",11,"Q4",12,"Q4",
    "Invalid Month"
)</f>
        <v>Q4</v>
      </c>
      <c r="P28" t="str">
        <f>TEXT(Table1[[#This Row],[Last_Restock_Date]],"mmm")</f>
        <v>Nov</v>
      </c>
    </row>
    <row r="29" spans="1:17" x14ac:dyDescent="0.25">
      <c r="A29">
        <v>28</v>
      </c>
      <c r="B29" s="5" t="s">
        <v>44</v>
      </c>
      <c r="C29" s="5" t="s">
        <v>34</v>
      </c>
      <c r="D29" s="5" t="s">
        <v>30</v>
      </c>
      <c r="E29" s="5" t="s">
        <v>39</v>
      </c>
      <c r="F29" s="2">
        <v>335</v>
      </c>
      <c r="G29" s="3">
        <v>639.07000000000005</v>
      </c>
      <c r="H29">
        <v>148</v>
      </c>
      <c r="I29">
        <f>IF(Table1[[#This Row],[Status]]= "Sufficient",
     Table1[[#This Row],[Stock_Quantity]] - Table1[[#This Row],[Reorder_Level]],
     0)</f>
        <v>187</v>
      </c>
      <c r="J29" s="4">
        <v>45404</v>
      </c>
      <c r="K29" s="5" t="s">
        <v>14</v>
      </c>
      <c r="L29">
        <f>YEAR(Table1[[#This Row],[Last_Restock_Date]])</f>
        <v>2024</v>
      </c>
      <c r="M29" t="str">
        <f>_xlfn.CONCAT(TEXT(Table1[[#This Row],[Last_Restock_Date]],"mmm"), "-", YEAR(Table1[[#This Row],[Last_Restock_Date]]))</f>
        <v>Apr-2024</v>
      </c>
      <c r="N29">
        <f>MONTH(Table1[[#This Row],[Last_Restock_Date]])</f>
        <v>4</v>
      </c>
      <c r="O29" t="str" cm="1">
        <f t="array" ref="O29">_xlfn.SWITCH(Table1[[#This Row],[Month_Number]],
    1,"Q1",2,"Q1",3,"Q1",
    4,"Q2",5,"Q2",6,"Q2",
    7,"Q3",8,"Q3",9,"Q3",
    10,"Q4",11,"Q4",12,"Q4",
    "Invalid Month"
)</f>
        <v>Q2</v>
      </c>
      <c r="P29" t="str">
        <f>TEXT(Table1[[#This Row],[Last_Restock_Date]],"mmm")</f>
        <v>Apr</v>
      </c>
    </row>
    <row r="30" spans="1:17" x14ac:dyDescent="0.25">
      <c r="A30">
        <v>29</v>
      </c>
      <c r="B30" s="5" t="s">
        <v>45</v>
      </c>
      <c r="C30" s="5" t="s">
        <v>26</v>
      </c>
      <c r="D30" s="5" t="s">
        <v>24</v>
      </c>
      <c r="E30" s="5" t="s">
        <v>32</v>
      </c>
      <c r="F30" s="2">
        <v>148</v>
      </c>
      <c r="G30" s="3">
        <v>470.15</v>
      </c>
      <c r="H30">
        <v>67</v>
      </c>
      <c r="I30">
        <f>IF(Table1[[#This Row],[Status]]= "Sufficient",
     Table1[[#This Row],[Stock_Quantity]] - Table1[[#This Row],[Reorder_Level]],
     0)</f>
        <v>81</v>
      </c>
      <c r="J30" s="4">
        <v>45664</v>
      </c>
      <c r="K30" s="5" t="s">
        <v>14</v>
      </c>
      <c r="L30">
        <f>YEAR(Table1[[#This Row],[Last_Restock_Date]])</f>
        <v>2025</v>
      </c>
      <c r="M30" t="str">
        <f>_xlfn.CONCAT(TEXT(Table1[[#This Row],[Last_Restock_Date]],"mmm"), "-", YEAR(Table1[[#This Row],[Last_Restock_Date]]))</f>
        <v>Jan-2025</v>
      </c>
      <c r="N30">
        <f>MONTH(Table1[[#This Row],[Last_Restock_Date]])</f>
        <v>1</v>
      </c>
      <c r="O30" t="str" cm="1">
        <f t="array" ref="O30">_xlfn.SWITCH(Table1[[#This Row],[Month_Number]],
    1,"Q1",2,"Q1",3,"Q1",
    4,"Q2",5,"Q2",6,"Q2",
    7,"Q3",8,"Q3",9,"Q3",
    10,"Q4",11,"Q4",12,"Q4",
    "Invalid Month"
)</f>
        <v>Q1</v>
      </c>
      <c r="P30" t="str">
        <f>TEXT(Table1[[#This Row],[Last_Restock_Date]],"mmm")</f>
        <v>Jan</v>
      </c>
    </row>
    <row r="31" spans="1:17" x14ac:dyDescent="0.25">
      <c r="A31">
        <v>30</v>
      </c>
      <c r="B31" s="5" t="s">
        <v>33</v>
      </c>
      <c r="C31" s="5" t="s">
        <v>34</v>
      </c>
      <c r="D31" s="5" t="s">
        <v>24</v>
      </c>
      <c r="E31" s="5" t="s">
        <v>37</v>
      </c>
      <c r="F31" s="2">
        <v>481</v>
      </c>
      <c r="G31" s="3">
        <v>534.69000000000005</v>
      </c>
      <c r="H31">
        <v>144</v>
      </c>
      <c r="I31">
        <f>IF(Table1[[#This Row],[Status]]= "Sufficient",
     Table1[[#This Row],[Stock_Quantity]] - Table1[[#This Row],[Reorder_Level]],
     0)</f>
        <v>337</v>
      </c>
      <c r="J31" s="4">
        <v>45529</v>
      </c>
      <c r="K31" s="5" t="s">
        <v>14</v>
      </c>
      <c r="L31">
        <f>YEAR(Table1[[#This Row],[Last_Restock_Date]])</f>
        <v>2024</v>
      </c>
      <c r="M31" t="str">
        <f>_xlfn.CONCAT(TEXT(Table1[[#This Row],[Last_Restock_Date]],"mmm"), "-", YEAR(Table1[[#This Row],[Last_Restock_Date]]))</f>
        <v>Aug-2024</v>
      </c>
      <c r="N31">
        <f>MONTH(Table1[[#This Row],[Last_Restock_Date]])</f>
        <v>8</v>
      </c>
      <c r="O31" t="str" cm="1">
        <f t="array" ref="O31">_xlfn.SWITCH(Table1[[#This Row],[Month_Number]],
    1,"Q1",2,"Q1",3,"Q1",
    4,"Q2",5,"Q2",6,"Q2",
    7,"Q3",8,"Q3",9,"Q3",
    10,"Q4",11,"Q4",12,"Q4",
    "Invalid Month"
)</f>
        <v>Q3</v>
      </c>
      <c r="P31" t="str">
        <f>TEXT(Table1[[#This Row],[Last_Restock_Date]],"mmm")</f>
        <v>Aug</v>
      </c>
    </row>
    <row r="32" spans="1:17" x14ac:dyDescent="0.25">
      <c r="A32">
        <v>31</v>
      </c>
      <c r="B32" s="5" t="s">
        <v>42</v>
      </c>
      <c r="C32" s="5" t="s">
        <v>16</v>
      </c>
      <c r="D32" s="5" t="s">
        <v>21</v>
      </c>
      <c r="E32" s="5" t="s">
        <v>13</v>
      </c>
      <c r="F32" s="2">
        <v>228</v>
      </c>
      <c r="G32" s="3">
        <v>705.95</v>
      </c>
      <c r="H32">
        <v>146</v>
      </c>
      <c r="I32">
        <f>IF(Table1[[#This Row],[Status]]= "Sufficient",
     Table1[[#This Row],[Stock_Quantity]] - Table1[[#This Row],[Reorder_Level]],
     0)</f>
        <v>82</v>
      </c>
      <c r="J32" s="4">
        <v>45159</v>
      </c>
      <c r="K32" s="5" t="s">
        <v>14</v>
      </c>
      <c r="L32">
        <f>YEAR(Table1[[#This Row],[Last_Restock_Date]])</f>
        <v>2023</v>
      </c>
      <c r="M32" t="str">
        <f>_xlfn.CONCAT(TEXT(Table1[[#This Row],[Last_Restock_Date]],"mmm"), "-", YEAR(Table1[[#This Row],[Last_Restock_Date]]))</f>
        <v>Aug-2023</v>
      </c>
      <c r="N32">
        <f>MONTH(Table1[[#This Row],[Last_Restock_Date]])</f>
        <v>8</v>
      </c>
      <c r="O32" t="str" cm="1">
        <f t="array" ref="O32">_xlfn.SWITCH(Table1[[#This Row],[Month_Number]],
    1,"Q1",2,"Q1",3,"Q1",
    4,"Q2",5,"Q2",6,"Q2",
    7,"Q3",8,"Q3",9,"Q3",
    10,"Q4",11,"Q4",12,"Q4",
    "Invalid Month"
)</f>
        <v>Q3</v>
      </c>
      <c r="P32" t="str">
        <f>TEXT(Table1[[#This Row],[Last_Restock_Date]],"mmm")</f>
        <v>Aug</v>
      </c>
    </row>
    <row r="33" spans="1:16" x14ac:dyDescent="0.25">
      <c r="A33">
        <v>32</v>
      </c>
      <c r="B33" s="5" t="s">
        <v>19</v>
      </c>
      <c r="C33" s="5" t="s">
        <v>20</v>
      </c>
      <c r="D33" s="5" t="s">
        <v>17</v>
      </c>
      <c r="E33" s="5" t="s">
        <v>37</v>
      </c>
      <c r="F33" s="2">
        <v>39</v>
      </c>
      <c r="G33" s="3">
        <v>52.51</v>
      </c>
      <c r="H33">
        <v>115</v>
      </c>
      <c r="I33">
        <f>IF(Table1[[#This Row],[Status]]= "Sufficient",
     Table1[[#This Row],[Stock_Quantity]] - Table1[[#This Row],[Reorder_Level]],
     0)</f>
        <v>0</v>
      </c>
      <c r="J33" s="4">
        <v>45028</v>
      </c>
      <c r="K33" s="5" t="s">
        <v>28</v>
      </c>
      <c r="L33">
        <f>YEAR(Table1[[#This Row],[Last_Restock_Date]])</f>
        <v>2023</v>
      </c>
      <c r="M33" t="str">
        <f>_xlfn.CONCAT(TEXT(Table1[[#This Row],[Last_Restock_Date]],"mmm"), "-", YEAR(Table1[[#This Row],[Last_Restock_Date]]))</f>
        <v>Apr-2023</v>
      </c>
      <c r="N33">
        <f>MONTH(Table1[[#This Row],[Last_Restock_Date]])</f>
        <v>4</v>
      </c>
      <c r="O33" t="str" cm="1">
        <f t="array" ref="O33">_xlfn.SWITCH(Table1[[#This Row],[Month_Number]],
    1,"Q1",2,"Q1",3,"Q1",
    4,"Q2",5,"Q2",6,"Q2",
    7,"Q3",8,"Q3",9,"Q3",
    10,"Q4",11,"Q4",12,"Q4",
    "Invalid Month"
)</f>
        <v>Q2</v>
      </c>
      <c r="P33" t="str">
        <f>TEXT(Table1[[#This Row],[Last_Restock_Date]],"mmm")</f>
        <v>Apr</v>
      </c>
    </row>
    <row r="34" spans="1:16" x14ac:dyDescent="0.25">
      <c r="A34">
        <v>33</v>
      </c>
      <c r="B34" s="5" t="s">
        <v>33</v>
      </c>
      <c r="C34" s="5" t="s">
        <v>34</v>
      </c>
      <c r="D34" s="5" t="s">
        <v>21</v>
      </c>
      <c r="E34" s="5" t="s">
        <v>39</v>
      </c>
      <c r="F34" s="2">
        <v>461</v>
      </c>
      <c r="G34" s="3">
        <v>377.13</v>
      </c>
      <c r="H34">
        <v>98</v>
      </c>
      <c r="I34">
        <f>IF(Table1[[#This Row],[Status]]= "Sufficient",
     Table1[[#This Row],[Stock_Quantity]] - Table1[[#This Row],[Reorder_Level]],
     0)</f>
        <v>363</v>
      </c>
      <c r="J34" s="4">
        <v>45001</v>
      </c>
      <c r="K34" s="5" t="s">
        <v>14</v>
      </c>
      <c r="L34">
        <f>YEAR(Table1[[#This Row],[Last_Restock_Date]])</f>
        <v>2023</v>
      </c>
      <c r="M34" t="str">
        <f>_xlfn.CONCAT(TEXT(Table1[[#This Row],[Last_Restock_Date]],"mmm"), "-", YEAR(Table1[[#This Row],[Last_Restock_Date]]))</f>
        <v>Mar-2023</v>
      </c>
      <c r="N34">
        <f>MONTH(Table1[[#This Row],[Last_Restock_Date]])</f>
        <v>3</v>
      </c>
      <c r="O34" t="str" cm="1">
        <f t="array" ref="O34">_xlfn.SWITCH(Table1[[#This Row],[Month_Number]],
    1,"Q1",2,"Q1",3,"Q1",
    4,"Q2",5,"Q2",6,"Q2",
    7,"Q3",8,"Q3",9,"Q3",
    10,"Q4",11,"Q4",12,"Q4",
    "Invalid Month"
)</f>
        <v>Q1</v>
      </c>
      <c r="P34" t="str">
        <f>TEXT(Table1[[#This Row],[Last_Restock_Date]],"mmm")</f>
        <v>Mar</v>
      </c>
    </row>
    <row r="35" spans="1:16" x14ac:dyDescent="0.25">
      <c r="A35">
        <v>34</v>
      </c>
      <c r="B35" s="5" t="s">
        <v>46</v>
      </c>
      <c r="C35" s="5" t="s">
        <v>34</v>
      </c>
      <c r="D35" s="5" t="s">
        <v>17</v>
      </c>
      <c r="E35" s="5" t="s">
        <v>32</v>
      </c>
      <c r="F35" s="2">
        <v>301</v>
      </c>
      <c r="G35" s="3">
        <v>726.88</v>
      </c>
      <c r="H35">
        <v>83</v>
      </c>
      <c r="I35">
        <f>IF(Table1[[#This Row],[Status]]= "Sufficient",
     Table1[[#This Row],[Stock_Quantity]] - Table1[[#This Row],[Reorder_Level]],
     0)</f>
        <v>218</v>
      </c>
      <c r="J35" s="4">
        <v>45665</v>
      </c>
      <c r="K35" s="5" t="s">
        <v>14</v>
      </c>
      <c r="L35">
        <f>YEAR(Table1[[#This Row],[Last_Restock_Date]])</f>
        <v>2025</v>
      </c>
      <c r="M35" t="str">
        <f>_xlfn.CONCAT(TEXT(Table1[[#This Row],[Last_Restock_Date]],"mmm"), "-", YEAR(Table1[[#This Row],[Last_Restock_Date]]))</f>
        <v>Jan-2025</v>
      </c>
      <c r="N35">
        <f>MONTH(Table1[[#This Row],[Last_Restock_Date]])</f>
        <v>1</v>
      </c>
      <c r="O35" t="str" cm="1">
        <f t="array" ref="O35">_xlfn.SWITCH(Table1[[#This Row],[Month_Number]],
    1,"Q1",2,"Q1",3,"Q1",
    4,"Q2",5,"Q2",6,"Q2",
    7,"Q3",8,"Q3",9,"Q3",
    10,"Q4",11,"Q4",12,"Q4",
    "Invalid Month"
)</f>
        <v>Q1</v>
      </c>
      <c r="P35" t="str">
        <f>TEXT(Table1[[#This Row],[Last_Restock_Date]],"mmm")</f>
        <v>Jan</v>
      </c>
    </row>
    <row r="36" spans="1:16" x14ac:dyDescent="0.25">
      <c r="A36">
        <v>35</v>
      </c>
      <c r="B36" s="5" t="s">
        <v>23</v>
      </c>
      <c r="C36" s="5" t="s">
        <v>20</v>
      </c>
      <c r="D36" s="5" t="s">
        <v>30</v>
      </c>
      <c r="E36" s="5" t="s">
        <v>13</v>
      </c>
      <c r="F36" s="2">
        <v>385</v>
      </c>
      <c r="G36" s="3">
        <v>448.22</v>
      </c>
      <c r="H36">
        <v>79</v>
      </c>
      <c r="I36">
        <f>IF(Table1[[#This Row],[Status]]= "Sufficient",
     Table1[[#This Row],[Stock_Quantity]] - Table1[[#This Row],[Reorder_Level]],
     0)</f>
        <v>306</v>
      </c>
      <c r="J36" s="4">
        <v>45722</v>
      </c>
      <c r="K36" s="5" t="s">
        <v>14</v>
      </c>
      <c r="L36">
        <f>YEAR(Table1[[#This Row],[Last_Restock_Date]])</f>
        <v>2025</v>
      </c>
      <c r="M36" t="str">
        <f>_xlfn.CONCAT(TEXT(Table1[[#This Row],[Last_Restock_Date]],"mmm"), "-", YEAR(Table1[[#This Row],[Last_Restock_Date]]))</f>
        <v>Mar-2025</v>
      </c>
      <c r="N36">
        <f>MONTH(Table1[[#This Row],[Last_Restock_Date]])</f>
        <v>3</v>
      </c>
      <c r="O36" t="str" cm="1">
        <f t="array" ref="O36">_xlfn.SWITCH(Table1[[#This Row],[Month_Number]],
    1,"Q1",2,"Q1",3,"Q1",
    4,"Q2",5,"Q2",6,"Q2",
    7,"Q3",8,"Q3",9,"Q3",
    10,"Q4",11,"Q4",12,"Q4",
    "Invalid Month"
)</f>
        <v>Q1</v>
      </c>
      <c r="P36" t="str">
        <f>TEXT(Table1[[#This Row],[Last_Restock_Date]],"mmm")</f>
        <v>Mar</v>
      </c>
    </row>
    <row r="37" spans="1:16" x14ac:dyDescent="0.25">
      <c r="A37">
        <v>36</v>
      </c>
      <c r="B37" s="5" t="s">
        <v>33</v>
      </c>
      <c r="C37" s="5" t="s">
        <v>34</v>
      </c>
      <c r="D37" s="5" t="s">
        <v>21</v>
      </c>
      <c r="E37" s="5" t="s">
        <v>32</v>
      </c>
      <c r="F37" s="2">
        <v>14</v>
      </c>
      <c r="G37" s="3">
        <v>98.35</v>
      </c>
      <c r="H37">
        <v>64</v>
      </c>
      <c r="I37">
        <f>IF(Table1[[#This Row],[Status]]= "Sufficient",
     Table1[[#This Row],[Stock_Quantity]] - Table1[[#This Row],[Reorder_Level]],
     0)</f>
        <v>0</v>
      </c>
      <c r="J37" s="4">
        <v>45365</v>
      </c>
      <c r="K37" s="5" t="s">
        <v>28</v>
      </c>
      <c r="L37">
        <f>YEAR(Table1[[#This Row],[Last_Restock_Date]])</f>
        <v>2024</v>
      </c>
      <c r="M37" t="str">
        <f>_xlfn.CONCAT(TEXT(Table1[[#This Row],[Last_Restock_Date]],"mmm"), "-", YEAR(Table1[[#This Row],[Last_Restock_Date]]))</f>
        <v>Mar-2024</v>
      </c>
      <c r="N37">
        <f>MONTH(Table1[[#This Row],[Last_Restock_Date]])</f>
        <v>3</v>
      </c>
      <c r="O37" t="str" cm="1">
        <f t="array" ref="O37">_xlfn.SWITCH(Table1[[#This Row],[Month_Number]],
    1,"Q1",2,"Q1",3,"Q1",
    4,"Q2",5,"Q2",6,"Q2",
    7,"Q3",8,"Q3",9,"Q3",
    10,"Q4",11,"Q4",12,"Q4",
    "Invalid Month"
)</f>
        <v>Q1</v>
      </c>
      <c r="P37" t="str">
        <f>TEXT(Table1[[#This Row],[Last_Restock_Date]],"mmm")</f>
        <v>Mar</v>
      </c>
    </row>
    <row r="38" spans="1:16" x14ac:dyDescent="0.25">
      <c r="A38">
        <v>37</v>
      </c>
      <c r="B38" s="5" t="s">
        <v>41</v>
      </c>
      <c r="C38" s="5" t="s">
        <v>16</v>
      </c>
      <c r="D38" s="5" t="s">
        <v>30</v>
      </c>
      <c r="E38" s="5" t="s">
        <v>13</v>
      </c>
      <c r="F38" s="2">
        <v>72</v>
      </c>
      <c r="G38" s="3">
        <v>337.55</v>
      </c>
      <c r="H38">
        <v>55</v>
      </c>
      <c r="I38">
        <f>IF(Table1[[#This Row],[Status]]= "Sufficient",
     Table1[[#This Row],[Stock_Quantity]] - Table1[[#This Row],[Reorder_Level]],
     0)</f>
        <v>17</v>
      </c>
      <c r="J38" s="4">
        <v>45474</v>
      </c>
      <c r="K38" s="5" t="s">
        <v>14</v>
      </c>
      <c r="L38">
        <f>YEAR(Table1[[#This Row],[Last_Restock_Date]])</f>
        <v>2024</v>
      </c>
      <c r="M38" t="str">
        <f>_xlfn.CONCAT(TEXT(Table1[[#This Row],[Last_Restock_Date]],"mmm"), "-", YEAR(Table1[[#This Row],[Last_Restock_Date]]))</f>
        <v>Jul-2024</v>
      </c>
      <c r="N38">
        <f>MONTH(Table1[[#This Row],[Last_Restock_Date]])</f>
        <v>7</v>
      </c>
      <c r="O38" t="str" cm="1">
        <f t="array" ref="O38">_xlfn.SWITCH(Table1[[#This Row],[Month_Number]],
    1,"Q1",2,"Q1",3,"Q1",
    4,"Q2",5,"Q2",6,"Q2",
    7,"Q3",8,"Q3",9,"Q3",
    10,"Q4",11,"Q4",12,"Q4",
    "Invalid Month"
)</f>
        <v>Q3</v>
      </c>
      <c r="P38" t="str">
        <f>TEXT(Table1[[#This Row],[Last_Restock_Date]],"mmm")</f>
        <v>Jul</v>
      </c>
    </row>
    <row r="39" spans="1:16" x14ac:dyDescent="0.25">
      <c r="A39">
        <v>38</v>
      </c>
      <c r="B39" s="5" t="s">
        <v>22</v>
      </c>
      <c r="C39" s="5" t="s">
        <v>11</v>
      </c>
      <c r="D39" s="5" t="s">
        <v>24</v>
      </c>
      <c r="E39" s="5" t="s">
        <v>27</v>
      </c>
      <c r="F39" s="2">
        <v>39</v>
      </c>
      <c r="G39" s="3">
        <v>137.32</v>
      </c>
      <c r="H39">
        <v>100</v>
      </c>
      <c r="I39">
        <f>IF(Table1[[#This Row],[Status]]= "Sufficient",
     Table1[[#This Row],[Stock_Quantity]] - Table1[[#This Row],[Reorder_Level]],
     0)</f>
        <v>0</v>
      </c>
      <c r="J39" s="4">
        <v>45085</v>
      </c>
      <c r="K39" s="5" t="s">
        <v>28</v>
      </c>
      <c r="L39">
        <f>YEAR(Table1[[#This Row],[Last_Restock_Date]])</f>
        <v>2023</v>
      </c>
      <c r="M39" t="str">
        <f>_xlfn.CONCAT(TEXT(Table1[[#This Row],[Last_Restock_Date]],"mmm"), "-", YEAR(Table1[[#This Row],[Last_Restock_Date]]))</f>
        <v>Jun-2023</v>
      </c>
      <c r="N39">
        <f>MONTH(Table1[[#This Row],[Last_Restock_Date]])</f>
        <v>6</v>
      </c>
      <c r="O39" t="str" cm="1">
        <f t="array" ref="O39">_xlfn.SWITCH(Table1[[#This Row],[Month_Number]],
    1,"Q1",2,"Q1",3,"Q1",
    4,"Q2",5,"Q2",6,"Q2",
    7,"Q3",8,"Q3",9,"Q3",
    10,"Q4",11,"Q4",12,"Q4",
    "Invalid Month"
)</f>
        <v>Q2</v>
      </c>
      <c r="P39" t="str">
        <f>TEXT(Table1[[#This Row],[Last_Restock_Date]],"mmm")</f>
        <v>Jun</v>
      </c>
    </row>
    <row r="40" spans="1:16" x14ac:dyDescent="0.25">
      <c r="A40">
        <v>39</v>
      </c>
      <c r="B40" s="5" t="s">
        <v>47</v>
      </c>
      <c r="C40" s="5" t="s">
        <v>20</v>
      </c>
      <c r="D40" s="5" t="s">
        <v>17</v>
      </c>
      <c r="E40" s="5" t="s">
        <v>39</v>
      </c>
      <c r="F40" s="2">
        <v>440</v>
      </c>
      <c r="G40" s="3">
        <v>627.38</v>
      </c>
      <c r="H40">
        <v>78</v>
      </c>
      <c r="I40">
        <f>IF(Table1[[#This Row],[Status]]= "Sufficient",
     Table1[[#This Row],[Stock_Quantity]] - Table1[[#This Row],[Reorder_Level]],
     0)</f>
        <v>362</v>
      </c>
      <c r="J40" s="4">
        <v>45103</v>
      </c>
      <c r="K40" s="5" t="s">
        <v>14</v>
      </c>
      <c r="L40">
        <f>YEAR(Table1[[#This Row],[Last_Restock_Date]])</f>
        <v>2023</v>
      </c>
      <c r="M40" t="str">
        <f>_xlfn.CONCAT(TEXT(Table1[[#This Row],[Last_Restock_Date]],"mmm"), "-", YEAR(Table1[[#This Row],[Last_Restock_Date]]))</f>
        <v>Jun-2023</v>
      </c>
      <c r="N40">
        <f>MONTH(Table1[[#This Row],[Last_Restock_Date]])</f>
        <v>6</v>
      </c>
      <c r="O40" t="str" cm="1">
        <f t="array" ref="O40">_xlfn.SWITCH(Table1[[#This Row],[Month_Number]],
    1,"Q1",2,"Q1",3,"Q1",
    4,"Q2",5,"Q2",6,"Q2",
    7,"Q3",8,"Q3",9,"Q3",
    10,"Q4",11,"Q4",12,"Q4",
    "Invalid Month"
)</f>
        <v>Q2</v>
      </c>
      <c r="P40" t="str">
        <f>TEXT(Table1[[#This Row],[Last_Restock_Date]],"mmm")</f>
        <v>Jun</v>
      </c>
    </row>
    <row r="41" spans="1:16" x14ac:dyDescent="0.25">
      <c r="A41">
        <v>40</v>
      </c>
      <c r="B41" s="5" t="s">
        <v>46</v>
      </c>
      <c r="C41" s="5" t="s">
        <v>34</v>
      </c>
      <c r="D41" s="5" t="s">
        <v>12</v>
      </c>
      <c r="E41" s="5" t="s">
        <v>32</v>
      </c>
      <c r="F41" s="2">
        <v>72</v>
      </c>
      <c r="G41" s="3">
        <v>411.29</v>
      </c>
      <c r="H41">
        <v>139</v>
      </c>
      <c r="I41">
        <f>IF(Table1[[#This Row],[Status]]= "Sufficient",
     Table1[[#This Row],[Stock_Quantity]] - Table1[[#This Row],[Reorder_Level]],
     0)</f>
        <v>0</v>
      </c>
      <c r="J41" s="4">
        <v>45316</v>
      </c>
      <c r="K41" s="5" t="s">
        <v>28</v>
      </c>
      <c r="L41">
        <f>YEAR(Table1[[#This Row],[Last_Restock_Date]])</f>
        <v>2024</v>
      </c>
      <c r="M41" t="str">
        <f>_xlfn.CONCAT(TEXT(Table1[[#This Row],[Last_Restock_Date]],"mmm"), "-", YEAR(Table1[[#This Row],[Last_Restock_Date]]))</f>
        <v>Jan-2024</v>
      </c>
      <c r="N41">
        <f>MONTH(Table1[[#This Row],[Last_Restock_Date]])</f>
        <v>1</v>
      </c>
      <c r="O41" t="str" cm="1">
        <f t="array" ref="O41">_xlfn.SWITCH(Table1[[#This Row],[Month_Number]],
    1,"Q1",2,"Q1",3,"Q1",
    4,"Q2",5,"Q2",6,"Q2",
    7,"Q3",8,"Q3",9,"Q3",
    10,"Q4",11,"Q4",12,"Q4",
    "Invalid Month"
)</f>
        <v>Q1</v>
      </c>
      <c r="P41" t="str">
        <f>TEXT(Table1[[#This Row],[Last_Restock_Date]],"mmm")</f>
        <v>Jan</v>
      </c>
    </row>
    <row r="42" spans="1:16" x14ac:dyDescent="0.25">
      <c r="A42">
        <v>41</v>
      </c>
      <c r="B42" s="5" t="s">
        <v>43</v>
      </c>
      <c r="C42" s="5" t="s">
        <v>26</v>
      </c>
      <c r="D42" s="5" t="s">
        <v>21</v>
      </c>
      <c r="E42" s="5" t="s">
        <v>39</v>
      </c>
      <c r="F42" s="2">
        <v>373</v>
      </c>
      <c r="G42" s="3">
        <v>27.79</v>
      </c>
      <c r="H42">
        <v>143</v>
      </c>
      <c r="I42">
        <f>IF(Table1[[#This Row],[Status]]= "Sufficient",
     Table1[[#This Row],[Stock_Quantity]] - Table1[[#This Row],[Reorder_Level]],
     0)</f>
        <v>230</v>
      </c>
      <c r="J42" s="4">
        <v>45789</v>
      </c>
      <c r="K42" s="5" t="s">
        <v>14</v>
      </c>
      <c r="L42">
        <f>YEAR(Table1[[#This Row],[Last_Restock_Date]])</f>
        <v>2025</v>
      </c>
      <c r="M42" t="str">
        <f>_xlfn.CONCAT(TEXT(Table1[[#This Row],[Last_Restock_Date]],"mmm"), "-", YEAR(Table1[[#This Row],[Last_Restock_Date]]))</f>
        <v>May-2025</v>
      </c>
      <c r="N42">
        <f>MONTH(Table1[[#This Row],[Last_Restock_Date]])</f>
        <v>5</v>
      </c>
      <c r="O42" t="str" cm="1">
        <f t="array" ref="O42">_xlfn.SWITCH(Table1[[#This Row],[Month_Number]],
    1,"Q1",2,"Q1",3,"Q1",
    4,"Q2",5,"Q2",6,"Q2",
    7,"Q3",8,"Q3",9,"Q3",
    10,"Q4",11,"Q4",12,"Q4",
    "Invalid Month"
)</f>
        <v>Q2</v>
      </c>
      <c r="P42" t="str">
        <f>TEXT(Table1[[#This Row],[Last_Restock_Date]],"mmm")</f>
        <v>May</v>
      </c>
    </row>
    <row r="43" spans="1:16" x14ac:dyDescent="0.25">
      <c r="A43">
        <v>42</v>
      </c>
      <c r="B43" s="5" t="s">
        <v>36</v>
      </c>
      <c r="C43" s="5" t="s">
        <v>11</v>
      </c>
      <c r="D43" s="5" t="s">
        <v>21</v>
      </c>
      <c r="E43" s="5" t="s">
        <v>39</v>
      </c>
      <c r="F43" s="2">
        <v>67</v>
      </c>
      <c r="G43" s="3">
        <v>461.56</v>
      </c>
      <c r="H43">
        <v>144</v>
      </c>
      <c r="I43">
        <f>IF(Table1[[#This Row],[Status]]= "Sufficient",
     Table1[[#This Row],[Stock_Quantity]] - Table1[[#This Row],[Reorder_Level]],
     0)</f>
        <v>0</v>
      </c>
      <c r="J43" s="4">
        <v>45801</v>
      </c>
      <c r="K43" s="5" t="s">
        <v>28</v>
      </c>
      <c r="L43">
        <f>YEAR(Table1[[#This Row],[Last_Restock_Date]])</f>
        <v>2025</v>
      </c>
      <c r="M43" t="str">
        <f>_xlfn.CONCAT(TEXT(Table1[[#This Row],[Last_Restock_Date]],"mmm"), "-", YEAR(Table1[[#This Row],[Last_Restock_Date]]))</f>
        <v>May-2025</v>
      </c>
      <c r="N43">
        <f>MONTH(Table1[[#This Row],[Last_Restock_Date]])</f>
        <v>5</v>
      </c>
      <c r="O43" t="str" cm="1">
        <f t="array" ref="O43">_xlfn.SWITCH(Table1[[#This Row],[Month_Number]],
    1,"Q1",2,"Q1",3,"Q1",
    4,"Q2",5,"Q2",6,"Q2",
    7,"Q3",8,"Q3",9,"Q3",
    10,"Q4",11,"Q4",12,"Q4",
    "Invalid Month"
)</f>
        <v>Q2</v>
      </c>
      <c r="P43" t="str">
        <f>TEXT(Table1[[#This Row],[Last_Restock_Date]],"mmm")</f>
        <v>May</v>
      </c>
    </row>
    <row r="44" spans="1:16" x14ac:dyDescent="0.25">
      <c r="A44">
        <v>43</v>
      </c>
      <c r="B44" s="5" t="s">
        <v>41</v>
      </c>
      <c r="C44" s="5" t="s">
        <v>16</v>
      </c>
      <c r="D44" s="5" t="s">
        <v>12</v>
      </c>
      <c r="E44" s="5" t="s">
        <v>27</v>
      </c>
      <c r="F44" s="2">
        <v>393</v>
      </c>
      <c r="G44" s="3">
        <v>381.01</v>
      </c>
      <c r="H44">
        <v>81</v>
      </c>
      <c r="I44">
        <f>IF(Table1[[#This Row],[Status]]= "Sufficient",
     Table1[[#This Row],[Stock_Quantity]] - Table1[[#This Row],[Reorder_Level]],
     0)</f>
        <v>312</v>
      </c>
      <c r="J44" s="4">
        <v>45714</v>
      </c>
      <c r="K44" s="5" t="s">
        <v>14</v>
      </c>
      <c r="L44">
        <f>YEAR(Table1[[#This Row],[Last_Restock_Date]])</f>
        <v>2025</v>
      </c>
      <c r="M44" t="str">
        <f>_xlfn.CONCAT(TEXT(Table1[[#This Row],[Last_Restock_Date]],"mmm"), "-", YEAR(Table1[[#This Row],[Last_Restock_Date]]))</f>
        <v>Feb-2025</v>
      </c>
      <c r="N44">
        <f>MONTH(Table1[[#This Row],[Last_Restock_Date]])</f>
        <v>2</v>
      </c>
      <c r="O44" t="str" cm="1">
        <f t="array" ref="O44">_xlfn.SWITCH(Table1[[#This Row],[Month_Number]],
    1,"Q1",2,"Q1",3,"Q1",
    4,"Q2",5,"Q2",6,"Q2",
    7,"Q3",8,"Q3",9,"Q3",
    10,"Q4",11,"Q4",12,"Q4",
    "Invalid Month"
)</f>
        <v>Q1</v>
      </c>
      <c r="P44" t="str">
        <f>TEXT(Table1[[#This Row],[Last_Restock_Date]],"mmm")</f>
        <v>Feb</v>
      </c>
    </row>
    <row r="45" spans="1:16" x14ac:dyDescent="0.25">
      <c r="A45">
        <v>44</v>
      </c>
      <c r="B45" s="5" t="s">
        <v>42</v>
      </c>
      <c r="C45" s="5" t="s">
        <v>16</v>
      </c>
      <c r="D45" s="5" t="s">
        <v>17</v>
      </c>
      <c r="E45" s="5" t="s">
        <v>37</v>
      </c>
      <c r="F45" s="2">
        <v>198</v>
      </c>
      <c r="G45" s="3">
        <v>257.85000000000002</v>
      </c>
      <c r="H45">
        <v>87</v>
      </c>
      <c r="I45">
        <f>IF(Table1[[#This Row],[Status]]= "Sufficient",
     Table1[[#This Row],[Stock_Quantity]] - Table1[[#This Row],[Reorder_Level]],
     0)</f>
        <v>111</v>
      </c>
      <c r="J45" s="4">
        <v>45714</v>
      </c>
      <c r="K45" s="5" t="s">
        <v>14</v>
      </c>
      <c r="L45">
        <f>YEAR(Table1[[#This Row],[Last_Restock_Date]])</f>
        <v>2025</v>
      </c>
      <c r="M45" t="str">
        <f>_xlfn.CONCAT(TEXT(Table1[[#This Row],[Last_Restock_Date]],"mmm"), "-", YEAR(Table1[[#This Row],[Last_Restock_Date]]))</f>
        <v>Feb-2025</v>
      </c>
      <c r="N45">
        <f>MONTH(Table1[[#This Row],[Last_Restock_Date]])</f>
        <v>2</v>
      </c>
      <c r="O45" t="str" cm="1">
        <f t="array" ref="O45">_xlfn.SWITCH(Table1[[#This Row],[Month_Number]],
    1,"Q1",2,"Q1",3,"Q1",
    4,"Q2",5,"Q2",6,"Q2",
    7,"Q3",8,"Q3",9,"Q3",
    10,"Q4",11,"Q4",12,"Q4",
    "Invalid Month"
)</f>
        <v>Q1</v>
      </c>
      <c r="P45" t="str">
        <f>TEXT(Table1[[#This Row],[Last_Restock_Date]],"mmm")</f>
        <v>Feb</v>
      </c>
    </row>
    <row r="46" spans="1:16" x14ac:dyDescent="0.25">
      <c r="A46">
        <v>45</v>
      </c>
      <c r="B46" s="5" t="s">
        <v>48</v>
      </c>
      <c r="C46" s="5" t="s">
        <v>20</v>
      </c>
      <c r="D46" s="5" t="s">
        <v>30</v>
      </c>
      <c r="E46" s="5" t="s">
        <v>13</v>
      </c>
      <c r="F46" s="2">
        <v>23</v>
      </c>
      <c r="G46" s="3">
        <v>254.27</v>
      </c>
      <c r="H46">
        <v>54</v>
      </c>
      <c r="I46">
        <f>IF(Table1[[#This Row],[Status]]= "Sufficient",
     Table1[[#This Row],[Stock_Quantity]] - Table1[[#This Row],[Reorder_Level]],
     0)</f>
        <v>0</v>
      </c>
      <c r="J46" s="4">
        <v>44930</v>
      </c>
      <c r="K46" s="5" t="s">
        <v>28</v>
      </c>
      <c r="L46">
        <f>YEAR(Table1[[#This Row],[Last_Restock_Date]])</f>
        <v>2023</v>
      </c>
      <c r="M46" t="str">
        <f>_xlfn.CONCAT(TEXT(Table1[[#This Row],[Last_Restock_Date]],"mmm"), "-", YEAR(Table1[[#This Row],[Last_Restock_Date]]))</f>
        <v>Jan-2023</v>
      </c>
      <c r="N46">
        <f>MONTH(Table1[[#This Row],[Last_Restock_Date]])</f>
        <v>1</v>
      </c>
      <c r="O46" t="str" cm="1">
        <f t="array" ref="O46">_xlfn.SWITCH(Table1[[#This Row],[Month_Number]],
    1,"Q1",2,"Q1",3,"Q1",
    4,"Q2",5,"Q2",6,"Q2",
    7,"Q3",8,"Q3",9,"Q3",
    10,"Q4",11,"Q4",12,"Q4",
    "Invalid Month"
)</f>
        <v>Q1</v>
      </c>
      <c r="P46" t="str">
        <f>TEXT(Table1[[#This Row],[Last_Restock_Date]],"mmm")</f>
        <v>Jan</v>
      </c>
    </row>
    <row r="47" spans="1:16" x14ac:dyDescent="0.25">
      <c r="A47">
        <v>46</v>
      </c>
      <c r="B47" s="5" t="s">
        <v>43</v>
      </c>
      <c r="C47" s="5" t="s">
        <v>26</v>
      </c>
      <c r="D47" s="5" t="s">
        <v>24</v>
      </c>
      <c r="E47" s="5" t="s">
        <v>13</v>
      </c>
      <c r="F47" s="2">
        <v>177</v>
      </c>
      <c r="G47" s="3">
        <v>94.12</v>
      </c>
      <c r="H47">
        <v>84</v>
      </c>
      <c r="I47">
        <f>IF(Table1[[#This Row],[Status]]= "Sufficient",
     Table1[[#This Row],[Stock_Quantity]] - Table1[[#This Row],[Reorder_Level]],
     0)</f>
        <v>93</v>
      </c>
      <c r="J47" s="4">
        <v>45408</v>
      </c>
      <c r="K47" s="5" t="s">
        <v>14</v>
      </c>
      <c r="L47">
        <f>YEAR(Table1[[#This Row],[Last_Restock_Date]])</f>
        <v>2024</v>
      </c>
      <c r="M47" t="str">
        <f>_xlfn.CONCAT(TEXT(Table1[[#This Row],[Last_Restock_Date]],"mmm"), "-", YEAR(Table1[[#This Row],[Last_Restock_Date]]))</f>
        <v>Apr-2024</v>
      </c>
      <c r="N47">
        <f>MONTH(Table1[[#This Row],[Last_Restock_Date]])</f>
        <v>4</v>
      </c>
      <c r="O47" t="str" cm="1">
        <f t="array" ref="O47">_xlfn.SWITCH(Table1[[#This Row],[Month_Number]],
    1,"Q1",2,"Q1",3,"Q1",
    4,"Q2",5,"Q2",6,"Q2",
    7,"Q3",8,"Q3",9,"Q3",
    10,"Q4",11,"Q4",12,"Q4",
    "Invalid Month"
)</f>
        <v>Q2</v>
      </c>
      <c r="P47" t="str">
        <f>TEXT(Table1[[#This Row],[Last_Restock_Date]],"mmm")</f>
        <v>Apr</v>
      </c>
    </row>
    <row r="48" spans="1:16" x14ac:dyDescent="0.25">
      <c r="A48">
        <v>47</v>
      </c>
      <c r="B48" s="5" t="s">
        <v>49</v>
      </c>
      <c r="C48" s="5" t="s">
        <v>16</v>
      </c>
      <c r="D48" s="5" t="s">
        <v>21</v>
      </c>
      <c r="E48" s="5" t="s">
        <v>32</v>
      </c>
      <c r="F48" s="2">
        <v>292</v>
      </c>
      <c r="G48" s="3">
        <v>34.840000000000003</v>
      </c>
      <c r="H48">
        <v>77</v>
      </c>
      <c r="I48">
        <f>IF(Table1[[#This Row],[Status]]= "Sufficient",
     Table1[[#This Row],[Stock_Quantity]] - Table1[[#This Row],[Reorder_Level]],
     0)</f>
        <v>215</v>
      </c>
      <c r="J48" s="4">
        <v>45985</v>
      </c>
      <c r="K48" s="5" t="s">
        <v>14</v>
      </c>
      <c r="L48">
        <f>YEAR(Table1[[#This Row],[Last_Restock_Date]])</f>
        <v>2025</v>
      </c>
      <c r="M48" t="str">
        <f>_xlfn.CONCAT(TEXT(Table1[[#This Row],[Last_Restock_Date]],"mmm"), "-", YEAR(Table1[[#This Row],[Last_Restock_Date]]))</f>
        <v>Nov-2025</v>
      </c>
      <c r="N48">
        <f>MONTH(Table1[[#This Row],[Last_Restock_Date]])</f>
        <v>11</v>
      </c>
      <c r="O48" t="str" cm="1">
        <f t="array" ref="O48">_xlfn.SWITCH(Table1[[#This Row],[Month_Number]],
    1,"Q1",2,"Q1",3,"Q1",
    4,"Q2",5,"Q2",6,"Q2",
    7,"Q3",8,"Q3",9,"Q3",
    10,"Q4",11,"Q4",12,"Q4",
    "Invalid Month"
)</f>
        <v>Q4</v>
      </c>
      <c r="P48" t="str">
        <f>TEXT(Table1[[#This Row],[Last_Restock_Date]],"mmm")</f>
        <v>Nov</v>
      </c>
    </row>
    <row r="49" spans="1:16" x14ac:dyDescent="0.25">
      <c r="A49">
        <v>48</v>
      </c>
      <c r="B49" s="5" t="s">
        <v>10</v>
      </c>
      <c r="C49" s="5" t="s">
        <v>11</v>
      </c>
      <c r="D49" s="5" t="s">
        <v>12</v>
      </c>
      <c r="E49" s="5" t="s">
        <v>18</v>
      </c>
      <c r="F49" s="2">
        <v>340</v>
      </c>
      <c r="G49" s="3">
        <v>537.96</v>
      </c>
      <c r="H49">
        <v>86</v>
      </c>
      <c r="I49">
        <f>IF(Table1[[#This Row],[Status]]= "Sufficient",
     Table1[[#This Row],[Stock_Quantity]] - Table1[[#This Row],[Reorder_Level]],
     0)</f>
        <v>254</v>
      </c>
      <c r="J49" s="4">
        <v>45914</v>
      </c>
      <c r="K49" s="5" t="s">
        <v>14</v>
      </c>
      <c r="L49">
        <f>YEAR(Table1[[#This Row],[Last_Restock_Date]])</f>
        <v>2025</v>
      </c>
      <c r="M49" t="str">
        <f>_xlfn.CONCAT(TEXT(Table1[[#This Row],[Last_Restock_Date]],"mmm"), "-", YEAR(Table1[[#This Row],[Last_Restock_Date]]))</f>
        <v>Sep-2025</v>
      </c>
      <c r="N49">
        <f>MONTH(Table1[[#This Row],[Last_Restock_Date]])</f>
        <v>9</v>
      </c>
      <c r="O49" t="str" cm="1">
        <f t="array" ref="O49">_xlfn.SWITCH(Table1[[#This Row],[Month_Number]],
    1,"Q1",2,"Q1",3,"Q1",
    4,"Q2",5,"Q2",6,"Q2",
    7,"Q3",8,"Q3",9,"Q3",
    10,"Q4",11,"Q4",12,"Q4",
    "Invalid Month"
)</f>
        <v>Q3</v>
      </c>
      <c r="P49" t="str">
        <f>TEXT(Table1[[#This Row],[Last_Restock_Date]],"mmm")</f>
        <v>Sep</v>
      </c>
    </row>
    <row r="50" spans="1:16" x14ac:dyDescent="0.25">
      <c r="A50">
        <v>49</v>
      </c>
      <c r="B50" s="5" t="s">
        <v>49</v>
      </c>
      <c r="C50" s="5" t="s">
        <v>16</v>
      </c>
      <c r="D50" s="5" t="s">
        <v>21</v>
      </c>
      <c r="E50" s="5" t="s">
        <v>32</v>
      </c>
      <c r="F50" s="2">
        <v>138</v>
      </c>
      <c r="G50" s="3">
        <v>680.32</v>
      </c>
      <c r="H50">
        <v>127</v>
      </c>
      <c r="I50">
        <f>IF(Table1[[#This Row],[Status]]= "Sufficient",
     Table1[[#This Row],[Stock_Quantity]] - Table1[[#This Row],[Reorder_Level]],
     0)</f>
        <v>11</v>
      </c>
      <c r="J50" s="4">
        <v>45199</v>
      </c>
      <c r="K50" s="5" t="s">
        <v>14</v>
      </c>
      <c r="L50">
        <f>YEAR(Table1[[#This Row],[Last_Restock_Date]])</f>
        <v>2023</v>
      </c>
      <c r="M50" t="str">
        <f>_xlfn.CONCAT(TEXT(Table1[[#This Row],[Last_Restock_Date]],"mmm"), "-", YEAR(Table1[[#This Row],[Last_Restock_Date]]))</f>
        <v>Sep-2023</v>
      </c>
      <c r="N50">
        <f>MONTH(Table1[[#This Row],[Last_Restock_Date]])</f>
        <v>9</v>
      </c>
      <c r="O50" t="str" cm="1">
        <f t="array" ref="O50">_xlfn.SWITCH(Table1[[#This Row],[Month_Number]],
    1,"Q1",2,"Q1",3,"Q1",
    4,"Q2",5,"Q2",6,"Q2",
    7,"Q3",8,"Q3",9,"Q3",
    10,"Q4",11,"Q4",12,"Q4",
    "Invalid Month"
)</f>
        <v>Q3</v>
      </c>
      <c r="P50" t="str">
        <f>TEXT(Table1[[#This Row],[Last_Restock_Date]],"mmm")</f>
        <v>Sep</v>
      </c>
    </row>
    <row r="51" spans="1:16" x14ac:dyDescent="0.25">
      <c r="A51">
        <v>50</v>
      </c>
      <c r="B51" s="5" t="s">
        <v>48</v>
      </c>
      <c r="C51" s="5" t="s">
        <v>20</v>
      </c>
      <c r="D51" s="5" t="s">
        <v>12</v>
      </c>
      <c r="E51" s="5" t="s">
        <v>18</v>
      </c>
      <c r="F51" s="2">
        <v>47</v>
      </c>
      <c r="G51" s="3">
        <v>397.9</v>
      </c>
      <c r="H51">
        <v>134</v>
      </c>
      <c r="I51">
        <f>IF(Table1[[#This Row],[Status]]= "Sufficient",
     Table1[[#This Row],[Stock_Quantity]] - Table1[[#This Row],[Reorder_Level]],
     0)</f>
        <v>0</v>
      </c>
      <c r="J51" s="4">
        <v>45300</v>
      </c>
      <c r="K51" s="5" t="s">
        <v>28</v>
      </c>
      <c r="L51">
        <f>YEAR(Table1[[#This Row],[Last_Restock_Date]])</f>
        <v>2024</v>
      </c>
      <c r="M51" t="str">
        <f>_xlfn.CONCAT(TEXT(Table1[[#This Row],[Last_Restock_Date]],"mmm"), "-", YEAR(Table1[[#This Row],[Last_Restock_Date]]))</f>
        <v>Jan-2024</v>
      </c>
      <c r="N51">
        <f>MONTH(Table1[[#This Row],[Last_Restock_Date]])</f>
        <v>1</v>
      </c>
      <c r="O51" t="str" cm="1">
        <f t="array" ref="O51">_xlfn.SWITCH(Table1[[#This Row],[Month_Number]],
    1,"Q1",2,"Q1",3,"Q1",
    4,"Q2",5,"Q2",6,"Q2",
    7,"Q3",8,"Q3",9,"Q3",
    10,"Q4",11,"Q4",12,"Q4",
    "Invalid Month"
)</f>
        <v>Q1</v>
      </c>
      <c r="P51" t="str">
        <f>TEXT(Table1[[#This Row],[Last_Restock_Date]],"mmm")</f>
        <v>Jan</v>
      </c>
    </row>
    <row r="52" spans="1:16" x14ac:dyDescent="0.25">
      <c r="A52">
        <v>51</v>
      </c>
      <c r="B52" s="5" t="s">
        <v>42</v>
      </c>
      <c r="C52" s="5" t="s">
        <v>16</v>
      </c>
      <c r="D52" s="5" t="s">
        <v>24</v>
      </c>
      <c r="E52" s="5" t="s">
        <v>39</v>
      </c>
      <c r="F52" s="2">
        <v>364</v>
      </c>
      <c r="G52" s="3">
        <v>486.52</v>
      </c>
      <c r="H52">
        <v>141</v>
      </c>
      <c r="I52">
        <f>IF(Table1[[#This Row],[Status]]= "Sufficient",
     Table1[[#This Row],[Stock_Quantity]] - Table1[[#This Row],[Reorder_Level]],
     0)</f>
        <v>223</v>
      </c>
      <c r="J52" s="4">
        <v>45397</v>
      </c>
      <c r="K52" s="5" t="s">
        <v>14</v>
      </c>
      <c r="L52">
        <f>YEAR(Table1[[#This Row],[Last_Restock_Date]])</f>
        <v>2024</v>
      </c>
      <c r="M52" t="str">
        <f>_xlfn.CONCAT(TEXT(Table1[[#This Row],[Last_Restock_Date]],"mmm"), "-", YEAR(Table1[[#This Row],[Last_Restock_Date]]))</f>
        <v>Apr-2024</v>
      </c>
      <c r="N52">
        <f>MONTH(Table1[[#This Row],[Last_Restock_Date]])</f>
        <v>4</v>
      </c>
      <c r="O52" t="str" cm="1">
        <f t="array" ref="O52">_xlfn.SWITCH(Table1[[#This Row],[Month_Number]],
    1,"Q1",2,"Q1",3,"Q1",
    4,"Q2",5,"Q2",6,"Q2",
    7,"Q3",8,"Q3",9,"Q3",
    10,"Q4",11,"Q4",12,"Q4",
    "Invalid Month"
)</f>
        <v>Q2</v>
      </c>
      <c r="P52" t="str">
        <f>TEXT(Table1[[#This Row],[Last_Restock_Date]],"mmm")</f>
        <v>Apr</v>
      </c>
    </row>
    <row r="53" spans="1:16" x14ac:dyDescent="0.25">
      <c r="A53">
        <v>52</v>
      </c>
      <c r="B53" s="5" t="s">
        <v>33</v>
      </c>
      <c r="C53" s="5" t="s">
        <v>34</v>
      </c>
      <c r="D53" s="5" t="s">
        <v>30</v>
      </c>
      <c r="E53" s="5" t="s">
        <v>27</v>
      </c>
      <c r="F53" s="2">
        <v>482</v>
      </c>
      <c r="G53" s="3">
        <v>465.28</v>
      </c>
      <c r="H53">
        <v>117</v>
      </c>
      <c r="I53">
        <f>IF(Table1[[#This Row],[Status]]= "Sufficient",
     Table1[[#This Row],[Stock_Quantity]] - Table1[[#This Row],[Reorder_Level]],
     0)</f>
        <v>365</v>
      </c>
      <c r="J53" s="4">
        <v>45602</v>
      </c>
      <c r="K53" s="5" t="s">
        <v>14</v>
      </c>
      <c r="L53">
        <f>YEAR(Table1[[#This Row],[Last_Restock_Date]])</f>
        <v>2024</v>
      </c>
      <c r="M53" t="str">
        <f>_xlfn.CONCAT(TEXT(Table1[[#This Row],[Last_Restock_Date]],"mmm"), "-", YEAR(Table1[[#This Row],[Last_Restock_Date]]))</f>
        <v>Nov-2024</v>
      </c>
      <c r="N53">
        <f>MONTH(Table1[[#This Row],[Last_Restock_Date]])</f>
        <v>11</v>
      </c>
      <c r="O53" t="str" cm="1">
        <f t="array" ref="O53">_xlfn.SWITCH(Table1[[#This Row],[Month_Number]],
    1,"Q1",2,"Q1",3,"Q1",
    4,"Q2",5,"Q2",6,"Q2",
    7,"Q3",8,"Q3",9,"Q3",
    10,"Q4",11,"Q4",12,"Q4",
    "Invalid Month"
)</f>
        <v>Q4</v>
      </c>
      <c r="P53" t="str">
        <f>TEXT(Table1[[#This Row],[Last_Restock_Date]],"mmm")</f>
        <v>Nov</v>
      </c>
    </row>
    <row r="54" spans="1:16" x14ac:dyDescent="0.25">
      <c r="A54">
        <v>53</v>
      </c>
      <c r="B54" s="5" t="s">
        <v>25</v>
      </c>
      <c r="C54" s="5" t="s">
        <v>26</v>
      </c>
      <c r="D54" s="5" t="s">
        <v>30</v>
      </c>
      <c r="E54" s="5" t="s">
        <v>32</v>
      </c>
      <c r="F54" s="2">
        <v>284</v>
      </c>
      <c r="G54" s="3">
        <v>493.62</v>
      </c>
      <c r="H54">
        <v>73</v>
      </c>
      <c r="I54">
        <f>IF(Table1[[#This Row],[Status]]= "Sufficient",
     Table1[[#This Row],[Stock_Quantity]] - Table1[[#This Row],[Reorder_Level]],
     0)</f>
        <v>211</v>
      </c>
      <c r="J54" s="4">
        <v>45918</v>
      </c>
      <c r="K54" s="5" t="s">
        <v>14</v>
      </c>
      <c r="L54">
        <f>YEAR(Table1[[#This Row],[Last_Restock_Date]])</f>
        <v>2025</v>
      </c>
      <c r="M54" t="str">
        <f>_xlfn.CONCAT(TEXT(Table1[[#This Row],[Last_Restock_Date]],"mmm"), "-", YEAR(Table1[[#This Row],[Last_Restock_Date]]))</f>
        <v>Sep-2025</v>
      </c>
      <c r="N54">
        <f>MONTH(Table1[[#This Row],[Last_Restock_Date]])</f>
        <v>9</v>
      </c>
      <c r="O54" t="str" cm="1">
        <f t="array" ref="O54">_xlfn.SWITCH(Table1[[#This Row],[Month_Number]],
    1,"Q1",2,"Q1",3,"Q1",
    4,"Q2",5,"Q2",6,"Q2",
    7,"Q3",8,"Q3",9,"Q3",
    10,"Q4",11,"Q4",12,"Q4",
    "Invalid Month"
)</f>
        <v>Q3</v>
      </c>
      <c r="P54" t="str">
        <f>TEXT(Table1[[#This Row],[Last_Restock_Date]],"mmm")</f>
        <v>Sep</v>
      </c>
    </row>
    <row r="55" spans="1:16" x14ac:dyDescent="0.25">
      <c r="A55">
        <v>54</v>
      </c>
      <c r="B55" s="5" t="s">
        <v>22</v>
      </c>
      <c r="C55" s="5" t="s">
        <v>11</v>
      </c>
      <c r="D55" s="5" t="s">
        <v>30</v>
      </c>
      <c r="E55" s="5" t="s">
        <v>18</v>
      </c>
      <c r="F55" s="2">
        <v>134</v>
      </c>
      <c r="G55" s="3">
        <v>383.83</v>
      </c>
      <c r="H55">
        <v>128</v>
      </c>
      <c r="I55">
        <f>IF(Table1[[#This Row],[Status]]= "Sufficient",
     Table1[[#This Row],[Stock_Quantity]] - Table1[[#This Row],[Reorder_Level]],
     0)</f>
        <v>6</v>
      </c>
      <c r="J55" s="4">
        <v>45754</v>
      </c>
      <c r="K55" s="5" t="s">
        <v>14</v>
      </c>
      <c r="L55">
        <f>YEAR(Table1[[#This Row],[Last_Restock_Date]])</f>
        <v>2025</v>
      </c>
      <c r="M55" t="str">
        <f>_xlfn.CONCAT(TEXT(Table1[[#This Row],[Last_Restock_Date]],"mmm"), "-", YEAR(Table1[[#This Row],[Last_Restock_Date]]))</f>
        <v>Apr-2025</v>
      </c>
      <c r="N55">
        <f>MONTH(Table1[[#This Row],[Last_Restock_Date]])</f>
        <v>4</v>
      </c>
      <c r="O55" t="str" cm="1">
        <f t="array" ref="O55">_xlfn.SWITCH(Table1[[#This Row],[Month_Number]],
    1,"Q1",2,"Q1",3,"Q1",
    4,"Q2",5,"Q2",6,"Q2",
    7,"Q3",8,"Q3",9,"Q3",
    10,"Q4",11,"Q4",12,"Q4",
    "Invalid Month"
)</f>
        <v>Q2</v>
      </c>
      <c r="P55" t="str">
        <f>TEXT(Table1[[#This Row],[Last_Restock_Date]],"mmm")</f>
        <v>Apr</v>
      </c>
    </row>
    <row r="56" spans="1:16" x14ac:dyDescent="0.25">
      <c r="A56">
        <v>55</v>
      </c>
      <c r="B56" s="5" t="s">
        <v>44</v>
      </c>
      <c r="C56" s="5" t="s">
        <v>34</v>
      </c>
      <c r="D56" s="5" t="s">
        <v>12</v>
      </c>
      <c r="E56" s="5" t="s">
        <v>18</v>
      </c>
      <c r="F56" s="2">
        <v>194</v>
      </c>
      <c r="G56" s="3">
        <v>287.77999999999997</v>
      </c>
      <c r="H56">
        <v>103</v>
      </c>
      <c r="I56">
        <f>IF(Table1[[#This Row],[Status]]= "Sufficient",
     Table1[[#This Row],[Stock_Quantity]] - Table1[[#This Row],[Reorder_Level]],
     0)</f>
        <v>91</v>
      </c>
      <c r="J56" s="4">
        <v>45963</v>
      </c>
      <c r="K56" s="5" t="s">
        <v>14</v>
      </c>
      <c r="L56">
        <f>YEAR(Table1[[#This Row],[Last_Restock_Date]])</f>
        <v>2025</v>
      </c>
      <c r="M56" t="str">
        <f>_xlfn.CONCAT(TEXT(Table1[[#This Row],[Last_Restock_Date]],"mmm"), "-", YEAR(Table1[[#This Row],[Last_Restock_Date]]))</f>
        <v>Nov-2025</v>
      </c>
      <c r="N56">
        <f>MONTH(Table1[[#This Row],[Last_Restock_Date]])</f>
        <v>11</v>
      </c>
      <c r="O56" t="str" cm="1">
        <f t="array" ref="O56">_xlfn.SWITCH(Table1[[#This Row],[Month_Number]],
    1,"Q1",2,"Q1",3,"Q1",
    4,"Q2",5,"Q2",6,"Q2",
    7,"Q3",8,"Q3",9,"Q3",
    10,"Q4",11,"Q4",12,"Q4",
    "Invalid Month"
)</f>
        <v>Q4</v>
      </c>
      <c r="P56" t="str">
        <f>TEXT(Table1[[#This Row],[Last_Restock_Date]],"mmm")</f>
        <v>Nov</v>
      </c>
    </row>
    <row r="57" spans="1:16" x14ac:dyDescent="0.25">
      <c r="A57">
        <v>56</v>
      </c>
      <c r="B57" s="5" t="s">
        <v>44</v>
      </c>
      <c r="C57" s="5" t="s">
        <v>34</v>
      </c>
      <c r="D57" s="5" t="s">
        <v>17</v>
      </c>
      <c r="E57" s="5" t="s">
        <v>18</v>
      </c>
      <c r="F57" s="2">
        <v>323</v>
      </c>
      <c r="G57" s="3">
        <v>51.27</v>
      </c>
      <c r="H57">
        <v>88</v>
      </c>
      <c r="I57">
        <f>IF(Table1[[#This Row],[Status]]= "Sufficient",
     Table1[[#This Row],[Stock_Quantity]] - Table1[[#This Row],[Reorder_Level]],
     0)</f>
        <v>235</v>
      </c>
      <c r="J57" s="4">
        <v>45552</v>
      </c>
      <c r="K57" s="5" t="s">
        <v>14</v>
      </c>
      <c r="L57">
        <f>YEAR(Table1[[#This Row],[Last_Restock_Date]])</f>
        <v>2024</v>
      </c>
      <c r="M57" t="str">
        <f>_xlfn.CONCAT(TEXT(Table1[[#This Row],[Last_Restock_Date]],"mmm"), "-", YEAR(Table1[[#This Row],[Last_Restock_Date]]))</f>
        <v>Sep-2024</v>
      </c>
      <c r="N57">
        <f>MONTH(Table1[[#This Row],[Last_Restock_Date]])</f>
        <v>9</v>
      </c>
      <c r="O57" t="str" cm="1">
        <f t="array" ref="O57">_xlfn.SWITCH(Table1[[#This Row],[Month_Number]],
    1,"Q1",2,"Q1",3,"Q1",
    4,"Q2",5,"Q2",6,"Q2",
    7,"Q3",8,"Q3",9,"Q3",
    10,"Q4",11,"Q4",12,"Q4",
    "Invalid Month"
)</f>
        <v>Q3</v>
      </c>
      <c r="P57" t="str">
        <f>TEXT(Table1[[#This Row],[Last_Restock_Date]],"mmm")</f>
        <v>Sep</v>
      </c>
    </row>
    <row r="58" spans="1:16" x14ac:dyDescent="0.25">
      <c r="A58">
        <v>57</v>
      </c>
      <c r="B58" s="5" t="s">
        <v>43</v>
      </c>
      <c r="C58" s="5" t="s">
        <v>26</v>
      </c>
      <c r="D58" s="5" t="s">
        <v>17</v>
      </c>
      <c r="E58" s="5" t="s">
        <v>18</v>
      </c>
      <c r="F58" s="2">
        <v>49</v>
      </c>
      <c r="G58" s="3">
        <v>86.68</v>
      </c>
      <c r="H58">
        <v>114</v>
      </c>
      <c r="I58">
        <f>IF(Table1[[#This Row],[Status]]= "Sufficient",
     Table1[[#This Row],[Stock_Quantity]] - Table1[[#This Row],[Reorder_Level]],
     0)</f>
        <v>0</v>
      </c>
      <c r="J58" s="4">
        <v>45680</v>
      </c>
      <c r="K58" s="5" t="s">
        <v>28</v>
      </c>
      <c r="L58">
        <f>YEAR(Table1[[#This Row],[Last_Restock_Date]])</f>
        <v>2025</v>
      </c>
      <c r="M58" t="str">
        <f>_xlfn.CONCAT(TEXT(Table1[[#This Row],[Last_Restock_Date]],"mmm"), "-", YEAR(Table1[[#This Row],[Last_Restock_Date]]))</f>
        <v>Jan-2025</v>
      </c>
      <c r="N58">
        <f>MONTH(Table1[[#This Row],[Last_Restock_Date]])</f>
        <v>1</v>
      </c>
      <c r="O58" t="str" cm="1">
        <f t="array" ref="O58">_xlfn.SWITCH(Table1[[#This Row],[Month_Number]],
    1,"Q1",2,"Q1",3,"Q1",
    4,"Q2",5,"Q2",6,"Q2",
    7,"Q3",8,"Q3",9,"Q3",
    10,"Q4",11,"Q4",12,"Q4",
    "Invalid Month"
)</f>
        <v>Q1</v>
      </c>
      <c r="P58" t="str">
        <f>TEXT(Table1[[#This Row],[Last_Restock_Date]],"mmm")</f>
        <v>Jan</v>
      </c>
    </row>
    <row r="59" spans="1:16" x14ac:dyDescent="0.25">
      <c r="A59">
        <v>58</v>
      </c>
      <c r="B59" s="5" t="s">
        <v>33</v>
      </c>
      <c r="C59" s="5" t="s">
        <v>34</v>
      </c>
      <c r="D59" s="5" t="s">
        <v>12</v>
      </c>
      <c r="E59" s="5" t="s">
        <v>37</v>
      </c>
      <c r="F59" s="2">
        <v>387</v>
      </c>
      <c r="G59" s="3">
        <v>108.51</v>
      </c>
      <c r="H59">
        <v>53</v>
      </c>
      <c r="I59">
        <f>IF(Table1[[#This Row],[Status]]= "Sufficient",
     Table1[[#This Row],[Stock_Quantity]] - Table1[[#This Row],[Reorder_Level]],
     0)</f>
        <v>334</v>
      </c>
      <c r="J59" s="4">
        <v>45613</v>
      </c>
      <c r="K59" s="5" t="s">
        <v>14</v>
      </c>
      <c r="L59">
        <f>YEAR(Table1[[#This Row],[Last_Restock_Date]])</f>
        <v>2024</v>
      </c>
      <c r="M59" t="str">
        <f>_xlfn.CONCAT(TEXT(Table1[[#This Row],[Last_Restock_Date]],"mmm"), "-", YEAR(Table1[[#This Row],[Last_Restock_Date]]))</f>
        <v>Nov-2024</v>
      </c>
      <c r="N59">
        <f>MONTH(Table1[[#This Row],[Last_Restock_Date]])</f>
        <v>11</v>
      </c>
      <c r="O59" t="str" cm="1">
        <f t="array" ref="O59">_xlfn.SWITCH(Table1[[#This Row],[Month_Number]],
    1,"Q1",2,"Q1",3,"Q1",
    4,"Q2",5,"Q2",6,"Q2",
    7,"Q3",8,"Q3",9,"Q3",
    10,"Q4",11,"Q4",12,"Q4",
    "Invalid Month"
)</f>
        <v>Q4</v>
      </c>
      <c r="P59" t="str">
        <f>TEXT(Table1[[#This Row],[Last_Restock_Date]],"mmm")</f>
        <v>Nov</v>
      </c>
    </row>
    <row r="60" spans="1:16" x14ac:dyDescent="0.25">
      <c r="A60">
        <v>59</v>
      </c>
      <c r="B60" s="5" t="s">
        <v>45</v>
      </c>
      <c r="C60" s="5" t="s">
        <v>26</v>
      </c>
      <c r="D60" s="5" t="s">
        <v>24</v>
      </c>
      <c r="E60" s="5" t="s">
        <v>27</v>
      </c>
      <c r="F60" s="2">
        <v>409</v>
      </c>
      <c r="G60" s="3">
        <v>307.68</v>
      </c>
      <c r="H60">
        <v>61</v>
      </c>
      <c r="I60">
        <f>IF(Table1[[#This Row],[Status]]= "Sufficient",
     Table1[[#This Row],[Stock_Quantity]] - Table1[[#This Row],[Reorder_Level]],
     0)</f>
        <v>348</v>
      </c>
      <c r="J60" s="4">
        <v>45124</v>
      </c>
      <c r="K60" s="5" t="s">
        <v>14</v>
      </c>
      <c r="L60">
        <f>YEAR(Table1[[#This Row],[Last_Restock_Date]])</f>
        <v>2023</v>
      </c>
      <c r="M60" t="str">
        <f>_xlfn.CONCAT(TEXT(Table1[[#This Row],[Last_Restock_Date]],"mmm"), "-", YEAR(Table1[[#This Row],[Last_Restock_Date]]))</f>
        <v>Jul-2023</v>
      </c>
      <c r="N60">
        <f>MONTH(Table1[[#This Row],[Last_Restock_Date]])</f>
        <v>7</v>
      </c>
      <c r="O60" t="str" cm="1">
        <f t="array" ref="O60">_xlfn.SWITCH(Table1[[#This Row],[Month_Number]],
    1,"Q1",2,"Q1",3,"Q1",
    4,"Q2",5,"Q2",6,"Q2",
    7,"Q3",8,"Q3",9,"Q3",
    10,"Q4",11,"Q4",12,"Q4",
    "Invalid Month"
)</f>
        <v>Q3</v>
      </c>
      <c r="P60" t="str">
        <f>TEXT(Table1[[#This Row],[Last_Restock_Date]],"mmm")</f>
        <v>Jul</v>
      </c>
    </row>
    <row r="61" spans="1:16" x14ac:dyDescent="0.25">
      <c r="A61">
        <v>60</v>
      </c>
      <c r="B61" s="5" t="s">
        <v>25</v>
      </c>
      <c r="C61" s="5" t="s">
        <v>26</v>
      </c>
      <c r="D61" s="5" t="s">
        <v>24</v>
      </c>
      <c r="E61" s="5" t="s">
        <v>32</v>
      </c>
      <c r="F61" s="2">
        <v>459</v>
      </c>
      <c r="G61" s="3">
        <v>396.69</v>
      </c>
      <c r="H61">
        <v>95</v>
      </c>
      <c r="I61">
        <f>IF(Table1[[#This Row],[Status]]= "Sufficient",
     Table1[[#This Row],[Stock_Quantity]] - Table1[[#This Row],[Reorder_Level]],
     0)</f>
        <v>364</v>
      </c>
      <c r="J61" s="4">
        <v>45902</v>
      </c>
      <c r="K61" s="5" t="s">
        <v>14</v>
      </c>
      <c r="L61">
        <f>YEAR(Table1[[#This Row],[Last_Restock_Date]])</f>
        <v>2025</v>
      </c>
      <c r="M61" t="str">
        <f>_xlfn.CONCAT(TEXT(Table1[[#This Row],[Last_Restock_Date]],"mmm"), "-", YEAR(Table1[[#This Row],[Last_Restock_Date]]))</f>
        <v>Sep-2025</v>
      </c>
      <c r="N61">
        <f>MONTH(Table1[[#This Row],[Last_Restock_Date]])</f>
        <v>9</v>
      </c>
      <c r="O61" t="str" cm="1">
        <f t="array" ref="O61">_xlfn.SWITCH(Table1[[#This Row],[Month_Number]],
    1,"Q1",2,"Q1",3,"Q1",
    4,"Q2",5,"Q2",6,"Q2",
    7,"Q3",8,"Q3",9,"Q3",
    10,"Q4",11,"Q4",12,"Q4",
    "Invalid Month"
)</f>
        <v>Q3</v>
      </c>
      <c r="P61" t="str">
        <f>TEXT(Table1[[#This Row],[Last_Restock_Date]],"mmm")</f>
        <v>Sep</v>
      </c>
    </row>
    <row r="62" spans="1:16" x14ac:dyDescent="0.25">
      <c r="A62">
        <v>61</v>
      </c>
      <c r="B62" s="5" t="s">
        <v>50</v>
      </c>
      <c r="C62" s="5" t="s">
        <v>34</v>
      </c>
      <c r="D62" s="5" t="s">
        <v>24</v>
      </c>
      <c r="E62" s="5" t="s">
        <v>39</v>
      </c>
      <c r="F62" s="2">
        <v>369</v>
      </c>
      <c r="G62" s="3">
        <v>474.74</v>
      </c>
      <c r="H62">
        <v>54</v>
      </c>
      <c r="I62">
        <f>IF(Table1[[#This Row],[Status]]= "Sufficient",
     Table1[[#This Row],[Stock_Quantity]] - Table1[[#This Row],[Reorder_Level]],
     0)</f>
        <v>315</v>
      </c>
      <c r="J62" s="4">
        <v>45446</v>
      </c>
      <c r="K62" s="5" t="s">
        <v>14</v>
      </c>
      <c r="L62">
        <f>YEAR(Table1[[#This Row],[Last_Restock_Date]])</f>
        <v>2024</v>
      </c>
      <c r="M62" t="str">
        <f>_xlfn.CONCAT(TEXT(Table1[[#This Row],[Last_Restock_Date]],"mmm"), "-", YEAR(Table1[[#This Row],[Last_Restock_Date]]))</f>
        <v>Jun-2024</v>
      </c>
      <c r="N62">
        <f>MONTH(Table1[[#This Row],[Last_Restock_Date]])</f>
        <v>6</v>
      </c>
      <c r="O62" t="str" cm="1">
        <f t="array" ref="O62">_xlfn.SWITCH(Table1[[#This Row],[Month_Number]],
    1,"Q1",2,"Q1",3,"Q1",
    4,"Q2",5,"Q2",6,"Q2",
    7,"Q3",8,"Q3",9,"Q3",
    10,"Q4",11,"Q4",12,"Q4",
    "Invalid Month"
)</f>
        <v>Q2</v>
      </c>
      <c r="P62" t="str">
        <f>TEXT(Table1[[#This Row],[Last_Restock_Date]],"mmm")</f>
        <v>Jun</v>
      </c>
    </row>
    <row r="63" spans="1:16" x14ac:dyDescent="0.25">
      <c r="A63">
        <v>62</v>
      </c>
      <c r="B63" s="5" t="s">
        <v>41</v>
      </c>
      <c r="C63" s="5" t="s">
        <v>16</v>
      </c>
      <c r="D63" s="5" t="s">
        <v>24</v>
      </c>
      <c r="E63" s="5" t="s">
        <v>32</v>
      </c>
      <c r="F63" s="2">
        <v>71</v>
      </c>
      <c r="G63" s="3">
        <v>14.42</v>
      </c>
      <c r="H63">
        <v>92</v>
      </c>
      <c r="I63">
        <f>IF(Table1[[#This Row],[Status]]= "Sufficient",
     Table1[[#This Row],[Stock_Quantity]] - Table1[[#This Row],[Reorder_Level]],
     0)</f>
        <v>0</v>
      </c>
      <c r="J63" s="4">
        <v>45097</v>
      </c>
      <c r="K63" s="5" t="s">
        <v>28</v>
      </c>
      <c r="L63">
        <f>YEAR(Table1[[#This Row],[Last_Restock_Date]])</f>
        <v>2023</v>
      </c>
      <c r="M63" t="str">
        <f>_xlfn.CONCAT(TEXT(Table1[[#This Row],[Last_Restock_Date]],"mmm"), "-", YEAR(Table1[[#This Row],[Last_Restock_Date]]))</f>
        <v>Jun-2023</v>
      </c>
      <c r="N63">
        <f>MONTH(Table1[[#This Row],[Last_Restock_Date]])</f>
        <v>6</v>
      </c>
      <c r="O63" t="str" cm="1">
        <f t="array" ref="O63">_xlfn.SWITCH(Table1[[#This Row],[Month_Number]],
    1,"Q1",2,"Q1",3,"Q1",
    4,"Q2",5,"Q2",6,"Q2",
    7,"Q3",8,"Q3",9,"Q3",
    10,"Q4",11,"Q4",12,"Q4",
    "Invalid Month"
)</f>
        <v>Q2</v>
      </c>
      <c r="P63" t="str">
        <f>TEXT(Table1[[#This Row],[Last_Restock_Date]],"mmm")</f>
        <v>Jun</v>
      </c>
    </row>
    <row r="64" spans="1:16" x14ac:dyDescent="0.25">
      <c r="A64">
        <v>63</v>
      </c>
      <c r="B64" s="5" t="s">
        <v>31</v>
      </c>
      <c r="C64" s="5" t="s">
        <v>20</v>
      </c>
      <c r="D64" s="5" t="s">
        <v>17</v>
      </c>
      <c r="E64" s="5" t="s">
        <v>39</v>
      </c>
      <c r="F64" s="2">
        <v>390</v>
      </c>
      <c r="G64" s="3">
        <v>688.76</v>
      </c>
      <c r="H64">
        <v>77</v>
      </c>
      <c r="I64">
        <f>IF(Table1[[#This Row],[Status]]= "Sufficient",
     Table1[[#This Row],[Stock_Quantity]] - Table1[[#This Row],[Reorder_Level]],
     0)</f>
        <v>313</v>
      </c>
      <c r="J64" s="4">
        <v>45314</v>
      </c>
      <c r="K64" s="5" t="s">
        <v>14</v>
      </c>
      <c r="L64">
        <f>YEAR(Table1[[#This Row],[Last_Restock_Date]])</f>
        <v>2024</v>
      </c>
      <c r="M64" t="str">
        <f>_xlfn.CONCAT(TEXT(Table1[[#This Row],[Last_Restock_Date]],"mmm"), "-", YEAR(Table1[[#This Row],[Last_Restock_Date]]))</f>
        <v>Jan-2024</v>
      </c>
      <c r="N64">
        <f>MONTH(Table1[[#This Row],[Last_Restock_Date]])</f>
        <v>1</v>
      </c>
      <c r="O64" t="str" cm="1">
        <f t="array" ref="O64">_xlfn.SWITCH(Table1[[#This Row],[Month_Number]],
    1,"Q1",2,"Q1",3,"Q1",
    4,"Q2",5,"Q2",6,"Q2",
    7,"Q3",8,"Q3",9,"Q3",
    10,"Q4",11,"Q4",12,"Q4",
    "Invalid Month"
)</f>
        <v>Q1</v>
      </c>
      <c r="P64" t="str">
        <f>TEXT(Table1[[#This Row],[Last_Restock_Date]],"mmm")</f>
        <v>Jan</v>
      </c>
    </row>
    <row r="65" spans="1:16" x14ac:dyDescent="0.25">
      <c r="A65">
        <v>64</v>
      </c>
      <c r="B65" s="5" t="s">
        <v>43</v>
      </c>
      <c r="C65" s="5" t="s">
        <v>26</v>
      </c>
      <c r="D65" s="5" t="s">
        <v>12</v>
      </c>
      <c r="E65" s="5" t="s">
        <v>39</v>
      </c>
      <c r="F65" s="2">
        <v>347</v>
      </c>
      <c r="G65" s="3">
        <v>788.98</v>
      </c>
      <c r="H65">
        <v>106</v>
      </c>
      <c r="I65">
        <f>IF(Table1[[#This Row],[Status]]= "Sufficient",
     Table1[[#This Row],[Stock_Quantity]] - Table1[[#This Row],[Reorder_Level]],
     0)</f>
        <v>241</v>
      </c>
      <c r="J65" s="4">
        <v>45951</v>
      </c>
      <c r="K65" s="5" t="s">
        <v>14</v>
      </c>
      <c r="L65">
        <f>YEAR(Table1[[#This Row],[Last_Restock_Date]])</f>
        <v>2025</v>
      </c>
      <c r="M65" t="str">
        <f>_xlfn.CONCAT(TEXT(Table1[[#This Row],[Last_Restock_Date]],"mmm"), "-", YEAR(Table1[[#This Row],[Last_Restock_Date]]))</f>
        <v>Oct-2025</v>
      </c>
      <c r="N65">
        <f>MONTH(Table1[[#This Row],[Last_Restock_Date]])</f>
        <v>10</v>
      </c>
      <c r="O65" t="str" cm="1">
        <f t="array" ref="O65">_xlfn.SWITCH(Table1[[#This Row],[Month_Number]],
    1,"Q1",2,"Q1",3,"Q1",
    4,"Q2",5,"Q2",6,"Q2",
    7,"Q3",8,"Q3",9,"Q3",
    10,"Q4",11,"Q4",12,"Q4",
    "Invalid Month"
)</f>
        <v>Q4</v>
      </c>
      <c r="P65" t="str">
        <f>TEXT(Table1[[#This Row],[Last_Restock_Date]],"mmm")</f>
        <v>Oct</v>
      </c>
    </row>
    <row r="66" spans="1:16" x14ac:dyDescent="0.25">
      <c r="A66">
        <v>65</v>
      </c>
      <c r="B66" s="5" t="s">
        <v>25</v>
      </c>
      <c r="C66" s="5" t="s">
        <v>26</v>
      </c>
      <c r="D66" s="5" t="s">
        <v>17</v>
      </c>
      <c r="E66" s="5" t="s">
        <v>13</v>
      </c>
      <c r="F66" s="2">
        <v>348</v>
      </c>
      <c r="G66" s="3">
        <v>706.89</v>
      </c>
      <c r="H66">
        <v>128</v>
      </c>
      <c r="I66">
        <f>IF(Table1[[#This Row],[Status]]= "Sufficient",
     Table1[[#This Row],[Stock_Quantity]] - Table1[[#This Row],[Reorder_Level]],
     0)</f>
        <v>220</v>
      </c>
      <c r="J66" s="4">
        <v>45183</v>
      </c>
      <c r="K66" s="5" t="s">
        <v>14</v>
      </c>
      <c r="L66">
        <f>YEAR(Table1[[#This Row],[Last_Restock_Date]])</f>
        <v>2023</v>
      </c>
      <c r="M66" t="str">
        <f>_xlfn.CONCAT(TEXT(Table1[[#This Row],[Last_Restock_Date]],"mmm"), "-", YEAR(Table1[[#This Row],[Last_Restock_Date]]))</f>
        <v>Sep-2023</v>
      </c>
      <c r="N66">
        <f>MONTH(Table1[[#This Row],[Last_Restock_Date]])</f>
        <v>9</v>
      </c>
      <c r="O66" t="str" cm="1">
        <f t="array" ref="O66">_xlfn.SWITCH(Table1[[#This Row],[Month_Number]],
    1,"Q1",2,"Q1",3,"Q1",
    4,"Q2",5,"Q2",6,"Q2",
    7,"Q3",8,"Q3",9,"Q3",
    10,"Q4",11,"Q4",12,"Q4",
    "Invalid Month"
)</f>
        <v>Q3</v>
      </c>
      <c r="P66" t="str">
        <f>TEXT(Table1[[#This Row],[Last_Restock_Date]],"mmm")</f>
        <v>Sep</v>
      </c>
    </row>
    <row r="67" spans="1:16" x14ac:dyDescent="0.25">
      <c r="A67">
        <v>66</v>
      </c>
      <c r="B67" s="5" t="s">
        <v>19</v>
      </c>
      <c r="C67" s="5" t="s">
        <v>20</v>
      </c>
      <c r="D67" s="5" t="s">
        <v>24</v>
      </c>
      <c r="E67" s="5" t="s">
        <v>13</v>
      </c>
      <c r="F67" s="2">
        <v>491</v>
      </c>
      <c r="G67" s="3">
        <v>773.15</v>
      </c>
      <c r="H67">
        <v>128</v>
      </c>
      <c r="I67">
        <f>IF(Table1[[#This Row],[Status]]= "Sufficient",
     Table1[[#This Row],[Stock_Quantity]] - Table1[[#This Row],[Reorder_Level]],
     0)</f>
        <v>363</v>
      </c>
      <c r="J67" s="4">
        <v>45279</v>
      </c>
      <c r="K67" s="5" t="s">
        <v>14</v>
      </c>
      <c r="L67">
        <f>YEAR(Table1[[#This Row],[Last_Restock_Date]])</f>
        <v>2023</v>
      </c>
      <c r="M67" t="str">
        <f>_xlfn.CONCAT(TEXT(Table1[[#This Row],[Last_Restock_Date]],"mmm"), "-", YEAR(Table1[[#This Row],[Last_Restock_Date]]))</f>
        <v>Dec-2023</v>
      </c>
      <c r="N67">
        <f>MONTH(Table1[[#This Row],[Last_Restock_Date]])</f>
        <v>12</v>
      </c>
      <c r="O67" t="str" cm="1">
        <f t="array" ref="O67">_xlfn.SWITCH(Table1[[#This Row],[Month_Number]],
    1,"Q1",2,"Q1",3,"Q1",
    4,"Q2",5,"Q2",6,"Q2",
    7,"Q3",8,"Q3",9,"Q3",
    10,"Q4",11,"Q4",12,"Q4",
    "Invalid Month"
)</f>
        <v>Q4</v>
      </c>
      <c r="P67" t="str">
        <f>TEXT(Table1[[#This Row],[Last_Restock_Date]],"mmm")</f>
        <v>Dec</v>
      </c>
    </row>
    <row r="68" spans="1:16" x14ac:dyDescent="0.25">
      <c r="A68">
        <v>67</v>
      </c>
      <c r="B68" s="5" t="s">
        <v>47</v>
      </c>
      <c r="C68" s="5" t="s">
        <v>20</v>
      </c>
      <c r="D68" s="5" t="s">
        <v>24</v>
      </c>
      <c r="E68" s="5" t="s">
        <v>37</v>
      </c>
      <c r="F68" s="2">
        <v>358</v>
      </c>
      <c r="G68" s="3">
        <v>31.7</v>
      </c>
      <c r="H68">
        <v>89</v>
      </c>
      <c r="I68">
        <f>IF(Table1[[#This Row],[Status]]= "Sufficient",
     Table1[[#This Row],[Stock_Quantity]] - Table1[[#This Row],[Reorder_Level]],
     0)</f>
        <v>269</v>
      </c>
      <c r="J68" s="4">
        <v>45518</v>
      </c>
      <c r="K68" s="5" t="s">
        <v>14</v>
      </c>
      <c r="L68">
        <f>YEAR(Table1[[#This Row],[Last_Restock_Date]])</f>
        <v>2024</v>
      </c>
      <c r="M68" t="str">
        <f>_xlfn.CONCAT(TEXT(Table1[[#This Row],[Last_Restock_Date]],"mmm"), "-", YEAR(Table1[[#This Row],[Last_Restock_Date]]))</f>
        <v>Aug-2024</v>
      </c>
      <c r="N68">
        <f>MONTH(Table1[[#This Row],[Last_Restock_Date]])</f>
        <v>8</v>
      </c>
      <c r="O68" t="str" cm="1">
        <f t="array" ref="O68">_xlfn.SWITCH(Table1[[#This Row],[Month_Number]],
    1,"Q1",2,"Q1",3,"Q1",
    4,"Q2",5,"Q2",6,"Q2",
    7,"Q3",8,"Q3",9,"Q3",
    10,"Q4",11,"Q4",12,"Q4",
    "Invalid Month"
)</f>
        <v>Q3</v>
      </c>
      <c r="P68" t="str">
        <f>TEXT(Table1[[#This Row],[Last_Restock_Date]],"mmm")</f>
        <v>Aug</v>
      </c>
    </row>
    <row r="69" spans="1:16" x14ac:dyDescent="0.25">
      <c r="A69">
        <v>68</v>
      </c>
      <c r="B69" s="5" t="s">
        <v>35</v>
      </c>
      <c r="C69" s="5" t="s">
        <v>11</v>
      </c>
      <c r="D69" s="5" t="s">
        <v>24</v>
      </c>
      <c r="E69" s="5" t="s">
        <v>13</v>
      </c>
      <c r="F69" s="2">
        <v>70</v>
      </c>
      <c r="G69" s="3">
        <v>310.27</v>
      </c>
      <c r="H69">
        <v>87</v>
      </c>
      <c r="I69">
        <f>IF(Table1[[#This Row],[Status]]= "Sufficient",
     Table1[[#This Row],[Stock_Quantity]] - Table1[[#This Row],[Reorder_Level]],
     0)</f>
        <v>0</v>
      </c>
      <c r="J69" s="4">
        <v>45857</v>
      </c>
      <c r="K69" s="5" t="s">
        <v>28</v>
      </c>
      <c r="L69">
        <f>YEAR(Table1[[#This Row],[Last_Restock_Date]])</f>
        <v>2025</v>
      </c>
      <c r="M69" t="str">
        <f>_xlfn.CONCAT(TEXT(Table1[[#This Row],[Last_Restock_Date]],"mmm"), "-", YEAR(Table1[[#This Row],[Last_Restock_Date]]))</f>
        <v>Jul-2025</v>
      </c>
      <c r="N69">
        <f>MONTH(Table1[[#This Row],[Last_Restock_Date]])</f>
        <v>7</v>
      </c>
      <c r="O69" t="str" cm="1">
        <f t="array" ref="O69">_xlfn.SWITCH(Table1[[#This Row],[Month_Number]],
    1,"Q1",2,"Q1",3,"Q1",
    4,"Q2",5,"Q2",6,"Q2",
    7,"Q3",8,"Q3",9,"Q3",
    10,"Q4",11,"Q4",12,"Q4",
    "Invalid Month"
)</f>
        <v>Q3</v>
      </c>
      <c r="P69" t="str">
        <f>TEXT(Table1[[#This Row],[Last_Restock_Date]],"mmm")</f>
        <v>Jul</v>
      </c>
    </row>
    <row r="70" spans="1:16" x14ac:dyDescent="0.25">
      <c r="A70">
        <v>69</v>
      </c>
      <c r="B70" s="5" t="s">
        <v>19</v>
      </c>
      <c r="C70" s="5" t="s">
        <v>20</v>
      </c>
      <c r="D70" s="5" t="s">
        <v>17</v>
      </c>
      <c r="E70" s="5" t="s">
        <v>13</v>
      </c>
      <c r="F70" s="2">
        <v>116</v>
      </c>
      <c r="G70" s="3">
        <v>726.06</v>
      </c>
      <c r="H70">
        <v>50</v>
      </c>
      <c r="I70">
        <f>IF(Table1[[#This Row],[Status]]= "Sufficient",
     Table1[[#This Row],[Stock_Quantity]] - Table1[[#This Row],[Reorder_Level]],
     0)</f>
        <v>66</v>
      </c>
      <c r="J70" s="4">
        <v>45557</v>
      </c>
      <c r="K70" s="5" t="s">
        <v>14</v>
      </c>
      <c r="L70">
        <f>YEAR(Table1[[#This Row],[Last_Restock_Date]])</f>
        <v>2024</v>
      </c>
      <c r="M70" t="str">
        <f>_xlfn.CONCAT(TEXT(Table1[[#This Row],[Last_Restock_Date]],"mmm"), "-", YEAR(Table1[[#This Row],[Last_Restock_Date]]))</f>
        <v>Sep-2024</v>
      </c>
      <c r="N70">
        <f>MONTH(Table1[[#This Row],[Last_Restock_Date]])</f>
        <v>9</v>
      </c>
      <c r="O70" t="str" cm="1">
        <f t="array" ref="O70">_xlfn.SWITCH(Table1[[#This Row],[Month_Number]],
    1,"Q1",2,"Q1",3,"Q1",
    4,"Q2",5,"Q2",6,"Q2",
    7,"Q3",8,"Q3",9,"Q3",
    10,"Q4",11,"Q4",12,"Q4",
    "Invalid Month"
)</f>
        <v>Q3</v>
      </c>
      <c r="P70" t="str">
        <f>TEXT(Table1[[#This Row],[Last_Restock_Date]],"mmm")</f>
        <v>Sep</v>
      </c>
    </row>
    <row r="71" spans="1:16" x14ac:dyDescent="0.25">
      <c r="A71">
        <v>70</v>
      </c>
      <c r="B71" s="5" t="s">
        <v>29</v>
      </c>
      <c r="C71" s="5" t="s">
        <v>16</v>
      </c>
      <c r="D71" s="5" t="s">
        <v>21</v>
      </c>
      <c r="E71" s="5" t="s">
        <v>18</v>
      </c>
      <c r="F71" s="2">
        <v>275</v>
      </c>
      <c r="G71" s="3">
        <v>328.71</v>
      </c>
      <c r="H71">
        <v>141</v>
      </c>
      <c r="I71">
        <f>IF(Table1[[#This Row],[Status]]= "Sufficient",
     Table1[[#This Row],[Stock_Quantity]] - Table1[[#This Row],[Reorder_Level]],
     0)</f>
        <v>134</v>
      </c>
      <c r="J71" s="4">
        <v>44991</v>
      </c>
      <c r="K71" s="5" t="s">
        <v>14</v>
      </c>
      <c r="L71">
        <f>YEAR(Table1[[#This Row],[Last_Restock_Date]])</f>
        <v>2023</v>
      </c>
      <c r="M71" t="str">
        <f>_xlfn.CONCAT(TEXT(Table1[[#This Row],[Last_Restock_Date]],"mmm"), "-", YEAR(Table1[[#This Row],[Last_Restock_Date]]))</f>
        <v>Mar-2023</v>
      </c>
      <c r="N71">
        <f>MONTH(Table1[[#This Row],[Last_Restock_Date]])</f>
        <v>3</v>
      </c>
      <c r="O71" t="str" cm="1">
        <f t="array" ref="O71">_xlfn.SWITCH(Table1[[#This Row],[Month_Number]],
    1,"Q1",2,"Q1",3,"Q1",
    4,"Q2",5,"Q2",6,"Q2",
    7,"Q3",8,"Q3",9,"Q3",
    10,"Q4",11,"Q4",12,"Q4",
    "Invalid Month"
)</f>
        <v>Q1</v>
      </c>
      <c r="P71" t="str">
        <f>TEXT(Table1[[#This Row],[Last_Restock_Date]],"mmm")</f>
        <v>Mar</v>
      </c>
    </row>
    <row r="72" spans="1:16" x14ac:dyDescent="0.25">
      <c r="A72">
        <v>71</v>
      </c>
      <c r="B72" s="5" t="s">
        <v>41</v>
      </c>
      <c r="C72" s="5" t="s">
        <v>16</v>
      </c>
      <c r="D72" s="5" t="s">
        <v>30</v>
      </c>
      <c r="E72" s="5" t="s">
        <v>39</v>
      </c>
      <c r="F72" s="2">
        <v>412</v>
      </c>
      <c r="G72" s="3">
        <v>669.16</v>
      </c>
      <c r="H72">
        <v>142</v>
      </c>
      <c r="I72">
        <f>IF(Table1[[#This Row],[Status]]= "Sufficient",
     Table1[[#This Row],[Stock_Quantity]] - Table1[[#This Row],[Reorder_Level]],
     0)</f>
        <v>270</v>
      </c>
      <c r="J72" s="4">
        <v>45767</v>
      </c>
      <c r="K72" s="5" t="s">
        <v>14</v>
      </c>
      <c r="L72">
        <f>YEAR(Table1[[#This Row],[Last_Restock_Date]])</f>
        <v>2025</v>
      </c>
      <c r="M72" t="str">
        <f>_xlfn.CONCAT(TEXT(Table1[[#This Row],[Last_Restock_Date]],"mmm"), "-", YEAR(Table1[[#This Row],[Last_Restock_Date]]))</f>
        <v>Apr-2025</v>
      </c>
      <c r="N72">
        <f>MONTH(Table1[[#This Row],[Last_Restock_Date]])</f>
        <v>4</v>
      </c>
      <c r="O72" t="str" cm="1">
        <f t="array" ref="O72">_xlfn.SWITCH(Table1[[#This Row],[Month_Number]],
    1,"Q1",2,"Q1",3,"Q1",
    4,"Q2",5,"Q2",6,"Q2",
    7,"Q3",8,"Q3",9,"Q3",
    10,"Q4",11,"Q4",12,"Q4",
    "Invalid Month"
)</f>
        <v>Q2</v>
      </c>
      <c r="P72" t="str">
        <f>TEXT(Table1[[#This Row],[Last_Restock_Date]],"mmm")</f>
        <v>Apr</v>
      </c>
    </row>
    <row r="73" spans="1:16" x14ac:dyDescent="0.25">
      <c r="A73">
        <v>72</v>
      </c>
      <c r="B73" s="5" t="s">
        <v>23</v>
      </c>
      <c r="C73" s="5" t="s">
        <v>20</v>
      </c>
      <c r="D73" s="5" t="s">
        <v>30</v>
      </c>
      <c r="E73" s="5" t="s">
        <v>13</v>
      </c>
      <c r="F73" s="2">
        <v>142</v>
      </c>
      <c r="G73" s="3">
        <v>503.95</v>
      </c>
      <c r="H73">
        <v>82</v>
      </c>
      <c r="I73">
        <f>IF(Table1[[#This Row],[Status]]= "Sufficient",
     Table1[[#This Row],[Stock_Quantity]] - Table1[[#This Row],[Reorder_Level]],
     0)</f>
        <v>60</v>
      </c>
      <c r="J73" s="4">
        <v>45821</v>
      </c>
      <c r="K73" s="5" t="s">
        <v>14</v>
      </c>
      <c r="L73">
        <f>YEAR(Table1[[#This Row],[Last_Restock_Date]])</f>
        <v>2025</v>
      </c>
      <c r="M73" t="str">
        <f>_xlfn.CONCAT(TEXT(Table1[[#This Row],[Last_Restock_Date]],"mmm"), "-", YEAR(Table1[[#This Row],[Last_Restock_Date]]))</f>
        <v>Jun-2025</v>
      </c>
      <c r="N73">
        <f>MONTH(Table1[[#This Row],[Last_Restock_Date]])</f>
        <v>6</v>
      </c>
      <c r="O73" t="str" cm="1">
        <f t="array" ref="O73">_xlfn.SWITCH(Table1[[#This Row],[Month_Number]],
    1,"Q1",2,"Q1",3,"Q1",
    4,"Q2",5,"Q2",6,"Q2",
    7,"Q3",8,"Q3",9,"Q3",
    10,"Q4",11,"Q4",12,"Q4",
    "Invalid Month"
)</f>
        <v>Q2</v>
      </c>
      <c r="P73" t="str">
        <f>TEXT(Table1[[#This Row],[Last_Restock_Date]],"mmm")</f>
        <v>Jun</v>
      </c>
    </row>
    <row r="74" spans="1:16" x14ac:dyDescent="0.25">
      <c r="A74">
        <v>73</v>
      </c>
      <c r="B74" s="5" t="s">
        <v>23</v>
      </c>
      <c r="C74" s="5" t="s">
        <v>20</v>
      </c>
      <c r="D74" s="5" t="s">
        <v>17</v>
      </c>
      <c r="E74" s="5" t="s">
        <v>13</v>
      </c>
      <c r="F74" s="2">
        <v>234</v>
      </c>
      <c r="G74" s="3">
        <v>643.46</v>
      </c>
      <c r="H74">
        <v>75</v>
      </c>
      <c r="I74">
        <f>IF(Table1[[#This Row],[Status]]= "Sufficient",
     Table1[[#This Row],[Stock_Quantity]] - Table1[[#This Row],[Reorder_Level]],
     0)</f>
        <v>159</v>
      </c>
      <c r="J74" s="4">
        <v>45439</v>
      </c>
      <c r="K74" s="5" t="s">
        <v>14</v>
      </c>
      <c r="L74">
        <f>YEAR(Table1[[#This Row],[Last_Restock_Date]])</f>
        <v>2024</v>
      </c>
      <c r="M74" t="str">
        <f>_xlfn.CONCAT(TEXT(Table1[[#This Row],[Last_Restock_Date]],"mmm"), "-", YEAR(Table1[[#This Row],[Last_Restock_Date]]))</f>
        <v>May-2024</v>
      </c>
      <c r="N74">
        <f>MONTH(Table1[[#This Row],[Last_Restock_Date]])</f>
        <v>5</v>
      </c>
      <c r="O74" t="str" cm="1">
        <f t="array" ref="O74">_xlfn.SWITCH(Table1[[#This Row],[Month_Number]],
    1,"Q1",2,"Q1",3,"Q1",
    4,"Q2",5,"Q2",6,"Q2",
    7,"Q3",8,"Q3",9,"Q3",
    10,"Q4",11,"Q4",12,"Q4",
    "Invalid Month"
)</f>
        <v>Q2</v>
      </c>
      <c r="P74" t="str">
        <f>TEXT(Table1[[#This Row],[Last_Restock_Date]],"mmm")</f>
        <v>May</v>
      </c>
    </row>
    <row r="75" spans="1:16" x14ac:dyDescent="0.25">
      <c r="A75">
        <v>74</v>
      </c>
      <c r="B75" s="5" t="s">
        <v>46</v>
      </c>
      <c r="C75" s="5" t="s">
        <v>34</v>
      </c>
      <c r="D75" s="5" t="s">
        <v>24</v>
      </c>
      <c r="E75" s="5" t="s">
        <v>37</v>
      </c>
      <c r="F75" s="2">
        <v>405</v>
      </c>
      <c r="G75" s="3">
        <v>91.87</v>
      </c>
      <c r="H75">
        <v>149</v>
      </c>
      <c r="I75">
        <f>IF(Table1[[#This Row],[Status]]= "Sufficient",
     Table1[[#This Row],[Stock_Quantity]] - Table1[[#This Row],[Reorder_Level]],
     0)</f>
        <v>256</v>
      </c>
      <c r="J75" s="4">
        <v>45253</v>
      </c>
      <c r="K75" s="5" t="s">
        <v>14</v>
      </c>
      <c r="L75">
        <f>YEAR(Table1[[#This Row],[Last_Restock_Date]])</f>
        <v>2023</v>
      </c>
      <c r="M75" t="str">
        <f>_xlfn.CONCAT(TEXT(Table1[[#This Row],[Last_Restock_Date]],"mmm"), "-", YEAR(Table1[[#This Row],[Last_Restock_Date]]))</f>
        <v>Nov-2023</v>
      </c>
      <c r="N75">
        <f>MONTH(Table1[[#This Row],[Last_Restock_Date]])</f>
        <v>11</v>
      </c>
      <c r="O75" t="str" cm="1">
        <f t="array" ref="O75">_xlfn.SWITCH(Table1[[#This Row],[Month_Number]],
    1,"Q1",2,"Q1",3,"Q1",
    4,"Q2",5,"Q2",6,"Q2",
    7,"Q3",8,"Q3",9,"Q3",
    10,"Q4",11,"Q4",12,"Q4",
    "Invalid Month"
)</f>
        <v>Q4</v>
      </c>
      <c r="P75" t="str">
        <f>TEXT(Table1[[#This Row],[Last_Restock_Date]],"mmm")</f>
        <v>Nov</v>
      </c>
    </row>
    <row r="76" spans="1:16" x14ac:dyDescent="0.25">
      <c r="A76">
        <v>75</v>
      </c>
      <c r="B76" s="5" t="s">
        <v>51</v>
      </c>
      <c r="C76" s="5" t="s">
        <v>11</v>
      </c>
      <c r="D76" s="5" t="s">
        <v>30</v>
      </c>
      <c r="E76" s="5" t="s">
        <v>39</v>
      </c>
      <c r="F76" s="2">
        <v>41</v>
      </c>
      <c r="G76" s="3">
        <v>37.17</v>
      </c>
      <c r="H76">
        <v>71</v>
      </c>
      <c r="I76">
        <f>IF(Table1[[#This Row],[Status]]= "Sufficient",
     Table1[[#This Row],[Stock_Quantity]] - Table1[[#This Row],[Reorder_Level]],
     0)</f>
        <v>0</v>
      </c>
      <c r="J76" s="4">
        <v>44982</v>
      </c>
      <c r="K76" s="5" t="s">
        <v>28</v>
      </c>
      <c r="L76">
        <f>YEAR(Table1[[#This Row],[Last_Restock_Date]])</f>
        <v>2023</v>
      </c>
      <c r="M76" t="str">
        <f>_xlfn.CONCAT(TEXT(Table1[[#This Row],[Last_Restock_Date]],"mmm"), "-", YEAR(Table1[[#This Row],[Last_Restock_Date]]))</f>
        <v>Feb-2023</v>
      </c>
      <c r="N76">
        <f>MONTH(Table1[[#This Row],[Last_Restock_Date]])</f>
        <v>2</v>
      </c>
      <c r="O76" t="str" cm="1">
        <f t="array" ref="O76">_xlfn.SWITCH(Table1[[#This Row],[Month_Number]],
    1,"Q1",2,"Q1",3,"Q1",
    4,"Q2",5,"Q2",6,"Q2",
    7,"Q3",8,"Q3",9,"Q3",
    10,"Q4",11,"Q4",12,"Q4",
    "Invalid Month"
)</f>
        <v>Q1</v>
      </c>
      <c r="P76" t="str">
        <f>TEXT(Table1[[#This Row],[Last_Restock_Date]],"mmm")</f>
        <v>Feb</v>
      </c>
    </row>
    <row r="77" spans="1:16" x14ac:dyDescent="0.25">
      <c r="A77">
        <v>76</v>
      </c>
      <c r="B77" s="5" t="s">
        <v>41</v>
      </c>
      <c r="C77" s="5" t="s">
        <v>16</v>
      </c>
      <c r="D77" s="5" t="s">
        <v>12</v>
      </c>
      <c r="E77" s="5" t="s">
        <v>37</v>
      </c>
      <c r="F77" s="2">
        <v>63</v>
      </c>
      <c r="G77" s="3">
        <v>171.66</v>
      </c>
      <c r="H77">
        <v>148</v>
      </c>
      <c r="I77">
        <f>IF(Table1[[#This Row],[Status]]= "Sufficient",
     Table1[[#This Row],[Stock_Quantity]] - Table1[[#This Row],[Reorder_Level]],
     0)</f>
        <v>0</v>
      </c>
      <c r="J77" s="4">
        <v>45415</v>
      </c>
      <c r="K77" s="5" t="s">
        <v>28</v>
      </c>
      <c r="L77">
        <f>YEAR(Table1[[#This Row],[Last_Restock_Date]])</f>
        <v>2024</v>
      </c>
      <c r="M77" t="str">
        <f>_xlfn.CONCAT(TEXT(Table1[[#This Row],[Last_Restock_Date]],"mmm"), "-", YEAR(Table1[[#This Row],[Last_Restock_Date]]))</f>
        <v>May-2024</v>
      </c>
      <c r="N77">
        <f>MONTH(Table1[[#This Row],[Last_Restock_Date]])</f>
        <v>5</v>
      </c>
      <c r="O77" t="str" cm="1">
        <f t="array" ref="O77">_xlfn.SWITCH(Table1[[#This Row],[Month_Number]],
    1,"Q1",2,"Q1",3,"Q1",
    4,"Q2",5,"Q2",6,"Q2",
    7,"Q3",8,"Q3",9,"Q3",
    10,"Q4",11,"Q4",12,"Q4",
    "Invalid Month"
)</f>
        <v>Q2</v>
      </c>
      <c r="P77" t="str">
        <f>TEXT(Table1[[#This Row],[Last_Restock_Date]],"mmm")</f>
        <v>May</v>
      </c>
    </row>
    <row r="78" spans="1:16" x14ac:dyDescent="0.25">
      <c r="A78">
        <v>77</v>
      </c>
      <c r="B78" s="5" t="s">
        <v>40</v>
      </c>
      <c r="C78" s="5" t="s">
        <v>34</v>
      </c>
      <c r="D78" s="5" t="s">
        <v>30</v>
      </c>
      <c r="E78" s="5" t="s">
        <v>39</v>
      </c>
      <c r="F78" s="2">
        <v>199</v>
      </c>
      <c r="G78" s="3">
        <v>428.13</v>
      </c>
      <c r="H78">
        <v>105</v>
      </c>
      <c r="I78">
        <f>IF(Table1[[#This Row],[Status]]= "Sufficient",
     Table1[[#This Row],[Stock_Quantity]] - Table1[[#This Row],[Reorder_Level]],
     0)</f>
        <v>94</v>
      </c>
      <c r="J78" s="4">
        <v>45348</v>
      </c>
      <c r="K78" s="5" t="s">
        <v>14</v>
      </c>
      <c r="L78">
        <f>YEAR(Table1[[#This Row],[Last_Restock_Date]])</f>
        <v>2024</v>
      </c>
      <c r="M78" t="str">
        <f>_xlfn.CONCAT(TEXT(Table1[[#This Row],[Last_Restock_Date]],"mmm"), "-", YEAR(Table1[[#This Row],[Last_Restock_Date]]))</f>
        <v>Feb-2024</v>
      </c>
      <c r="N78">
        <f>MONTH(Table1[[#This Row],[Last_Restock_Date]])</f>
        <v>2</v>
      </c>
      <c r="O78" t="str" cm="1">
        <f t="array" ref="O78">_xlfn.SWITCH(Table1[[#This Row],[Month_Number]],
    1,"Q1",2,"Q1",3,"Q1",
    4,"Q2",5,"Q2",6,"Q2",
    7,"Q3",8,"Q3",9,"Q3",
    10,"Q4",11,"Q4",12,"Q4",
    "Invalid Month"
)</f>
        <v>Q1</v>
      </c>
      <c r="P78" t="str">
        <f>TEXT(Table1[[#This Row],[Last_Restock_Date]],"mmm")</f>
        <v>Feb</v>
      </c>
    </row>
    <row r="79" spans="1:16" x14ac:dyDescent="0.25">
      <c r="A79">
        <v>78</v>
      </c>
      <c r="B79" s="5" t="s">
        <v>50</v>
      </c>
      <c r="C79" s="5" t="s">
        <v>34</v>
      </c>
      <c r="D79" s="5" t="s">
        <v>30</v>
      </c>
      <c r="E79" s="5" t="s">
        <v>39</v>
      </c>
      <c r="F79" s="2">
        <v>61</v>
      </c>
      <c r="G79" s="3">
        <v>602.24</v>
      </c>
      <c r="H79">
        <v>150</v>
      </c>
      <c r="I79">
        <f>IF(Table1[[#This Row],[Status]]= "Sufficient",
     Table1[[#This Row],[Stock_Quantity]] - Table1[[#This Row],[Reorder_Level]],
     0)</f>
        <v>0</v>
      </c>
      <c r="J79" s="4">
        <v>45592</v>
      </c>
      <c r="K79" s="5" t="s">
        <v>28</v>
      </c>
      <c r="L79">
        <f>YEAR(Table1[[#This Row],[Last_Restock_Date]])</f>
        <v>2024</v>
      </c>
      <c r="M79" t="str">
        <f>_xlfn.CONCAT(TEXT(Table1[[#This Row],[Last_Restock_Date]],"mmm"), "-", YEAR(Table1[[#This Row],[Last_Restock_Date]]))</f>
        <v>Oct-2024</v>
      </c>
      <c r="N79">
        <f>MONTH(Table1[[#This Row],[Last_Restock_Date]])</f>
        <v>10</v>
      </c>
      <c r="O79" t="str" cm="1">
        <f t="array" ref="O79">_xlfn.SWITCH(Table1[[#This Row],[Month_Number]],
    1,"Q1",2,"Q1",3,"Q1",
    4,"Q2",5,"Q2",6,"Q2",
    7,"Q3",8,"Q3",9,"Q3",
    10,"Q4",11,"Q4",12,"Q4",
    "Invalid Month"
)</f>
        <v>Q4</v>
      </c>
      <c r="P79" t="str">
        <f>TEXT(Table1[[#This Row],[Last_Restock_Date]],"mmm")</f>
        <v>Oct</v>
      </c>
    </row>
    <row r="80" spans="1:16" x14ac:dyDescent="0.25">
      <c r="A80">
        <v>79</v>
      </c>
      <c r="B80" s="5" t="s">
        <v>43</v>
      </c>
      <c r="C80" s="5" t="s">
        <v>26</v>
      </c>
      <c r="D80" s="5" t="s">
        <v>24</v>
      </c>
      <c r="E80" s="5" t="s">
        <v>37</v>
      </c>
      <c r="F80" s="2">
        <v>389</v>
      </c>
      <c r="G80" s="3">
        <v>576.95000000000005</v>
      </c>
      <c r="H80">
        <v>120</v>
      </c>
      <c r="I80">
        <f>IF(Table1[[#This Row],[Status]]= "Sufficient",
     Table1[[#This Row],[Stock_Quantity]] - Table1[[#This Row],[Reorder_Level]],
     0)</f>
        <v>269</v>
      </c>
      <c r="J80" s="4">
        <v>45896</v>
      </c>
      <c r="K80" s="5" t="s">
        <v>14</v>
      </c>
      <c r="L80">
        <f>YEAR(Table1[[#This Row],[Last_Restock_Date]])</f>
        <v>2025</v>
      </c>
      <c r="M80" t="str">
        <f>_xlfn.CONCAT(TEXT(Table1[[#This Row],[Last_Restock_Date]],"mmm"), "-", YEAR(Table1[[#This Row],[Last_Restock_Date]]))</f>
        <v>Aug-2025</v>
      </c>
      <c r="N80">
        <f>MONTH(Table1[[#This Row],[Last_Restock_Date]])</f>
        <v>8</v>
      </c>
      <c r="O80" t="str" cm="1">
        <f t="array" ref="O80">_xlfn.SWITCH(Table1[[#This Row],[Month_Number]],
    1,"Q1",2,"Q1",3,"Q1",
    4,"Q2",5,"Q2",6,"Q2",
    7,"Q3",8,"Q3",9,"Q3",
    10,"Q4",11,"Q4",12,"Q4",
    "Invalid Month"
)</f>
        <v>Q3</v>
      </c>
      <c r="P80" t="str">
        <f>TEXT(Table1[[#This Row],[Last_Restock_Date]],"mmm")</f>
        <v>Aug</v>
      </c>
    </row>
    <row r="81" spans="1:16" x14ac:dyDescent="0.25">
      <c r="A81">
        <v>80</v>
      </c>
      <c r="B81" s="5" t="s">
        <v>35</v>
      </c>
      <c r="C81" s="5" t="s">
        <v>11</v>
      </c>
      <c r="D81" s="5" t="s">
        <v>30</v>
      </c>
      <c r="E81" s="5" t="s">
        <v>37</v>
      </c>
      <c r="F81" s="2">
        <v>452</v>
      </c>
      <c r="G81" s="3">
        <v>312.13</v>
      </c>
      <c r="H81">
        <v>64</v>
      </c>
      <c r="I81">
        <f>IF(Table1[[#This Row],[Status]]= "Sufficient",
     Table1[[#This Row],[Stock_Quantity]] - Table1[[#This Row],[Reorder_Level]],
     0)</f>
        <v>388</v>
      </c>
      <c r="J81" s="4">
        <v>45083</v>
      </c>
      <c r="K81" s="5" t="s">
        <v>14</v>
      </c>
      <c r="L81">
        <f>YEAR(Table1[[#This Row],[Last_Restock_Date]])</f>
        <v>2023</v>
      </c>
      <c r="M81" t="str">
        <f>_xlfn.CONCAT(TEXT(Table1[[#This Row],[Last_Restock_Date]],"mmm"), "-", YEAR(Table1[[#This Row],[Last_Restock_Date]]))</f>
        <v>Jun-2023</v>
      </c>
      <c r="N81">
        <f>MONTH(Table1[[#This Row],[Last_Restock_Date]])</f>
        <v>6</v>
      </c>
      <c r="O81" t="str" cm="1">
        <f t="array" ref="O81">_xlfn.SWITCH(Table1[[#This Row],[Month_Number]],
    1,"Q1",2,"Q1",3,"Q1",
    4,"Q2",5,"Q2",6,"Q2",
    7,"Q3",8,"Q3",9,"Q3",
    10,"Q4",11,"Q4",12,"Q4",
    "Invalid Month"
)</f>
        <v>Q2</v>
      </c>
      <c r="P81" t="str">
        <f>TEXT(Table1[[#This Row],[Last_Restock_Date]],"mmm")</f>
        <v>Jun</v>
      </c>
    </row>
    <row r="82" spans="1:16" x14ac:dyDescent="0.25">
      <c r="A82">
        <v>81</v>
      </c>
      <c r="B82" s="5" t="s">
        <v>10</v>
      </c>
      <c r="C82" s="5" t="s">
        <v>11</v>
      </c>
      <c r="D82" s="5" t="s">
        <v>24</v>
      </c>
      <c r="E82" s="5" t="s">
        <v>27</v>
      </c>
      <c r="F82" s="2">
        <v>364</v>
      </c>
      <c r="G82" s="3">
        <v>667.75</v>
      </c>
      <c r="H82">
        <v>88</v>
      </c>
      <c r="I82">
        <f>IF(Table1[[#This Row],[Status]]= "Sufficient",
     Table1[[#This Row],[Stock_Quantity]] - Table1[[#This Row],[Reorder_Level]],
     0)</f>
        <v>276</v>
      </c>
      <c r="J82" s="4">
        <v>45549</v>
      </c>
      <c r="K82" s="5" t="s">
        <v>14</v>
      </c>
      <c r="L82">
        <f>YEAR(Table1[[#This Row],[Last_Restock_Date]])</f>
        <v>2024</v>
      </c>
      <c r="M82" t="str">
        <f>_xlfn.CONCAT(TEXT(Table1[[#This Row],[Last_Restock_Date]],"mmm"), "-", YEAR(Table1[[#This Row],[Last_Restock_Date]]))</f>
        <v>Sep-2024</v>
      </c>
      <c r="N82">
        <f>MONTH(Table1[[#This Row],[Last_Restock_Date]])</f>
        <v>9</v>
      </c>
      <c r="O82" t="str" cm="1">
        <f t="array" ref="O82">_xlfn.SWITCH(Table1[[#This Row],[Month_Number]],
    1,"Q1",2,"Q1",3,"Q1",
    4,"Q2",5,"Q2",6,"Q2",
    7,"Q3",8,"Q3",9,"Q3",
    10,"Q4",11,"Q4",12,"Q4",
    "Invalid Month"
)</f>
        <v>Q3</v>
      </c>
      <c r="P82" t="str">
        <f>TEXT(Table1[[#This Row],[Last_Restock_Date]],"mmm")</f>
        <v>Sep</v>
      </c>
    </row>
    <row r="83" spans="1:16" x14ac:dyDescent="0.25">
      <c r="A83">
        <v>82</v>
      </c>
      <c r="B83" s="5" t="s">
        <v>42</v>
      </c>
      <c r="C83" s="5" t="s">
        <v>16</v>
      </c>
      <c r="D83" s="5" t="s">
        <v>12</v>
      </c>
      <c r="E83" s="5" t="s">
        <v>32</v>
      </c>
      <c r="F83" s="2">
        <v>295</v>
      </c>
      <c r="G83" s="3">
        <v>138.18</v>
      </c>
      <c r="H83">
        <v>57</v>
      </c>
      <c r="I83">
        <f>IF(Table1[[#This Row],[Status]]= "Sufficient",
     Table1[[#This Row],[Stock_Quantity]] - Table1[[#This Row],[Reorder_Level]],
     0)</f>
        <v>238</v>
      </c>
      <c r="J83" s="4">
        <v>45372</v>
      </c>
      <c r="K83" s="5" t="s">
        <v>14</v>
      </c>
      <c r="L83">
        <f>YEAR(Table1[[#This Row],[Last_Restock_Date]])</f>
        <v>2024</v>
      </c>
      <c r="M83" t="str">
        <f>_xlfn.CONCAT(TEXT(Table1[[#This Row],[Last_Restock_Date]],"mmm"), "-", YEAR(Table1[[#This Row],[Last_Restock_Date]]))</f>
        <v>Mar-2024</v>
      </c>
      <c r="N83">
        <f>MONTH(Table1[[#This Row],[Last_Restock_Date]])</f>
        <v>3</v>
      </c>
      <c r="O83" t="str" cm="1">
        <f t="array" ref="O83">_xlfn.SWITCH(Table1[[#This Row],[Month_Number]],
    1,"Q1",2,"Q1",3,"Q1",
    4,"Q2",5,"Q2",6,"Q2",
    7,"Q3",8,"Q3",9,"Q3",
    10,"Q4",11,"Q4",12,"Q4",
    "Invalid Month"
)</f>
        <v>Q1</v>
      </c>
      <c r="P83" t="str">
        <f>TEXT(Table1[[#This Row],[Last_Restock_Date]],"mmm")</f>
        <v>Mar</v>
      </c>
    </row>
    <row r="84" spans="1:16" x14ac:dyDescent="0.25">
      <c r="A84">
        <v>83</v>
      </c>
      <c r="B84" s="5" t="s">
        <v>52</v>
      </c>
      <c r="C84" s="5" t="s">
        <v>16</v>
      </c>
      <c r="D84" s="5" t="s">
        <v>24</v>
      </c>
      <c r="E84" s="5" t="s">
        <v>18</v>
      </c>
      <c r="F84" s="2">
        <v>316</v>
      </c>
      <c r="G84" s="3">
        <v>23.78</v>
      </c>
      <c r="H84">
        <v>133</v>
      </c>
      <c r="I84">
        <f>IF(Table1[[#This Row],[Status]]= "Sufficient",
     Table1[[#This Row],[Stock_Quantity]] - Table1[[#This Row],[Reorder_Level]],
     0)</f>
        <v>183</v>
      </c>
      <c r="J84" s="4">
        <v>45984</v>
      </c>
      <c r="K84" s="5" t="s">
        <v>14</v>
      </c>
      <c r="L84">
        <f>YEAR(Table1[[#This Row],[Last_Restock_Date]])</f>
        <v>2025</v>
      </c>
      <c r="M84" t="str">
        <f>_xlfn.CONCAT(TEXT(Table1[[#This Row],[Last_Restock_Date]],"mmm"), "-", YEAR(Table1[[#This Row],[Last_Restock_Date]]))</f>
        <v>Nov-2025</v>
      </c>
      <c r="N84">
        <f>MONTH(Table1[[#This Row],[Last_Restock_Date]])</f>
        <v>11</v>
      </c>
      <c r="O84" t="str" cm="1">
        <f t="array" ref="O84">_xlfn.SWITCH(Table1[[#This Row],[Month_Number]],
    1,"Q1",2,"Q1",3,"Q1",
    4,"Q2",5,"Q2",6,"Q2",
    7,"Q3",8,"Q3",9,"Q3",
    10,"Q4",11,"Q4",12,"Q4",
    "Invalid Month"
)</f>
        <v>Q4</v>
      </c>
      <c r="P84" t="str">
        <f>TEXT(Table1[[#This Row],[Last_Restock_Date]],"mmm")</f>
        <v>Nov</v>
      </c>
    </row>
    <row r="85" spans="1:16" x14ac:dyDescent="0.25">
      <c r="A85">
        <v>84</v>
      </c>
      <c r="B85" s="5" t="s">
        <v>53</v>
      </c>
      <c r="C85" s="5" t="s">
        <v>26</v>
      </c>
      <c r="D85" s="5" t="s">
        <v>12</v>
      </c>
      <c r="E85" s="5" t="s">
        <v>27</v>
      </c>
      <c r="F85" s="2">
        <v>55</v>
      </c>
      <c r="G85" s="3">
        <v>527.02</v>
      </c>
      <c r="H85">
        <v>84</v>
      </c>
      <c r="I85">
        <f>IF(Table1[[#This Row],[Status]]= "Sufficient",
     Table1[[#This Row],[Stock_Quantity]] - Table1[[#This Row],[Reorder_Level]],
     0)</f>
        <v>0</v>
      </c>
      <c r="J85" s="4">
        <v>45958</v>
      </c>
      <c r="K85" s="5" t="s">
        <v>28</v>
      </c>
      <c r="L85">
        <f>YEAR(Table1[[#This Row],[Last_Restock_Date]])</f>
        <v>2025</v>
      </c>
      <c r="M85" t="str">
        <f>_xlfn.CONCAT(TEXT(Table1[[#This Row],[Last_Restock_Date]],"mmm"), "-", YEAR(Table1[[#This Row],[Last_Restock_Date]]))</f>
        <v>Oct-2025</v>
      </c>
      <c r="N85">
        <f>MONTH(Table1[[#This Row],[Last_Restock_Date]])</f>
        <v>10</v>
      </c>
      <c r="O85" t="str" cm="1">
        <f t="array" ref="O85">_xlfn.SWITCH(Table1[[#This Row],[Month_Number]],
    1,"Q1",2,"Q1",3,"Q1",
    4,"Q2",5,"Q2",6,"Q2",
    7,"Q3",8,"Q3",9,"Q3",
    10,"Q4",11,"Q4",12,"Q4",
    "Invalid Month"
)</f>
        <v>Q4</v>
      </c>
      <c r="P85" t="str">
        <f>TEXT(Table1[[#This Row],[Last_Restock_Date]],"mmm")</f>
        <v>Oct</v>
      </c>
    </row>
    <row r="86" spans="1:16" x14ac:dyDescent="0.25">
      <c r="A86">
        <v>85</v>
      </c>
      <c r="B86" s="5" t="s">
        <v>42</v>
      </c>
      <c r="C86" s="5" t="s">
        <v>16</v>
      </c>
      <c r="D86" s="5" t="s">
        <v>21</v>
      </c>
      <c r="E86" s="5" t="s">
        <v>27</v>
      </c>
      <c r="F86" s="2">
        <v>271</v>
      </c>
      <c r="G86" s="3">
        <v>701.3</v>
      </c>
      <c r="H86">
        <v>131</v>
      </c>
      <c r="I86">
        <f>IF(Table1[[#This Row],[Status]]= "Sufficient",
     Table1[[#This Row],[Stock_Quantity]] - Table1[[#This Row],[Reorder_Level]],
     0)</f>
        <v>140</v>
      </c>
      <c r="J86" s="4">
        <v>45918</v>
      </c>
      <c r="K86" s="5" t="s">
        <v>14</v>
      </c>
      <c r="L86">
        <f>YEAR(Table1[[#This Row],[Last_Restock_Date]])</f>
        <v>2025</v>
      </c>
      <c r="M86" t="str">
        <f>_xlfn.CONCAT(TEXT(Table1[[#This Row],[Last_Restock_Date]],"mmm"), "-", YEAR(Table1[[#This Row],[Last_Restock_Date]]))</f>
        <v>Sep-2025</v>
      </c>
      <c r="N86">
        <f>MONTH(Table1[[#This Row],[Last_Restock_Date]])</f>
        <v>9</v>
      </c>
      <c r="O86" t="str" cm="1">
        <f t="array" ref="O86">_xlfn.SWITCH(Table1[[#This Row],[Month_Number]],
    1,"Q1",2,"Q1",3,"Q1",
    4,"Q2",5,"Q2",6,"Q2",
    7,"Q3",8,"Q3",9,"Q3",
    10,"Q4",11,"Q4",12,"Q4",
    "Invalid Month"
)</f>
        <v>Q3</v>
      </c>
      <c r="P86" t="str">
        <f>TEXT(Table1[[#This Row],[Last_Restock_Date]],"mmm")</f>
        <v>Sep</v>
      </c>
    </row>
    <row r="87" spans="1:16" x14ac:dyDescent="0.25">
      <c r="A87">
        <v>86</v>
      </c>
      <c r="B87" s="5" t="s">
        <v>49</v>
      </c>
      <c r="C87" s="5" t="s">
        <v>16</v>
      </c>
      <c r="D87" s="5" t="s">
        <v>30</v>
      </c>
      <c r="E87" s="5" t="s">
        <v>13</v>
      </c>
      <c r="F87" s="2">
        <v>395</v>
      </c>
      <c r="G87" s="3">
        <v>467.06</v>
      </c>
      <c r="H87">
        <v>144</v>
      </c>
      <c r="I87">
        <f>IF(Table1[[#This Row],[Status]]= "Sufficient",
     Table1[[#This Row],[Stock_Quantity]] - Table1[[#This Row],[Reorder_Level]],
     0)</f>
        <v>251</v>
      </c>
      <c r="J87" s="4">
        <v>46022</v>
      </c>
      <c r="K87" s="5" t="s">
        <v>14</v>
      </c>
      <c r="L87">
        <f>YEAR(Table1[[#This Row],[Last_Restock_Date]])</f>
        <v>2025</v>
      </c>
      <c r="M87" t="str">
        <f>_xlfn.CONCAT(TEXT(Table1[[#This Row],[Last_Restock_Date]],"mmm"), "-", YEAR(Table1[[#This Row],[Last_Restock_Date]]))</f>
        <v>Dec-2025</v>
      </c>
      <c r="N87">
        <f>MONTH(Table1[[#This Row],[Last_Restock_Date]])</f>
        <v>12</v>
      </c>
      <c r="O87" t="str" cm="1">
        <f t="array" ref="O87">_xlfn.SWITCH(Table1[[#This Row],[Month_Number]],
    1,"Q1",2,"Q1",3,"Q1",
    4,"Q2",5,"Q2",6,"Q2",
    7,"Q3",8,"Q3",9,"Q3",
    10,"Q4",11,"Q4",12,"Q4",
    "Invalid Month"
)</f>
        <v>Q4</v>
      </c>
      <c r="P87" t="str">
        <f>TEXT(Table1[[#This Row],[Last_Restock_Date]],"mmm")</f>
        <v>Dec</v>
      </c>
    </row>
    <row r="88" spans="1:16" x14ac:dyDescent="0.25">
      <c r="A88">
        <v>87</v>
      </c>
      <c r="B88" s="5" t="s">
        <v>10</v>
      </c>
      <c r="C88" s="5" t="s">
        <v>11</v>
      </c>
      <c r="D88" s="5" t="s">
        <v>24</v>
      </c>
      <c r="E88" s="5" t="s">
        <v>27</v>
      </c>
      <c r="F88" s="2">
        <v>116</v>
      </c>
      <c r="G88" s="3">
        <v>249.79</v>
      </c>
      <c r="H88">
        <v>131</v>
      </c>
      <c r="I88">
        <f>IF(Table1[[#This Row],[Status]]= "Sufficient",
     Table1[[#This Row],[Stock_Quantity]] - Table1[[#This Row],[Reorder_Level]],
     0)</f>
        <v>0</v>
      </c>
      <c r="J88" s="4">
        <v>45367</v>
      </c>
      <c r="K88" s="5" t="s">
        <v>28</v>
      </c>
      <c r="L88">
        <f>YEAR(Table1[[#This Row],[Last_Restock_Date]])</f>
        <v>2024</v>
      </c>
      <c r="M88" t="str">
        <f>_xlfn.CONCAT(TEXT(Table1[[#This Row],[Last_Restock_Date]],"mmm"), "-", YEAR(Table1[[#This Row],[Last_Restock_Date]]))</f>
        <v>Mar-2024</v>
      </c>
      <c r="N88">
        <f>MONTH(Table1[[#This Row],[Last_Restock_Date]])</f>
        <v>3</v>
      </c>
      <c r="O88" t="str" cm="1">
        <f t="array" ref="O88">_xlfn.SWITCH(Table1[[#This Row],[Month_Number]],
    1,"Q1",2,"Q1",3,"Q1",
    4,"Q2",5,"Q2",6,"Q2",
    7,"Q3",8,"Q3",9,"Q3",
    10,"Q4",11,"Q4",12,"Q4",
    "Invalid Month"
)</f>
        <v>Q1</v>
      </c>
      <c r="P88" t="str">
        <f>TEXT(Table1[[#This Row],[Last_Restock_Date]],"mmm")</f>
        <v>Mar</v>
      </c>
    </row>
    <row r="89" spans="1:16" x14ac:dyDescent="0.25">
      <c r="A89">
        <v>88</v>
      </c>
      <c r="B89" s="5" t="s">
        <v>52</v>
      </c>
      <c r="C89" s="5" t="s">
        <v>16</v>
      </c>
      <c r="D89" s="5" t="s">
        <v>24</v>
      </c>
      <c r="E89" s="5" t="s">
        <v>13</v>
      </c>
      <c r="F89" s="2">
        <v>342</v>
      </c>
      <c r="G89" s="3">
        <v>382.43</v>
      </c>
      <c r="H89">
        <v>99</v>
      </c>
      <c r="I89">
        <f>IF(Table1[[#This Row],[Status]]= "Sufficient",
     Table1[[#This Row],[Stock_Quantity]] - Table1[[#This Row],[Reorder_Level]],
     0)</f>
        <v>243</v>
      </c>
      <c r="J89" s="4">
        <v>45437</v>
      </c>
      <c r="K89" s="5" t="s">
        <v>14</v>
      </c>
      <c r="L89">
        <f>YEAR(Table1[[#This Row],[Last_Restock_Date]])</f>
        <v>2024</v>
      </c>
      <c r="M89" t="str">
        <f>_xlfn.CONCAT(TEXT(Table1[[#This Row],[Last_Restock_Date]],"mmm"), "-", YEAR(Table1[[#This Row],[Last_Restock_Date]]))</f>
        <v>May-2024</v>
      </c>
      <c r="N89">
        <f>MONTH(Table1[[#This Row],[Last_Restock_Date]])</f>
        <v>5</v>
      </c>
      <c r="O89" t="str" cm="1">
        <f t="array" ref="O89">_xlfn.SWITCH(Table1[[#This Row],[Month_Number]],
    1,"Q1",2,"Q1",3,"Q1",
    4,"Q2",5,"Q2",6,"Q2",
    7,"Q3",8,"Q3",9,"Q3",
    10,"Q4",11,"Q4",12,"Q4",
    "Invalid Month"
)</f>
        <v>Q2</v>
      </c>
      <c r="P89" t="str">
        <f>TEXT(Table1[[#This Row],[Last_Restock_Date]],"mmm")</f>
        <v>May</v>
      </c>
    </row>
    <row r="90" spans="1:16" x14ac:dyDescent="0.25">
      <c r="A90">
        <v>89</v>
      </c>
      <c r="B90" s="5" t="s">
        <v>51</v>
      </c>
      <c r="C90" s="5" t="s">
        <v>11</v>
      </c>
      <c r="D90" s="5" t="s">
        <v>24</v>
      </c>
      <c r="E90" s="5" t="s">
        <v>27</v>
      </c>
      <c r="F90" s="2">
        <v>177</v>
      </c>
      <c r="G90" s="3">
        <v>513.9</v>
      </c>
      <c r="H90">
        <v>132</v>
      </c>
      <c r="I90">
        <f>IF(Table1[[#This Row],[Status]]= "Sufficient",
     Table1[[#This Row],[Stock_Quantity]] - Table1[[#This Row],[Reorder_Level]],
     0)</f>
        <v>45</v>
      </c>
      <c r="J90" s="4">
        <v>45144</v>
      </c>
      <c r="K90" s="5" t="s">
        <v>14</v>
      </c>
      <c r="L90">
        <f>YEAR(Table1[[#This Row],[Last_Restock_Date]])</f>
        <v>2023</v>
      </c>
      <c r="M90" t="str">
        <f>_xlfn.CONCAT(TEXT(Table1[[#This Row],[Last_Restock_Date]],"mmm"), "-", YEAR(Table1[[#This Row],[Last_Restock_Date]]))</f>
        <v>Aug-2023</v>
      </c>
      <c r="N90">
        <f>MONTH(Table1[[#This Row],[Last_Restock_Date]])</f>
        <v>8</v>
      </c>
      <c r="O90" t="str" cm="1">
        <f t="array" ref="O90">_xlfn.SWITCH(Table1[[#This Row],[Month_Number]],
    1,"Q1",2,"Q1",3,"Q1",
    4,"Q2",5,"Q2",6,"Q2",
    7,"Q3",8,"Q3",9,"Q3",
    10,"Q4",11,"Q4",12,"Q4",
    "Invalid Month"
)</f>
        <v>Q3</v>
      </c>
      <c r="P90" t="str">
        <f>TEXT(Table1[[#This Row],[Last_Restock_Date]],"mmm")</f>
        <v>Aug</v>
      </c>
    </row>
    <row r="91" spans="1:16" x14ac:dyDescent="0.25">
      <c r="A91">
        <v>90</v>
      </c>
      <c r="B91" s="5" t="s">
        <v>54</v>
      </c>
      <c r="C91" s="5" t="s">
        <v>20</v>
      </c>
      <c r="D91" s="5" t="s">
        <v>30</v>
      </c>
      <c r="E91" s="5" t="s">
        <v>37</v>
      </c>
      <c r="F91" s="2">
        <v>284</v>
      </c>
      <c r="G91" s="3">
        <v>411.17</v>
      </c>
      <c r="H91">
        <v>147</v>
      </c>
      <c r="I91">
        <f>IF(Table1[[#This Row],[Status]]= "Sufficient",
     Table1[[#This Row],[Stock_Quantity]] - Table1[[#This Row],[Reorder_Level]],
     0)</f>
        <v>137</v>
      </c>
      <c r="J91" s="4">
        <v>45723</v>
      </c>
      <c r="K91" s="5" t="s">
        <v>14</v>
      </c>
      <c r="L91">
        <f>YEAR(Table1[[#This Row],[Last_Restock_Date]])</f>
        <v>2025</v>
      </c>
      <c r="M91" t="str">
        <f>_xlfn.CONCAT(TEXT(Table1[[#This Row],[Last_Restock_Date]],"mmm"), "-", YEAR(Table1[[#This Row],[Last_Restock_Date]]))</f>
        <v>Mar-2025</v>
      </c>
      <c r="N91">
        <f>MONTH(Table1[[#This Row],[Last_Restock_Date]])</f>
        <v>3</v>
      </c>
      <c r="O91" t="str" cm="1">
        <f t="array" ref="O91">_xlfn.SWITCH(Table1[[#This Row],[Month_Number]],
    1,"Q1",2,"Q1",3,"Q1",
    4,"Q2",5,"Q2",6,"Q2",
    7,"Q3",8,"Q3",9,"Q3",
    10,"Q4",11,"Q4",12,"Q4",
    "Invalid Month"
)</f>
        <v>Q1</v>
      </c>
      <c r="P91" t="str">
        <f>TEXT(Table1[[#This Row],[Last_Restock_Date]],"mmm")</f>
        <v>Mar</v>
      </c>
    </row>
    <row r="92" spans="1:16" x14ac:dyDescent="0.25">
      <c r="A92">
        <v>91</v>
      </c>
      <c r="B92" s="5" t="s">
        <v>47</v>
      </c>
      <c r="C92" s="5" t="s">
        <v>20</v>
      </c>
      <c r="D92" s="5" t="s">
        <v>24</v>
      </c>
      <c r="E92" s="5" t="s">
        <v>18</v>
      </c>
      <c r="F92" s="2">
        <v>463</v>
      </c>
      <c r="G92" s="3">
        <v>305.60000000000002</v>
      </c>
      <c r="H92">
        <v>53</v>
      </c>
      <c r="I92">
        <f>IF(Table1[[#This Row],[Status]]= "Sufficient",
     Table1[[#This Row],[Stock_Quantity]] - Table1[[#This Row],[Reorder_Level]],
     0)</f>
        <v>410</v>
      </c>
      <c r="J92" s="4">
        <v>44994</v>
      </c>
      <c r="K92" s="5" t="s">
        <v>14</v>
      </c>
      <c r="L92">
        <f>YEAR(Table1[[#This Row],[Last_Restock_Date]])</f>
        <v>2023</v>
      </c>
      <c r="M92" t="str">
        <f>_xlfn.CONCAT(TEXT(Table1[[#This Row],[Last_Restock_Date]],"mmm"), "-", YEAR(Table1[[#This Row],[Last_Restock_Date]]))</f>
        <v>Mar-2023</v>
      </c>
      <c r="N92">
        <f>MONTH(Table1[[#This Row],[Last_Restock_Date]])</f>
        <v>3</v>
      </c>
      <c r="O92" t="str" cm="1">
        <f t="array" ref="O92">_xlfn.SWITCH(Table1[[#This Row],[Month_Number]],
    1,"Q1",2,"Q1",3,"Q1",
    4,"Q2",5,"Q2",6,"Q2",
    7,"Q3",8,"Q3",9,"Q3",
    10,"Q4",11,"Q4",12,"Q4",
    "Invalid Month"
)</f>
        <v>Q1</v>
      </c>
      <c r="P92" t="str">
        <f>TEXT(Table1[[#This Row],[Last_Restock_Date]],"mmm")</f>
        <v>Mar</v>
      </c>
    </row>
    <row r="93" spans="1:16" x14ac:dyDescent="0.25">
      <c r="A93">
        <v>92</v>
      </c>
      <c r="B93" s="5" t="s">
        <v>42</v>
      </c>
      <c r="C93" s="5" t="s">
        <v>16</v>
      </c>
      <c r="D93" s="5" t="s">
        <v>17</v>
      </c>
      <c r="E93" s="5" t="s">
        <v>32</v>
      </c>
      <c r="F93" s="2">
        <v>304</v>
      </c>
      <c r="G93" s="3">
        <v>364.73</v>
      </c>
      <c r="H93">
        <v>72</v>
      </c>
      <c r="I93">
        <f>IF(Table1[[#This Row],[Status]]= "Sufficient",
     Table1[[#This Row],[Stock_Quantity]] - Table1[[#This Row],[Reorder_Level]],
     0)</f>
        <v>232</v>
      </c>
      <c r="J93" s="4">
        <v>46003</v>
      </c>
      <c r="K93" s="5" t="s">
        <v>14</v>
      </c>
      <c r="L93">
        <f>YEAR(Table1[[#This Row],[Last_Restock_Date]])</f>
        <v>2025</v>
      </c>
      <c r="M93" t="str">
        <f>_xlfn.CONCAT(TEXT(Table1[[#This Row],[Last_Restock_Date]],"mmm"), "-", YEAR(Table1[[#This Row],[Last_Restock_Date]]))</f>
        <v>Dec-2025</v>
      </c>
      <c r="N93">
        <f>MONTH(Table1[[#This Row],[Last_Restock_Date]])</f>
        <v>12</v>
      </c>
      <c r="O93" t="str" cm="1">
        <f t="array" ref="O93">_xlfn.SWITCH(Table1[[#This Row],[Month_Number]],
    1,"Q1",2,"Q1",3,"Q1",
    4,"Q2",5,"Q2",6,"Q2",
    7,"Q3",8,"Q3",9,"Q3",
    10,"Q4",11,"Q4",12,"Q4",
    "Invalid Month"
)</f>
        <v>Q4</v>
      </c>
      <c r="P93" t="str">
        <f>TEXT(Table1[[#This Row],[Last_Restock_Date]],"mmm")</f>
        <v>Dec</v>
      </c>
    </row>
    <row r="94" spans="1:16" x14ac:dyDescent="0.25">
      <c r="A94">
        <v>93</v>
      </c>
      <c r="B94" s="5" t="s">
        <v>50</v>
      </c>
      <c r="C94" s="5" t="s">
        <v>34</v>
      </c>
      <c r="D94" s="5" t="s">
        <v>21</v>
      </c>
      <c r="E94" s="5" t="s">
        <v>13</v>
      </c>
      <c r="F94" s="2">
        <v>375</v>
      </c>
      <c r="G94" s="3">
        <v>587.20000000000005</v>
      </c>
      <c r="H94">
        <v>121</v>
      </c>
      <c r="I94">
        <f>IF(Table1[[#This Row],[Status]]= "Sufficient",
     Table1[[#This Row],[Stock_Quantity]] - Table1[[#This Row],[Reorder_Level]],
     0)</f>
        <v>254</v>
      </c>
      <c r="J94" s="4">
        <v>45632</v>
      </c>
      <c r="K94" s="5" t="s">
        <v>14</v>
      </c>
      <c r="L94">
        <f>YEAR(Table1[[#This Row],[Last_Restock_Date]])</f>
        <v>2024</v>
      </c>
      <c r="M94" t="str">
        <f>_xlfn.CONCAT(TEXT(Table1[[#This Row],[Last_Restock_Date]],"mmm"), "-", YEAR(Table1[[#This Row],[Last_Restock_Date]]))</f>
        <v>Dec-2024</v>
      </c>
      <c r="N94">
        <f>MONTH(Table1[[#This Row],[Last_Restock_Date]])</f>
        <v>12</v>
      </c>
      <c r="O94" t="str" cm="1">
        <f t="array" ref="O94">_xlfn.SWITCH(Table1[[#This Row],[Month_Number]],
    1,"Q1",2,"Q1",3,"Q1",
    4,"Q2",5,"Q2",6,"Q2",
    7,"Q3",8,"Q3",9,"Q3",
    10,"Q4",11,"Q4",12,"Q4",
    "Invalid Month"
)</f>
        <v>Q4</v>
      </c>
      <c r="P94" t="str">
        <f>TEXT(Table1[[#This Row],[Last_Restock_Date]],"mmm")</f>
        <v>Dec</v>
      </c>
    </row>
    <row r="95" spans="1:16" x14ac:dyDescent="0.25">
      <c r="A95">
        <v>94</v>
      </c>
      <c r="B95" s="5" t="s">
        <v>53</v>
      </c>
      <c r="C95" s="5" t="s">
        <v>26</v>
      </c>
      <c r="D95" s="5" t="s">
        <v>24</v>
      </c>
      <c r="E95" s="5" t="s">
        <v>32</v>
      </c>
      <c r="F95" s="2">
        <v>237</v>
      </c>
      <c r="G95" s="3">
        <v>421.29</v>
      </c>
      <c r="H95">
        <v>60</v>
      </c>
      <c r="I95">
        <f>IF(Table1[[#This Row],[Status]]= "Sufficient",
     Table1[[#This Row],[Stock_Quantity]] - Table1[[#This Row],[Reorder_Level]],
     0)</f>
        <v>177</v>
      </c>
      <c r="J95" s="4">
        <v>45651</v>
      </c>
      <c r="K95" s="5" t="s">
        <v>14</v>
      </c>
      <c r="L95">
        <f>YEAR(Table1[[#This Row],[Last_Restock_Date]])</f>
        <v>2024</v>
      </c>
      <c r="M95" t="str">
        <f>_xlfn.CONCAT(TEXT(Table1[[#This Row],[Last_Restock_Date]],"mmm"), "-", YEAR(Table1[[#This Row],[Last_Restock_Date]]))</f>
        <v>Dec-2024</v>
      </c>
      <c r="N95">
        <f>MONTH(Table1[[#This Row],[Last_Restock_Date]])</f>
        <v>12</v>
      </c>
      <c r="O95" t="str" cm="1">
        <f t="array" ref="O95">_xlfn.SWITCH(Table1[[#This Row],[Month_Number]],
    1,"Q1",2,"Q1",3,"Q1",
    4,"Q2",5,"Q2",6,"Q2",
    7,"Q3",8,"Q3",9,"Q3",
    10,"Q4",11,"Q4",12,"Q4",
    "Invalid Month"
)</f>
        <v>Q4</v>
      </c>
      <c r="P95" t="str">
        <f>TEXT(Table1[[#This Row],[Last_Restock_Date]],"mmm")</f>
        <v>Dec</v>
      </c>
    </row>
    <row r="96" spans="1:16" x14ac:dyDescent="0.25">
      <c r="A96">
        <v>95</v>
      </c>
      <c r="B96" s="5" t="s">
        <v>36</v>
      </c>
      <c r="C96" s="5" t="s">
        <v>11</v>
      </c>
      <c r="D96" s="5" t="s">
        <v>21</v>
      </c>
      <c r="E96" s="5" t="s">
        <v>32</v>
      </c>
      <c r="F96" s="2">
        <v>239</v>
      </c>
      <c r="G96" s="3">
        <v>391</v>
      </c>
      <c r="H96">
        <v>96</v>
      </c>
      <c r="I96">
        <f>IF(Table1[[#This Row],[Status]]= "Sufficient",
     Table1[[#This Row],[Stock_Quantity]] - Table1[[#This Row],[Reorder_Level]],
     0)</f>
        <v>143</v>
      </c>
      <c r="J96" s="4">
        <v>45460</v>
      </c>
      <c r="K96" s="5" t="s">
        <v>14</v>
      </c>
      <c r="L96">
        <f>YEAR(Table1[[#This Row],[Last_Restock_Date]])</f>
        <v>2024</v>
      </c>
      <c r="M96" t="str">
        <f>_xlfn.CONCAT(TEXT(Table1[[#This Row],[Last_Restock_Date]],"mmm"), "-", YEAR(Table1[[#This Row],[Last_Restock_Date]]))</f>
        <v>Jun-2024</v>
      </c>
      <c r="N96">
        <f>MONTH(Table1[[#This Row],[Last_Restock_Date]])</f>
        <v>6</v>
      </c>
      <c r="O96" t="str" cm="1">
        <f t="array" ref="O96">_xlfn.SWITCH(Table1[[#This Row],[Month_Number]],
    1,"Q1",2,"Q1",3,"Q1",
    4,"Q2",5,"Q2",6,"Q2",
    7,"Q3",8,"Q3",9,"Q3",
    10,"Q4",11,"Q4",12,"Q4",
    "Invalid Month"
)</f>
        <v>Q2</v>
      </c>
      <c r="P96" t="str">
        <f>TEXT(Table1[[#This Row],[Last_Restock_Date]],"mmm")</f>
        <v>Jun</v>
      </c>
    </row>
    <row r="97" spans="1:16" x14ac:dyDescent="0.25">
      <c r="A97">
        <v>96</v>
      </c>
      <c r="B97" s="5" t="s">
        <v>43</v>
      </c>
      <c r="C97" s="5" t="s">
        <v>26</v>
      </c>
      <c r="D97" s="5" t="s">
        <v>12</v>
      </c>
      <c r="E97" s="5" t="s">
        <v>18</v>
      </c>
      <c r="F97" s="2">
        <v>361</v>
      </c>
      <c r="G97" s="3">
        <v>301.23</v>
      </c>
      <c r="H97">
        <v>94</v>
      </c>
      <c r="I97">
        <f>IF(Table1[[#This Row],[Status]]= "Sufficient",
     Table1[[#This Row],[Stock_Quantity]] - Table1[[#This Row],[Reorder_Level]],
     0)</f>
        <v>267</v>
      </c>
      <c r="J97" s="4">
        <v>45284</v>
      </c>
      <c r="K97" s="5" t="s">
        <v>14</v>
      </c>
      <c r="L97">
        <f>YEAR(Table1[[#This Row],[Last_Restock_Date]])</f>
        <v>2023</v>
      </c>
      <c r="M97" t="str">
        <f>_xlfn.CONCAT(TEXT(Table1[[#This Row],[Last_Restock_Date]],"mmm"), "-", YEAR(Table1[[#This Row],[Last_Restock_Date]]))</f>
        <v>Dec-2023</v>
      </c>
      <c r="N97">
        <f>MONTH(Table1[[#This Row],[Last_Restock_Date]])</f>
        <v>12</v>
      </c>
      <c r="O97" t="str" cm="1">
        <f t="array" ref="O97">_xlfn.SWITCH(Table1[[#This Row],[Month_Number]],
    1,"Q1",2,"Q1",3,"Q1",
    4,"Q2",5,"Q2",6,"Q2",
    7,"Q3",8,"Q3",9,"Q3",
    10,"Q4",11,"Q4",12,"Q4",
    "Invalid Month"
)</f>
        <v>Q4</v>
      </c>
      <c r="P97" t="str">
        <f>TEXT(Table1[[#This Row],[Last_Restock_Date]],"mmm")</f>
        <v>Dec</v>
      </c>
    </row>
    <row r="98" spans="1:16" x14ac:dyDescent="0.25">
      <c r="A98">
        <v>97</v>
      </c>
      <c r="B98" s="5" t="s">
        <v>31</v>
      </c>
      <c r="C98" s="5" t="s">
        <v>20</v>
      </c>
      <c r="D98" s="5" t="s">
        <v>24</v>
      </c>
      <c r="E98" s="5" t="s">
        <v>27</v>
      </c>
      <c r="F98" s="2">
        <v>402</v>
      </c>
      <c r="G98" s="3">
        <v>265.20999999999998</v>
      </c>
      <c r="H98">
        <v>106</v>
      </c>
      <c r="I98">
        <f>IF(Table1[[#This Row],[Status]]= "Sufficient",
     Table1[[#This Row],[Stock_Quantity]] - Table1[[#This Row],[Reorder_Level]],
     0)</f>
        <v>296</v>
      </c>
      <c r="J98" s="4">
        <v>45019</v>
      </c>
      <c r="K98" s="5" t="s">
        <v>14</v>
      </c>
      <c r="L98">
        <f>YEAR(Table1[[#This Row],[Last_Restock_Date]])</f>
        <v>2023</v>
      </c>
      <c r="M98" t="str">
        <f>_xlfn.CONCAT(TEXT(Table1[[#This Row],[Last_Restock_Date]],"mmm"), "-", YEAR(Table1[[#This Row],[Last_Restock_Date]]))</f>
        <v>Apr-2023</v>
      </c>
      <c r="N98">
        <f>MONTH(Table1[[#This Row],[Last_Restock_Date]])</f>
        <v>4</v>
      </c>
      <c r="O98" t="str" cm="1">
        <f t="array" ref="O98">_xlfn.SWITCH(Table1[[#This Row],[Month_Number]],
    1,"Q1",2,"Q1",3,"Q1",
    4,"Q2",5,"Q2",6,"Q2",
    7,"Q3",8,"Q3",9,"Q3",
    10,"Q4",11,"Q4",12,"Q4",
    "Invalid Month"
)</f>
        <v>Q2</v>
      </c>
      <c r="P98" t="str">
        <f>TEXT(Table1[[#This Row],[Last_Restock_Date]],"mmm")</f>
        <v>Apr</v>
      </c>
    </row>
    <row r="99" spans="1:16" x14ac:dyDescent="0.25">
      <c r="A99">
        <v>98</v>
      </c>
      <c r="B99" s="5" t="s">
        <v>40</v>
      </c>
      <c r="C99" s="5" t="s">
        <v>34</v>
      </c>
      <c r="D99" s="5" t="s">
        <v>24</v>
      </c>
      <c r="E99" s="5" t="s">
        <v>37</v>
      </c>
      <c r="F99" s="2">
        <v>207</v>
      </c>
      <c r="G99" s="3">
        <v>172.82</v>
      </c>
      <c r="H99">
        <v>64</v>
      </c>
      <c r="I99">
        <f>IF(Table1[[#This Row],[Status]]= "Sufficient",
     Table1[[#This Row],[Stock_Quantity]] - Table1[[#This Row],[Reorder_Level]],
     0)</f>
        <v>143</v>
      </c>
      <c r="J99" s="4">
        <v>45429</v>
      </c>
      <c r="K99" s="5" t="s">
        <v>14</v>
      </c>
      <c r="L99">
        <f>YEAR(Table1[[#This Row],[Last_Restock_Date]])</f>
        <v>2024</v>
      </c>
      <c r="M99" t="str">
        <f>_xlfn.CONCAT(TEXT(Table1[[#This Row],[Last_Restock_Date]],"mmm"), "-", YEAR(Table1[[#This Row],[Last_Restock_Date]]))</f>
        <v>May-2024</v>
      </c>
      <c r="N99">
        <f>MONTH(Table1[[#This Row],[Last_Restock_Date]])</f>
        <v>5</v>
      </c>
      <c r="O99" t="str" cm="1">
        <f t="array" ref="O99">_xlfn.SWITCH(Table1[[#This Row],[Month_Number]],
    1,"Q1",2,"Q1",3,"Q1",
    4,"Q2",5,"Q2",6,"Q2",
    7,"Q3",8,"Q3",9,"Q3",
    10,"Q4",11,"Q4",12,"Q4",
    "Invalid Month"
)</f>
        <v>Q2</v>
      </c>
      <c r="P99" t="str">
        <f>TEXT(Table1[[#This Row],[Last_Restock_Date]],"mmm")</f>
        <v>May</v>
      </c>
    </row>
    <row r="100" spans="1:16" x14ac:dyDescent="0.25">
      <c r="A100">
        <v>99</v>
      </c>
      <c r="B100" s="5" t="s">
        <v>31</v>
      </c>
      <c r="C100" s="5" t="s">
        <v>20</v>
      </c>
      <c r="D100" s="5" t="s">
        <v>21</v>
      </c>
      <c r="E100" s="5" t="s">
        <v>27</v>
      </c>
      <c r="F100" s="2">
        <v>146</v>
      </c>
      <c r="G100" s="3">
        <v>559.09</v>
      </c>
      <c r="H100">
        <v>61</v>
      </c>
      <c r="I100">
        <f>IF(Table1[[#This Row],[Status]]= "Sufficient",
     Table1[[#This Row],[Stock_Quantity]] - Table1[[#This Row],[Reorder_Level]],
     0)</f>
        <v>85</v>
      </c>
      <c r="J100" s="4">
        <v>45604</v>
      </c>
      <c r="K100" s="5" t="s">
        <v>14</v>
      </c>
      <c r="L100">
        <f>YEAR(Table1[[#This Row],[Last_Restock_Date]])</f>
        <v>2024</v>
      </c>
      <c r="M100" t="str">
        <f>_xlfn.CONCAT(TEXT(Table1[[#This Row],[Last_Restock_Date]],"mmm"), "-", YEAR(Table1[[#This Row],[Last_Restock_Date]]))</f>
        <v>Nov-2024</v>
      </c>
      <c r="N100">
        <f>MONTH(Table1[[#This Row],[Last_Restock_Date]])</f>
        <v>11</v>
      </c>
      <c r="O100" t="str" cm="1">
        <f t="array" ref="O100">_xlfn.SWITCH(Table1[[#This Row],[Month_Number]],
    1,"Q1",2,"Q1",3,"Q1",
    4,"Q2",5,"Q2",6,"Q2",
    7,"Q3",8,"Q3",9,"Q3",
    10,"Q4",11,"Q4",12,"Q4",
    "Invalid Month"
)</f>
        <v>Q4</v>
      </c>
      <c r="P100" t="str">
        <f>TEXT(Table1[[#This Row],[Last_Restock_Date]],"mmm")</f>
        <v>Nov</v>
      </c>
    </row>
    <row r="101" spans="1:16" x14ac:dyDescent="0.25">
      <c r="A101">
        <v>100</v>
      </c>
      <c r="B101" s="5" t="s">
        <v>22</v>
      </c>
      <c r="C101" s="5" t="s">
        <v>11</v>
      </c>
      <c r="D101" s="5" t="s">
        <v>12</v>
      </c>
      <c r="E101" s="5" t="s">
        <v>13</v>
      </c>
      <c r="F101" s="2">
        <v>338</v>
      </c>
      <c r="G101" s="3">
        <v>239.9</v>
      </c>
      <c r="H101">
        <v>66</v>
      </c>
      <c r="I101">
        <f>IF(Table1[[#This Row],[Status]]= "Sufficient",
     Table1[[#This Row],[Stock_Quantity]] - Table1[[#This Row],[Reorder_Level]],
     0)</f>
        <v>272</v>
      </c>
      <c r="J101" s="4">
        <v>46021</v>
      </c>
      <c r="K101" s="5" t="s">
        <v>14</v>
      </c>
      <c r="L101">
        <f>YEAR(Table1[[#This Row],[Last_Restock_Date]])</f>
        <v>2025</v>
      </c>
      <c r="M101" t="str">
        <f>_xlfn.CONCAT(TEXT(Table1[[#This Row],[Last_Restock_Date]],"mmm"), "-", YEAR(Table1[[#This Row],[Last_Restock_Date]]))</f>
        <v>Dec-2025</v>
      </c>
      <c r="N101">
        <f>MONTH(Table1[[#This Row],[Last_Restock_Date]])</f>
        <v>12</v>
      </c>
      <c r="O101" t="str" cm="1">
        <f t="array" ref="O101">_xlfn.SWITCH(Table1[[#This Row],[Month_Number]],
    1,"Q1",2,"Q1",3,"Q1",
    4,"Q2",5,"Q2",6,"Q2",
    7,"Q3",8,"Q3",9,"Q3",
    10,"Q4",11,"Q4",12,"Q4",
    "Invalid Month"
)</f>
        <v>Q4</v>
      </c>
      <c r="P101" t="str">
        <f>TEXT(Table1[[#This Row],[Last_Restock_Date]],"mmm")</f>
        <v>Dec</v>
      </c>
    </row>
    <row r="102" spans="1:16" x14ac:dyDescent="0.25">
      <c r="A102">
        <v>101</v>
      </c>
      <c r="B102" s="5" t="s">
        <v>15</v>
      </c>
      <c r="C102" s="5" t="s">
        <v>16</v>
      </c>
      <c r="D102" s="5" t="s">
        <v>21</v>
      </c>
      <c r="E102" s="5" t="s">
        <v>13</v>
      </c>
      <c r="F102" s="2">
        <v>260</v>
      </c>
      <c r="G102" s="3">
        <v>428.62</v>
      </c>
      <c r="H102">
        <v>142</v>
      </c>
      <c r="I102">
        <f>IF(Table1[[#This Row],[Status]]= "Sufficient",
     Table1[[#This Row],[Stock_Quantity]] - Table1[[#This Row],[Reorder_Level]],
     0)</f>
        <v>118</v>
      </c>
      <c r="J102" s="4">
        <v>45221</v>
      </c>
      <c r="K102" s="5" t="s">
        <v>14</v>
      </c>
      <c r="L102">
        <f>YEAR(Table1[[#This Row],[Last_Restock_Date]])</f>
        <v>2023</v>
      </c>
      <c r="M102" t="str">
        <f>_xlfn.CONCAT(TEXT(Table1[[#This Row],[Last_Restock_Date]],"mmm"), "-", YEAR(Table1[[#This Row],[Last_Restock_Date]]))</f>
        <v>Oct-2023</v>
      </c>
      <c r="N102">
        <f>MONTH(Table1[[#This Row],[Last_Restock_Date]])</f>
        <v>10</v>
      </c>
      <c r="O102" t="str" cm="1">
        <f t="array" ref="O102">_xlfn.SWITCH(Table1[[#This Row],[Month_Number]],
    1,"Q1",2,"Q1",3,"Q1",
    4,"Q2",5,"Q2",6,"Q2",
    7,"Q3",8,"Q3",9,"Q3",
    10,"Q4",11,"Q4",12,"Q4",
    "Invalid Month"
)</f>
        <v>Q4</v>
      </c>
      <c r="P102" t="str">
        <f>TEXT(Table1[[#This Row],[Last_Restock_Date]],"mmm")</f>
        <v>Oct</v>
      </c>
    </row>
    <row r="103" spans="1:16" x14ac:dyDescent="0.25">
      <c r="A103">
        <v>102</v>
      </c>
      <c r="B103" s="5" t="s">
        <v>25</v>
      </c>
      <c r="C103" s="5" t="s">
        <v>26</v>
      </c>
      <c r="D103" s="5" t="s">
        <v>17</v>
      </c>
      <c r="E103" s="5" t="s">
        <v>18</v>
      </c>
      <c r="F103" s="2">
        <v>50</v>
      </c>
      <c r="G103" s="3">
        <v>337.2</v>
      </c>
      <c r="H103">
        <v>68</v>
      </c>
      <c r="I103">
        <f>IF(Table1[[#This Row],[Status]]= "Sufficient",
     Table1[[#This Row],[Stock_Quantity]] - Table1[[#This Row],[Reorder_Level]],
     0)</f>
        <v>0</v>
      </c>
      <c r="J103" s="4">
        <v>45753</v>
      </c>
      <c r="K103" s="5" t="s">
        <v>28</v>
      </c>
      <c r="L103">
        <f>YEAR(Table1[[#This Row],[Last_Restock_Date]])</f>
        <v>2025</v>
      </c>
      <c r="M103" t="str">
        <f>_xlfn.CONCAT(TEXT(Table1[[#This Row],[Last_Restock_Date]],"mmm"), "-", YEAR(Table1[[#This Row],[Last_Restock_Date]]))</f>
        <v>Apr-2025</v>
      </c>
      <c r="N103">
        <f>MONTH(Table1[[#This Row],[Last_Restock_Date]])</f>
        <v>4</v>
      </c>
      <c r="O103" t="str" cm="1">
        <f t="array" ref="O103">_xlfn.SWITCH(Table1[[#This Row],[Month_Number]],
    1,"Q1",2,"Q1",3,"Q1",
    4,"Q2",5,"Q2",6,"Q2",
    7,"Q3",8,"Q3",9,"Q3",
    10,"Q4",11,"Q4",12,"Q4",
    "Invalid Month"
)</f>
        <v>Q2</v>
      </c>
      <c r="P103" t="str">
        <f>TEXT(Table1[[#This Row],[Last_Restock_Date]],"mmm")</f>
        <v>Apr</v>
      </c>
    </row>
    <row r="104" spans="1:16" x14ac:dyDescent="0.25">
      <c r="A104">
        <v>103</v>
      </c>
      <c r="B104" s="5" t="s">
        <v>41</v>
      </c>
      <c r="C104" s="5" t="s">
        <v>16</v>
      </c>
      <c r="D104" s="5" t="s">
        <v>17</v>
      </c>
      <c r="E104" s="5" t="s">
        <v>39</v>
      </c>
      <c r="F104" s="2">
        <v>156</v>
      </c>
      <c r="G104" s="3">
        <v>318.95</v>
      </c>
      <c r="H104">
        <v>126</v>
      </c>
      <c r="I104">
        <f>IF(Table1[[#This Row],[Status]]= "Sufficient",
     Table1[[#This Row],[Stock_Quantity]] - Table1[[#This Row],[Reorder_Level]],
     0)</f>
        <v>30</v>
      </c>
      <c r="J104" s="4">
        <v>45859</v>
      </c>
      <c r="K104" s="5" t="s">
        <v>14</v>
      </c>
      <c r="L104">
        <f>YEAR(Table1[[#This Row],[Last_Restock_Date]])</f>
        <v>2025</v>
      </c>
      <c r="M104" t="str">
        <f>_xlfn.CONCAT(TEXT(Table1[[#This Row],[Last_Restock_Date]],"mmm"), "-", YEAR(Table1[[#This Row],[Last_Restock_Date]]))</f>
        <v>Jul-2025</v>
      </c>
      <c r="N104">
        <f>MONTH(Table1[[#This Row],[Last_Restock_Date]])</f>
        <v>7</v>
      </c>
      <c r="O104" t="str" cm="1">
        <f t="array" ref="O104">_xlfn.SWITCH(Table1[[#This Row],[Month_Number]],
    1,"Q1",2,"Q1",3,"Q1",
    4,"Q2",5,"Q2",6,"Q2",
    7,"Q3",8,"Q3",9,"Q3",
    10,"Q4",11,"Q4",12,"Q4",
    "Invalid Month"
)</f>
        <v>Q3</v>
      </c>
      <c r="P104" t="str">
        <f>TEXT(Table1[[#This Row],[Last_Restock_Date]],"mmm")</f>
        <v>Jul</v>
      </c>
    </row>
    <row r="105" spans="1:16" x14ac:dyDescent="0.25">
      <c r="A105">
        <v>104</v>
      </c>
      <c r="B105" s="5" t="s">
        <v>44</v>
      </c>
      <c r="C105" s="5" t="s">
        <v>34</v>
      </c>
      <c r="D105" s="5" t="s">
        <v>17</v>
      </c>
      <c r="E105" s="5" t="s">
        <v>18</v>
      </c>
      <c r="F105" s="2">
        <v>396</v>
      </c>
      <c r="G105" s="3">
        <v>748.22</v>
      </c>
      <c r="H105">
        <v>88</v>
      </c>
      <c r="I105">
        <f>IF(Table1[[#This Row],[Status]]= "Sufficient",
     Table1[[#This Row],[Stock_Quantity]] - Table1[[#This Row],[Reorder_Level]],
     0)</f>
        <v>308</v>
      </c>
      <c r="J105" s="4">
        <v>45999</v>
      </c>
      <c r="K105" s="5" t="s">
        <v>14</v>
      </c>
      <c r="L105">
        <f>YEAR(Table1[[#This Row],[Last_Restock_Date]])</f>
        <v>2025</v>
      </c>
      <c r="M105" t="str">
        <f>_xlfn.CONCAT(TEXT(Table1[[#This Row],[Last_Restock_Date]],"mmm"), "-", YEAR(Table1[[#This Row],[Last_Restock_Date]]))</f>
        <v>Dec-2025</v>
      </c>
      <c r="N105">
        <f>MONTH(Table1[[#This Row],[Last_Restock_Date]])</f>
        <v>12</v>
      </c>
      <c r="O105" t="str" cm="1">
        <f t="array" ref="O105">_xlfn.SWITCH(Table1[[#This Row],[Month_Number]],
    1,"Q1",2,"Q1",3,"Q1",
    4,"Q2",5,"Q2",6,"Q2",
    7,"Q3",8,"Q3",9,"Q3",
    10,"Q4",11,"Q4",12,"Q4",
    "Invalid Month"
)</f>
        <v>Q4</v>
      </c>
      <c r="P105" t="str">
        <f>TEXT(Table1[[#This Row],[Last_Restock_Date]],"mmm")</f>
        <v>Dec</v>
      </c>
    </row>
    <row r="106" spans="1:16" x14ac:dyDescent="0.25">
      <c r="A106">
        <v>105</v>
      </c>
      <c r="B106" s="5" t="s">
        <v>48</v>
      </c>
      <c r="C106" s="5" t="s">
        <v>20</v>
      </c>
      <c r="D106" s="5" t="s">
        <v>21</v>
      </c>
      <c r="E106" s="5" t="s">
        <v>37</v>
      </c>
      <c r="F106" s="2">
        <v>99</v>
      </c>
      <c r="G106" s="3">
        <v>215.78</v>
      </c>
      <c r="H106">
        <v>148</v>
      </c>
      <c r="I106">
        <f>IF(Table1[[#This Row],[Status]]= "Sufficient",
     Table1[[#This Row],[Stock_Quantity]] - Table1[[#This Row],[Reorder_Level]],
     0)</f>
        <v>0</v>
      </c>
      <c r="J106" s="4">
        <v>45057</v>
      </c>
      <c r="K106" s="5" t="s">
        <v>28</v>
      </c>
      <c r="L106">
        <f>YEAR(Table1[[#This Row],[Last_Restock_Date]])</f>
        <v>2023</v>
      </c>
      <c r="M106" t="str">
        <f>_xlfn.CONCAT(TEXT(Table1[[#This Row],[Last_Restock_Date]],"mmm"), "-", YEAR(Table1[[#This Row],[Last_Restock_Date]]))</f>
        <v>May-2023</v>
      </c>
      <c r="N106">
        <f>MONTH(Table1[[#This Row],[Last_Restock_Date]])</f>
        <v>5</v>
      </c>
      <c r="O106" t="str" cm="1">
        <f t="array" ref="O106">_xlfn.SWITCH(Table1[[#This Row],[Month_Number]],
    1,"Q1",2,"Q1",3,"Q1",
    4,"Q2",5,"Q2",6,"Q2",
    7,"Q3",8,"Q3",9,"Q3",
    10,"Q4",11,"Q4",12,"Q4",
    "Invalid Month"
)</f>
        <v>Q2</v>
      </c>
      <c r="P106" t="str">
        <f>TEXT(Table1[[#This Row],[Last_Restock_Date]],"mmm")</f>
        <v>May</v>
      </c>
    </row>
    <row r="107" spans="1:16" x14ac:dyDescent="0.25">
      <c r="A107">
        <v>106</v>
      </c>
      <c r="B107" s="5" t="s">
        <v>53</v>
      </c>
      <c r="C107" s="5" t="s">
        <v>26</v>
      </c>
      <c r="D107" s="5" t="s">
        <v>24</v>
      </c>
      <c r="E107" s="5" t="s">
        <v>39</v>
      </c>
      <c r="F107" s="2">
        <v>235</v>
      </c>
      <c r="G107" s="3">
        <v>72.239999999999995</v>
      </c>
      <c r="H107">
        <v>123</v>
      </c>
      <c r="I107">
        <f>IF(Table1[[#This Row],[Status]]= "Sufficient",
     Table1[[#This Row],[Stock_Quantity]] - Table1[[#This Row],[Reorder_Level]],
     0)</f>
        <v>112</v>
      </c>
      <c r="J107" s="4">
        <v>45054</v>
      </c>
      <c r="K107" s="5" t="s">
        <v>14</v>
      </c>
      <c r="L107">
        <f>YEAR(Table1[[#This Row],[Last_Restock_Date]])</f>
        <v>2023</v>
      </c>
      <c r="M107" t="str">
        <f>_xlfn.CONCAT(TEXT(Table1[[#This Row],[Last_Restock_Date]],"mmm"), "-", YEAR(Table1[[#This Row],[Last_Restock_Date]]))</f>
        <v>May-2023</v>
      </c>
      <c r="N107">
        <f>MONTH(Table1[[#This Row],[Last_Restock_Date]])</f>
        <v>5</v>
      </c>
      <c r="O107" t="str" cm="1">
        <f t="array" ref="O107">_xlfn.SWITCH(Table1[[#This Row],[Month_Number]],
    1,"Q1",2,"Q1",3,"Q1",
    4,"Q2",5,"Q2",6,"Q2",
    7,"Q3",8,"Q3",9,"Q3",
    10,"Q4",11,"Q4",12,"Q4",
    "Invalid Month"
)</f>
        <v>Q2</v>
      </c>
      <c r="P107" t="str">
        <f>TEXT(Table1[[#This Row],[Last_Restock_Date]],"mmm")</f>
        <v>May</v>
      </c>
    </row>
    <row r="108" spans="1:16" x14ac:dyDescent="0.25">
      <c r="A108">
        <v>107</v>
      </c>
      <c r="B108" s="5" t="s">
        <v>40</v>
      </c>
      <c r="C108" s="5" t="s">
        <v>34</v>
      </c>
      <c r="D108" s="5" t="s">
        <v>17</v>
      </c>
      <c r="E108" s="5" t="s">
        <v>32</v>
      </c>
      <c r="F108" s="2">
        <v>326</v>
      </c>
      <c r="G108" s="3">
        <v>388.26</v>
      </c>
      <c r="H108">
        <v>138</v>
      </c>
      <c r="I108">
        <f>IF(Table1[[#This Row],[Status]]= "Sufficient",
     Table1[[#This Row],[Stock_Quantity]] - Table1[[#This Row],[Reorder_Level]],
     0)</f>
        <v>188</v>
      </c>
      <c r="J108" s="4">
        <v>45872</v>
      </c>
      <c r="K108" s="5" t="s">
        <v>14</v>
      </c>
      <c r="L108">
        <f>YEAR(Table1[[#This Row],[Last_Restock_Date]])</f>
        <v>2025</v>
      </c>
      <c r="M108" t="str">
        <f>_xlfn.CONCAT(TEXT(Table1[[#This Row],[Last_Restock_Date]],"mmm"), "-", YEAR(Table1[[#This Row],[Last_Restock_Date]]))</f>
        <v>Aug-2025</v>
      </c>
      <c r="N108">
        <f>MONTH(Table1[[#This Row],[Last_Restock_Date]])</f>
        <v>8</v>
      </c>
      <c r="O108" t="str" cm="1">
        <f t="array" ref="O108">_xlfn.SWITCH(Table1[[#This Row],[Month_Number]],
    1,"Q1",2,"Q1",3,"Q1",
    4,"Q2",5,"Q2",6,"Q2",
    7,"Q3",8,"Q3",9,"Q3",
    10,"Q4",11,"Q4",12,"Q4",
    "Invalid Month"
)</f>
        <v>Q3</v>
      </c>
      <c r="P108" t="str">
        <f>TEXT(Table1[[#This Row],[Last_Restock_Date]],"mmm")</f>
        <v>Aug</v>
      </c>
    </row>
    <row r="109" spans="1:16" x14ac:dyDescent="0.25">
      <c r="A109">
        <v>108</v>
      </c>
      <c r="B109" s="5" t="s">
        <v>36</v>
      </c>
      <c r="C109" s="5" t="s">
        <v>11</v>
      </c>
      <c r="D109" s="5" t="s">
        <v>21</v>
      </c>
      <c r="E109" s="5" t="s">
        <v>39</v>
      </c>
      <c r="F109" s="2">
        <v>230</v>
      </c>
      <c r="G109" s="3">
        <v>235.04</v>
      </c>
      <c r="H109">
        <v>96</v>
      </c>
      <c r="I109">
        <f>IF(Table1[[#This Row],[Status]]= "Sufficient",
     Table1[[#This Row],[Stock_Quantity]] - Table1[[#This Row],[Reorder_Level]],
     0)</f>
        <v>134</v>
      </c>
      <c r="J109" s="4">
        <v>45580</v>
      </c>
      <c r="K109" s="5" t="s">
        <v>14</v>
      </c>
      <c r="L109">
        <f>YEAR(Table1[[#This Row],[Last_Restock_Date]])</f>
        <v>2024</v>
      </c>
      <c r="M109" t="str">
        <f>_xlfn.CONCAT(TEXT(Table1[[#This Row],[Last_Restock_Date]],"mmm"), "-", YEAR(Table1[[#This Row],[Last_Restock_Date]]))</f>
        <v>Oct-2024</v>
      </c>
      <c r="N109">
        <f>MONTH(Table1[[#This Row],[Last_Restock_Date]])</f>
        <v>10</v>
      </c>
      <c r="O109" t="str" cm="1">
        <f t="array" ref="O109">_xlfn.SWITCH(Table1[[#This Row],[Month_Number]],
    1,"Q1",2,"Q1",3,"Q1",
    4,"Q2",5,"Q2",6,"Q2",
    7,"Q3",8,"Q3",9,"Q3",
    10,"Q4",11,"Q4",12,"Q4",
    "Invalid Month"
)</f>
        <v>Q4</v>
      </c>
      <c r="P109" t="str">
        <f>TEXT(Table1[[#This Row],[Last_Restock_Date]],"mmm")</f>
        <v>Oct</v>
      </c>
    </row>
    <row r="110" spans="1:16" x14ac:dyDescent="0.25">
      <c r="A110">
        <v>109</v>
      </c>
      <c r="B110" s="5" t="s">
        <v>10</v>
      </c>
      <c r="C110" s="5" t="s">
        <v>11</v>
      </c>
      <c r="D110" s="5" t="s">
        <v>12</v>
      </c>
      <c r="E110" s="5" t="s">
        <v>13</v>
      </c>
      <c r="F110" s="2">
        <v>361</v>
      </c>
      <c r="G110" s="3">
        <v>691.71</v>
      </c>
      <c r="H110">
        <v>100</v>
      </c>
      <c r="I110">
        <f>IF(Table1[[#This Row],[Status]]= "Sufficient",
     Table1[[#This Row],[Stock_Quantity]] - Table1[[#This Row],[Reorder_Level]],
     0)</f>
        <v>261</v>
      </c>
      <c r="J110" s="4">
        <v>45103</v>
      </c>
      <c r="K110" s="5" t="s">
        <v>14</v>
      </c>
      <c r="L110">
        <f>YEAR(Table1[[#This Row],[Last_Restock_Date]])</f>
        <v>2023</v>
      </c>
      <c r="M110" t="str">
        <f>_xlfn.CONCAT(TEXT(Table1[[#This Row],[Last_Restock_Date]],"mmm"), "-", YEAR(Table1[[#This Row],[Last_Restock_Date]]))</f>
        <v>Jun-2023</v>
      </c>
      <c r="N110">
        <f>MONTH(Table1[[#This Row],[Last_Restock_Date]])</f>
        <v>6</v>
      </c>
      <c r="O110" t="str" cm="1">
        <f t="array" ref="O110">_xlfn.SWITCH(Table1[[#This Row],[Month_Number]],
    1,"Q1",2,"Q1",3,"Q1",
    4,"Q2",5,"Q2",6,"Q2",
    7,"Q3",8,"Q3",9,"Q3",
    10,"Q4",11,"Q4",12,"Q4",
    "Invalid Month"
)</f>
        <v>Q2</v>
      </c>
      <c r="P110" t="str">
        <f>TEXT(Table1[[#This Row],[Last_Restock_Date]],"mmm")</f>
        <v>Jun</v>
      </c>
    </row>
    <row r="111" spans="1:16" x14ac:dyDescent="0.25">
      <c r="A111">
        <v>110</v>
      </c>
      <c r="B111" s="5" t="s">
        <v>33</v>
      </c>
      <c r="C111" s="5" t="s">
        <v>34</v>
      </c>
      <c r="D111" s="5" t="s">
        <v>30</v>
      </c>
      <c r="E111" s="5" t="s">
        <v>18</v>
      </c>
      <c r="F111" s="2">
        <v>494</v>
      </c>
      <c r="G111" s="3">
        <v>449.17</v>
      </c>
      <c r="H111">
        <v>130</v>
      </c>
      <c r="I111">
        <f>IF(Table1[[#This Row],[Status]]= "Sufficient",
     Table1[[#This Row],[Stock_Quantity]] - Table1[[#This Row],[Reorder_Level]],
     0)</f>
        <v>364</v>
      </c>
      <c r="J111" s="4">
        <v>45189</v>
      </c>
      <c r="K111" s="5" t="s">
        <v>14</v>
      </c>
      <c r="L111">
        <f>YEAR(Table1[[#This Row],[Last_Restock_Date]])</f>
        <v>2023</v>
      </c>
      <c r="M111" t="str">
        <f>_xlfn.CONCAT(TEXT(Table1[[#This Row],[Last_Restock_Date]],"mmm"), "-", YEAR(Table1[[#This Row],[Last_Restock_Date]]))</f>
        <v>Sep-2023</v>
      </c>
      <c r="N111">
        <f>MONTH(Table1[[#This Row],[Last_Restock_Date]])</f>
        <v>9</v>
      </c>
      <c r="O111" t="str" cm="1">
        <f t="array" ref="O111">_xlfn.SWITCH(Table1[[#This Row],[Month_Number]],
    1,"Q1",2,"Q1",3,"Q1",
    4,"Q2",5,"Q2",6,"Q2",
    7,"Q3",8,"Q3",9,"Q3",
    10,"Q4",11,"Q4",12,"Q4",
    "Invalid Month"
)</f>
        <v>Q3</v>
      </c>
      <c r="P111" t="str">
        <f>TEXT(Table1[[#This Row],[Last_Restock_Date]],"mmm")</f>
        <v>Sep</v>
      </c>
    </row>
    <row r="112" spans="1:16" x14ac:dyDescent="0.25">
      <c r="A112">
        <v>111</v>
      </c>
      <c r="B112" s="5" t="s">
        <v>35</v>
      </c>
      <c r="C112" s="5" t="s">
        <v>11</v>
      </c>
      <c r="D112" s="5" t="s">
        <v>30</v>
      </c>
      <c r="E112" s="5" t="s">
        <v>27</v>
      </c>
      <c r="F112" s="2">
        <v>220</v>
      </c>
      <c r="G112" s="3">
        <v>32.78</v>
      </c>
      <c r="H112">
        <v>119</v>
      </c>
      <c r="I112">
        <f>IF(Table1[[#This Row],[Status]]= "Sufficient",
     Table1[[#This Row],[Stock_Quantity]] - Table1[[#This Row],[Reorder_Level]],
     0)</f>
        <v>101</v>
      </c>
      <c r="J112" s="4">
        <v>45716</v>
      </c>
      <c r="K112" s="5" t="s">
        <v>14</v>
      </c>
      <c r="L112">
        <f>YEAR(Table1[[#This Row],[Last_Restock_Date]])</f>
        <v>2025</v>
      </c>
      <c r="M112" t="str">
        <f>_xlfn.CONCAT(TEXT(Table1[[#This Row],[Last_Restock_Date]],"mmm"), "-", YEAR(Table1[[#This Row],[Last_Restock_Date]]))</f>
        <v>Feb-2025</v>
      </c>
      <c r="N112">
        <f>MONTH(Table1[[#This Row],[Last_Restock_Date]])</f>
        <v>2</v>
      </c>
      <c r="O112" t="str" cm="1">
        <f t="array" ref="O112">_xlfn.SWITCH(Table1[[#This Row],[Month_Number]],
    1,"Q1",2,"Q1",3,"Q1",
    4,"Q2",5,"Q2",6,"Q2",
    7,"Q3",8,"Q3",9,"Q3",
    10,"Q4",11,"Q4",12,"Q4",
    "Invalid Month"
)</f>
        <v>Q1</v>
      </c>
      <c r="P112" t="str">
        <f>TEXT(Table1[[#This Row],[Last_Restock_Date]],"mmm")</f>
        <v>Feb</v>
      </c>
    </row>
    <row r="113" spans="1:16" x14ac:dyDescent="0.25">
      <c r="A113">
        <v>112</v>
      </c>
      <c r="B113" s="5" t="s">
        <v>10</v>
      </c>
      <c r="C113" s="5" t="s">
        <v>11</v>
      </c>
      <c r="D113" s="5" t="s">
        <v>12</v>
      </c>
      <c r="E113" s="5" t="s">
        <v>32</v>
      </c>
      <c r="F113" s="2">
        <v>219</v>
      </c>
      <c r="G113" s="3">
        <v>662.8</v>
      </c>
      <c r="H113">
        <v>74</v>
      </c>
      <c r="I113">
        <f>IF(Table1[[#This Row],[Status]]= "Sufficient",
     Table1[[#This Row],[Stock_Quantity]] - Table1[[#This Row],[Reorder_Level]],
     0)</f>
        <v>145</v>
      </c>
      <c r="J113" s="4">
        <v>45150</v>
      </c>
      <c r="K113" s="5" t="s">
        <v>14</v>
      </c>
      <c r="L113">
        <f>YEAR(Table1[[#This Row],[Last_Restock_Date]])</f>
        <v>2023</v>
      </c>
      <c r="M113" t="str">
        <f>_xlfn.CONCAT(TEXT(Table1[[#This Row],[Last_Restock_Date]],"mmm"), "-", YEAR(Table1[[#This Row],[Last_Restock_Date]]))</f>
        <v>Aug-2023</v>
      </c>
      <c r="N113">
        <f>MONTH(Table1[[#This Row],[Last_Restock_Date]])</f>
        <v>8</v>
      </c>
      <c r="O113" t="str" cm="1">
        <f t="array" ref="O113">_xlfn.SWITCH(Table1[[#This Row],[Month_Number]],
    1,"Q1",2,"Q1",3,"Q1",
    4,"Q2",5,"Q2",6,"Q2",
    7,"Q3",8,"Q3",9,"Q3",
    10,"Q4",11,"Q4",12,"Q4",
    "Invalid Month"
)</f>
        <v>Q3</v>
      </c>
      <c r="P113" t="str">
        <f>TEXT(Table1[[#This Row],[Last_Restock_Date]],"mmm")</f>
        <v>Aug</v>
      </c>
    </row>
    <row r="114" spans="1:16" x14ac:dyDescent="0.25">
      <c r="A114">
        <v>113</v>
      </c>
      <c r="B114" s="5" t="s">
        <v>42</v>
      </c>
      <c r="C114" s="5" t="s">
        <v>16</v>
      </c>
      <c r="D114" s="5" t="s">
        <v>24</v>
      </c>
      <c r="E114" s="5" t="s">
        <v>13</v>
      </c>
      <c r="F114" s="2">
        <v>188</v>
      </c>
      <c r="G114" s="3">
        <v>334.16</v>
      </c>
      <c r="H114">
        <v>83</v>
      </c>
      <c r="I114">
        <f>IF(Table1[[#This Row],[Status]]= "Sufficient",
     Table1[[#This Row],[Stock_Quantity]] - Table1[[#This Row],[Reorder_Level]],
     0)</f>
        <v>105</v>
      </c>
      <c r="J114" s="4">
        <v>45144</v>
      </c>
      <c r="K114" s="5" t="s">
        <v>14</v>
      </c>
      <c r="L114">
        <f>YEAR(Table1[[#This Row],[Last_Restock_Date]])</f>
        <v>2023</v>
      </c>
      <c r="M114" t="str">
        <f>_xlfn.CONCAT(TEXT(Table1[[#This Row],[Last_Restock_Date]],"mmm"), "-", YEAR(Table1[[#This Row],[Last_Restock_Date]]))</f>
        <v>Aug-2023</v>
      </c>
      <c r="N114">
        <f>MONTH(Table1[[#This Row],[Last_Restock_Date]])</f>
        <v>8</v>
      </c>
      <c r="O114" t="str" cm="1">
        <f t="array" ref="O114">_xlfn.SWITCH(Table1[[#This Row],[Month_Number]],
    1,"Q1",2,"Q1",3,"Q1",
    4,"Q2",5,"Q2",6,"Q2",
    7,"Q3",8,"Q3",9,"Q3",
    10,"Q4",11,"Q4",12,"Q4",
    "Invalid Month"
)</f>
        <v>Q3</v>
      </c>
      <c r="P114" t="str">
        <f>TEXT(Table1[[#This Row],[Last_Restock_Date]],"mmm")</f>
        <v>Aug</v>
      </c>
    </row>
    <row r="115" spans="1:16" x14ac:dyDescent="0.25">
      <c r="A115">
        <v>114</v>
      </c>
      <c r="B115" s="5" t="s">
        <v>49</v>
      </c>
      <c r="C115" s="5" t="s">
        <v>16</v>
      </c>
      <c r="D115" s="5" t="s">
        <v>21</v>
      </c>
      <c r="E115" s="5" t="s">
        <v>18</v>
      </c>
      <c r="F115" s="2">
        <v>313</v>
      </c>
      <c r="G115" s="3">
        <v>402.01</v>
      </c>
      <c r="H115">
        <v>102</v>
      </c>
      <c r="I115">
        <f>IF(Table1[[#This Row],[Status]]= "Sufficient",
     Table1[[#This Row],[Stock_Quantity]] - Table1[[#This Row],[Reorder_Level]],
     0)</f>
        <v>211</v>
      </c>
      <c r="J115" s="4">
        <v>45491</v>
      </c>
      <c r="K115" s="5" t="s">
        <v>14</v>
      </c>
      <c r="L115">
        <f>YEAR(Table1[[#This Row],[Last_Restock_Date]])</f>
        <v>2024</v>
      </c>
      <c r="M115" t="str">
        <f>_xlfn.CONCAT(TEXT(Table1[[#This Row],[Last_Restock_Date]],"mmm"), "-", YEAR(Table1[[#This Row],[Last_Restock_Date]]))</f>
        <v>Jul-2024</v>
      </c>
      <c r="N115">
        <f>MONTH(Table1[[#This Row],[Last_Restock_Date]])</f>
        <v>7</v>
      </c>
      <c r="O115" t="str" cm="1">
        <f t="array" ref="O115">_xlfn.SWITCH(Table1[[#This Row],[Month_Number]],
    1,"Q1",2,"Q1",3,"Q1",
    4,"Q2",5,"Q2",6,"Q2",
    7,"Q3",8,"Q3",9,"Q3",
    10,"Q4",11,"Q4",12,"Q4",
    "Invalid Month"
)</f>
        <v>Q3</v>
      </c>
      <c r="P115" t="str">
        <f>TEXT(Table1[[#This Row],[Last_Restock_Date]],"mmm")</f>
        <v>Jul</v>
      </c>
    </row>
    <row r="116" spans="1:16" x14ac:dyDescent="0.25">
      <c r="A116">
        <v>115</v>
      </c>
      <c r="B116" s="5" t="s">
        <v>43</v>
      </c>
      <c r="C116" s="5" t="s">
        <v>26</v>
      </c>
      <c r="D116" s="5" t="s">
        <v>17</v>
      </c>
      <c r="E116" s="5" t="s">
        <v>32</v>
      </c>
      <c r="F116" s="2">
        <v>388</v>
      </c>
      <c r="G116" s="3">
        <v>648.44000000000005</v>
      </c>
      <c r="H116">
        <v>146</v>
      </c>
      <c r="I116">
        <f>IF(Table1[[#This Row],[Status]]= "Sufficient",
     Table1[[#This Row],[Stock_Quantity]] - Table1[[#This Row],[Reorder_Level]],
     0)</f>
        <v>242</v>
      </c>
      <c r="J116" s="4">
        <v>45018</v>
      </c>
      <c r="K116" s="5" t="s">
        <v>14</v>
      </c>
      <c r="L116">
        <f>YEAR(Table1[[#This Row],[Last_Restock_Date]])</f>
        <v>2023</v>
      </c>
      <c r="M116" t="str">
        <f>_xlfn.CONCAT(TEXT(Table1[[#This Row],[Last_Restock_Date]],"mmm"), "-", YEAR(Table1[[#This Row],[Last_Restock_Date]]))</f>
        <v>Apr-2023</v>
      </c>
      <c r="N116">
        <f>MONTH(Table1[[#This Row],[Last_Restock_Date]])</f>
        <v>4</v>
      </c>
      <c r="O116" t="str" cm="1">
        <f t="array" ref="O116">_xlfn.SWITCH(Table1[[#This Row],[Month_Number]],
    1,"Q1",2,"Q1",3,"Q1",
    4,"Q2",5,"Q2",6,"Q2",
    7,"Q3",8,"Q3",9,"Q3",
    10,"Q4",11,"Q4",12,"Q4",
    "Invalid Month"
)</f>
        <v>Q2</v>
      </c>
      <c r="P116" t="str">
        <f>TEXT(Table1[[#This Row],[Last_Restock_Date]],"mmm")</f>
        <v>Apr</v>
      </c>
    </row>
    <row r="117" spans="1:16" x14ac:dyDescent="0.25">
      <c r="A117">
        <v>116</v>
      </c>
      <c r="B117" s="5" t="s">
        <v>51</v>
      </c>
      <c r="C117" s="5" t="s">
        <v>11</v>
      </c>
      <c r="D117" s="5" t="s">
        <v>30</v>
      </c>
      <c r="E117" s="5" t="s">
        <v>32</v>
      </c>
      <c r="F117" s="2">
        <v>103</v>
      </c>
      <c r="G117" s="3">
        <v>34.590000000000003</v>
      </c>
      <c r="H117">
        <v>117</v>
      </c>
      <c r="I117">
        <f>IF(Table1[[#This Row],[Status]]= "Sufficient",
     Table1[[#This Row],[Stock_Quantity]] - Table1[[#This Row],[Reorder_Level]],
     0)</f>
        <v>0</v>
      </c>
      <c r="J117" s="4">
        <v>45272</v>
      </c>
      <c r="K117" s="5" t="s">
        <v>28</v>
      </c>
      <c r="L117">
        <f>YEAR(Table1[[#This Row],[Last_Restock_Date]])</f>
        <v>2023</v>
      </c>
      <c r="M117" t="str">
        <f>_xlfn.CONCAT(TEXT(Table1[[#This Row],[Last_Restock_Date]],"mmm"), "-", YEAR(Table1[[#This Row],[Last_Restock_Date]]))</f>
        <v>Dec-2023</v>
      </c>
      <c r="N117">
        <f>MONTH(Table1[[#This Row],[Last_Restock_Date]])</f>
        <v>12</v>
      </c>
      <c r="O117" t="str" cm="1">
        <f t="array" ref="O117">_xlfn.SWITCH(Table1[[#This Row],[Month_Number]],
    1,"Q1",2,"Q1",3,"Q1",
    4,"Q2",5,"Q2",6,"Q2",
    7,"Q3",8,"Q3",9,"Q3",
    10,"Q4",11,"Q4",12,"Q4",
    "Invalid Month"
)</f>
        <v>Q4</v>
      </c>
      <c r="P117" t="str">
        <f>TEXT(Table1[[#This Row],[Last_Restock_Date]],"mmm")</f>
        <v>Dec</v>
      </c>
    </row>
    <row r="118" spans="1:16" x14ac:dyDescent="0.25">
      <c r="A118">
        <v>117</v>
      </c>
      <c r="B118" s="5" t="s">
        <v>54</v>
      </c>
      <c r="C118" s="5" t="s">
        <v>20</v>
      </c>
      <c r="D118" s="5" t="s">
        <v>17</v>
      </c>
      <c r="E118" s="5" t="s">
        <v>13</v>
      </c>
      <c r="F118" s="2">
        <v>81</v>
      </c>
      <c r="G118" s="3">
        <v>81.430000000000007</v>
      </c>
      <c r="H118">
        <v>52</v>
      </c>
      <c r="I118">
        <f>IF(Table1[[#This Row],[Status]]= "Sufficient",
     Table1[[#This Row],[Stock_Quantity]] - Table1[[#This Row],[Reorder_Level]],
     0)</f>
        <v>29</v>
      </c>
      <c r="J118" s="4">
        <v>45923</v>
      </c>
      <c r="K118" s="5" t="s">
        <v>14</v>
      </c>
      <c r="L118">
        <f>YEAR(Table1[[#This Row],[Last_Restock_Date]])</f>
        <v>2025</v>
      </c>
      <c r="M118" t="str">
        <f>_xlfn.CONCAT(TEXT(Table1[[#This Row],[Last_Restock_Date]],"mmm"), "-", YEAR(Table1[[#This Row],[Last_Restock_Date]]))</f>
        <v>Sep-2025</v>
      </c>
      <c r="N118">
        <f>MONTH(Table1[[#This Row],[Last_Restock_Date]])</f>
        <v>9</v>
      </c>
      <c r="O118" t="str" cm="1">
        <f t="array" ref="O118">_xlfn.SWITCH(Table1[[#This Row],[Month_Number]],
    1,"Q1",2,"Q1",3,"Q1",
    4,"Q2",5,"Q2",6,"Q2",
    7,"Q3",8,"Q3",9,"Q3",
    10,"Q4",11,"Q4",12,"Q4",
    "Invalid Month"
)</f>
        <v>Q3</v>
      </c>
      <c r="P118" t="str">
        <f>TEXT(Table1[[#This Row],[Last_Restock_Date]],"mmm")</f>
        <v>Sep</v>
      </c>
    </row>
    <row r="119" spans="1:16" x14ac:dyDescent="0.25">
      <c r="A119">
        <v>118</v>
      </c>
      <c r="B119" s="5" t="s">
        <v>45</v>
      </c>
      <c r="C119" s="5" t="s">
        <v>26</v>
      </c>
      <c r="D119" s="5" t="s">
        <v>17</v>
      </c>
      <c r="E119" s="5" t="s">
        <v>13</v>
      </c>
      <c r="F119" s="2">
        <v>203</v>
      </c>
      <c r="G119" s="3">
        <v>198.59</v>
      </c>
      <c r="H119">
        <v>141</v>
      </c>
      <c r="I119">
        <f>IF(Table1[[#This Row],[Status]]= "Sufficient",
     Table1[[#This Row],[Stock_Quantity]] - Table1[[#This Row],[Reorder_Level]],
     0)</f>
        <v>62</v>
      </c>
      <c r="J119" s="4">
        <v>45048</v>
      </c>
      <c r="K119" s="5" t="s">
        <v>14</v>
      </c>
      <c r="L119">
        <f>YEAR(Table1[[#This Row],[Last_Restock_Date]])</f>
        <v>2023</v>
      </c>
      <c r="M119" t="str">
        <f>_xlfn.CONCAT(TEXT(Table1[[#This Row],[Last_Restock_Date]],"mmm"), "-", YEAR(Table1[[#This Row],[Last_Restock_Date]]))</f>
        <v>May-2023</v>
      </c>
      <c r="N119">
        <f>MONTH(Table1[[#This Row],[Last_Restock_Date]])</f>
        <v>5</v>
      </c>
      <c r="O119" t="str" cm="1">
        <f t="array" ref="O119">_xlfn.SWITCH(Table1[[#This Row],[Month_Number]],
    1,"Q1",2,"Q1",3,"Q1",
    4,"Q2",5,"Q2",6,"Q2",
    7,"Q3",8,"Q3",9,"Q3",
    10,"Q4",11,"Q4",12,"Q4",
    "Invalid Month"
)</f>
        <v>Q2</v>
      </c>
      <c r="P119" t="str">
        <f>TEXT(Table1[[#This Row],[Last_Restock_Date]],"mmm")</f>
        <v>May</v>
      </c>
    </row>
    <row r="120" spans="1:16" x14ac:dyDescent="0.25">
      <c r="A120">
        <v>119</v>
      </c>
      <c r="B120" s="5" t="s">
        <v>35</v>
      </c>
      <c r="C120" s="5" t="s">
        <v>11</v>
      </c>
      <c r="D120" s="5" t="s">
        <v>30</v>
      </c>
      <c r="E120" s="5" t="s">
        <v>32</v>
      </c>
      <c r="F120" s="2">
        <v>346</v>
      </c>
      <c r="G120" s="3">
        <v>211.31</v>
      </c>
      <c r="H120">
        <v>131</v>
      </c>
      <c r="I120">
        <f>IF(Table1[[#This Row],[Status]]= "Sufficient",
     Table1[[#This Row],[Stock_Quantity]] - Table1[[#This Row],[Reorder_Level]],
     0)</f>
        <v>215</v>
      </c>
      <c r="J120" s="4">
        <v>45399</v>
      </c>
      <c r="K120" s="5" t="s">
        <v>14</v>
      </c>
      <c r="L120">
        <f>YEAR(Table1[[#This Row],[Last_Restock_Date]])</f>
        <v>2024</v>
      </c>
      <c r="M120" t="str">
        <f>_xlfn.CONCAT(TEXT(Table1[[#This Row],[Last_Restock_Date]],"mmm"), "-", YEAR(Table1[[#This Row],[Last_Restock_Date]]))</f>
        <v>Apr-2024</v>
      </c>
      <c r="N120">
        <f>MONTH(Table1[[#This Row],[Last_Restock_Date]])</f>
        <v>4</v>
      </c>
      <c r="O120" t="str" cm="1">
        <f t="array" ref="O120">_xlfn.SWITCH(Table1[[#This Row],[Month_Number]],
    1,"Q1",2,"Q1",3,"Q1",
    4,"Q2",5,"Q2",6,"Q2",
    7,"Q3",8,"Q3",9,"Q3",
    10,"Q4",11,"Q4",12,"Q4",
    "Invalid Month"
)</f>
        <v>Q2</v>
      </c>
      <c r="P120" t="str">
        <f>TEXT(Table1[[#This Row],[Last_Restock_Date]],"mmm")</f>
        <v>Apr</v>
      </c>
    </row>
    <row r="121" spans="1:16" x14ac:dyDescent="0.25">
      <c r="A121">
        <v>120</v>
      </c>
      <c r="B121" s="5" t="s">
        <v>46</v>
      </c>
      <c r="C121" s="5" t="s">
        <v>34</v>
      </c>
      <c r="D121" s="5" t="s">
        <v>17</v>
      </c>
      <c r="E121" s="5" t="s">
        <v>27</v>
      </c>
      <c r="F121" s="2">
        <v>139</v>
      </c>
      <c r="G121" s="3">
        <v>464.17</v>
      </c>
      <c r="H121">
        <v>127</v>
      </c>
      <c r="I121">
        <f>IF(Table1[[#This Row],[Status]]= "Sufficient",
     Table1[[#This Row],[Stock_Quantity]] - Table1[[#This Row],[Reorder_Level]],
     0)</f>
        <v>12</v>
      </c>
      <c r="J121" s="4">
        <v>45947</v>
      </c>
      <c r="K121" s="5" t="s">
        <v>14</v>
      </c>
      <c r="L121">
        <f>YEAR(Table1[[#This Row],[Last_Restock_Date]])</f>
        <v>2025</v>
      </c>
      <c r="M121" t="str">
        <f>_xlfn.CONCAT(TEXT(Table1[[#This Row],[Last_Restock_Date]],"mmm"), "-", YEAR(Table1[[#This Row],[Last_Restock_Date]]))</f>
        <v>Oct-2025</v>
      </c>
      <c r="N121">
        <f>MONTH(Table1[[#This Row],[Last_Restock_Date]])</f>
        <v>10</v>
      </c>
      <c r="O121" t="str" cm="1">
        <f t="array" ref="O121">_xlfn.SWITCH(Table1[[#This Row],[Month_Number]],
    1,"Q1",2,"Q1",3,"Q1",
    4,"Q2",5,"Q2",6,"Q2",
    7,"Q3",8,"Q3",9,"Q3",
    10,"Q4",11,"Q4",12,"Q4",
    "Invalid Month"
)</f>
        <v>Q4</v>
      </c>
      <c r="P121" t="str">
        <f>TEXT(Table1[[#This Row],[Last_Restock_Date]],"mmm")</f>
        <v>Oct</v>
      </c>
    </row>
    <row r="122" spans="1:16" x14ac:dyDescent="0.25">
      <c r="A122">
        <v>121</v>
      </c>
      <c r="B122" s="5" t="s">
        <v>33</v>
      </c>
      <c r="C122" s="5" t="s">
        <v>34</v>
      </c>
      <c r="D122" s="5" t="s">
        <v>30</v>
      </c>
      <c r="E122" s="5" t="s">
        <v>27</v>
      </c>
      <c r="F122" s="2">
        <v>358</v>
      </c>
      <c r="G122" s="3">
        <v>156.46</v>
      </c>
      <c r="H122">
        <v>102</v>
      </c>
      <c r="I122">
        <f>IF(Table1[[#This Row],[Status]]= "Sufficient",
     Table1[[#This Row],[Stock_Quantity]] - Table1[[#This Row],[Reorder_Level]],
     0)</f>
        <v>256</v>
      </c>
      <c r="J122" s="4">
        <v>45711</v>
      </c>
      <c r="K122" s="5" t="s">
        <v>14</v>
      </c>
      <c r="L122">
        <f>YEAR(Table1[[#This Row],[Last_Restock_Date]])</f>
        <v>2025</v>
      </c>
      <c r="M122" t="str">
        <f>_xlfn.CONCAT(TEXT(Table1[[#This Row],[Last_Restock_Date]],"mmm"), "-", YEAR(Table1[[#This Row],[Last_Restock_Date]]))</f>
        <v>Feb-2025</v>
      </c>
      <c r="N122">
        <f>MONTH(Table1[[#This Row],[Last_Restock_Date]])</f>
        <v>2</v>
      </c>
      <c r="O122" t="str" cm="1">
        <f t="array" ref="O122">_xlfn.SWITCH(Table1[[#This Row],[Month_Number]],
    1,"Q1",2,"Q1",3,"Q1",
    4,"Q2",5,"Q2",6,"Q2",
    7,"Q3",8,"Q3",9,"Q3",
    10,"Q4",11,"Q4",12,"Q4",
    "Invalid Month"
)</f>
        <v>Q1</v>
      </c>
      <c r="P122" t="str">
        <f>TEXT(Table1[[#This Row],[Last_Restock_Date]],"mmm")</f>
        <v>Feb</v>
      </c>
    </row>
    <row r="123" spans="1:16" x14ac:dyDescent="0.25">
      <c r="A123">
        <v>122</v>
      </c>
      <c r="B123" s="5" t="s">
        <v>54</v>
      </c>
      <c r="C123" s="5" t="s">
        <v>20</v>
      </c>
      <c r="D123" s="5" t="s">
        <v>12</v>
      </c>
      <c r="E123" s="5" t="s">
        <v>32</v>
      </c>
      <c r="F123" s="2">
        <v>272</v>
      </c>
      <c r="G123" s="3">
        <v>799.84</v>
      </c>
      <c r="H123">
        <v>75</v>
      </c>
      <c r="I123">
        <f>IF(Table1[[#This Row],[Status]]= "Sufficient",
     Table1[[#This Row],[Stock_Quantity]] - Table1[[#This Row],[Reorder_Level]],
     0)</f>
        <v>197</v>
      </c>
      <c r="J123" s="4">
        <v>45436</v>
      </c>
      <c r="K123" s="5" t="s">
        <v>14</v>
      </c>
      <c r="L123">
        <f>YEAR(Table1[[#This Row],[Last_Restock_Date]])</f>
        <v>2024</v>
      </c>
      <c r="M123" t="str">
        <f>_xlfn.CONCAT(TEXT(Table1[[#This Row],[Last_Restock_Date]],"mmm"), "-", YEAR(Table1[[#This Row],[Last_Restock_Date]]))</f>
        <v>May-2024</v>
      </c>
      <c r="N123">
        <f>MONTH(Table1[[#This Row],[Last_Restock_Date]])</f>
        <v>5</v>
      </c>
      <c r="O123" t="str" cm="1">
        <f t="array" ref="O123">_xlfn.SWITCH(Table1[[#This Row],[Month_Number]],
    1,"Q1",2,"Q1",3,"Q1",
    4,"Q2",5,"Q2",6,"Q2",
    7,"Q3",8,"Q3",9,"Q3",
    10,"Q4",11,"Q4",12,"Q4",
    "Invalid Month"
)</f>
        <v>Q2</v>
      </c>
      <c r="P123" t="str">
        <f>TEXT(Table1[[#This Row],[Last_Restock_Date]],"mmm")</f>
        <v>May</v>
      </c>
    </row>
    <row r="124" spans="1:16" x14ac:dyDescent="0.25">
      <c r="A124">
        <v>123</v>
      </c>
      <c r="B124" s="5" t="s">
        <v>51</v>
      </c>
      <c r="C124" s="5" t="s">
        <v>11</v>
      </c>
      <c r="D124" s="5" t="s">
        <v>30</v>
      </c>
      <c r="E124" s="5" t="s">
        <v>27</v>
      </c>
      <c r="F124" s="2">
        <v>457</v>
      </c>
      <c r="G124" s="3">
        <v>734.11</v>
      </c>
      <c r="H124">
        <v>57</v>
      </c>
      <c r="I124">
        <f>IF(Table1[[#This Row],[Status]]= "Sufficient",
     Table1[[#This Row],[Stock_Quantity]] - Table1[[#This Row],[Reorder_Level]],
     0)</f>
        <v>400</v>
      </c>
      <c r="J124" s="4">
        <v>45125</v>
      </c>
      <c r="K124" s="5" t="s">
        <v>14</v>
      </c>
      <c r="L124">
        <f>YEAR(Table1[[#This Row],[Last_Restock_Date]])</f>
        <v>2023</v>
      </c>
      <c r="M124" t="str">
        <f>_xlfn.CONCAT(TEXT(Table1[[#This Row],[Last_Restock_Date]],"mmm"), "-", YEAR(Table1[[#This Row],[Last_Restock_Date]]))</f>
        <v>Jul-2023</v>
      </c>
      <c r="N124">
        <f>MONTH(Table1[[#This Row],[Last_Restock_Date]])</f>
        <v>7</v>
      </c>
      <c r="O124" t="str" cm="1">
        <f t="array" ref="O124">_xlfn.SWITCH(Table1[[#This Row],[Month_Number]],
    1,"Q1",2,"Q1",3,"Q1",
    4,"Q2",5,"Q2",6,"Q2",
    7,"Q3",8,"Q3",9,"Q3",
    10,"Q4",11,"Q4",12,"Q4",
    "Invalid Month"
)</f>
        <v>Q3</v>
      </c>
      <c r="P124" t="str">
        <f>TEXT(Table1[[#This Row],[Last_Restock_Date]],"mmm")</f>
        <v>Jul</v>
      </c>
    </row>
    <row r="125" spans="1:16" x14ac:dyDescent="0.25">
      <c r="A125">
        <v>124</v>
      </c>
      <c r="B125" s="5" t="s">
        <v>50</v>
      </c>
      <c r="C125" s="5" t="s">
        <v>34</v>
      </c>
      <c r="D125" s="5" t="s">
        <v>12</v>
      </c>
      <c r="E125" s="5" t="s">
        <v>18</v>
      </c>
      <c r="F125" s="2">
        <v>127</v>
      </c>
      <c r="G125" s="3">
        <v>416.97</v>
      </c>
      <c r="H125">
        <v>139</v>
      </c>
      <c r="I125">
        <f>IF(Table1[[#This Row],[Status]]= "Sufficient",
     Table1[[#This Row],[Stock_Quantity]] - Table1[[#This Row],[Reorder_Level]],
     0)</f>
        <v>0</v>
      </c>
      <c r="J125" s="4">
        <v>45588</v>
      </c>
      <c r="K125" s="5" t="s">
        <v>28</v>
      </c>
      <c r="L125">
        <f>YEAR(Table1[[#This Row],[Last_Restock_Date]])</f>
        <v>2024</v>
      </c>
      <c r="M125" t="str">
        <f>_xlfn.CONCAT(TEXT(Table1[[#This Row],[Last_Restock_Date]],"mmm"), "-", YEAR(Table1[[#This Row],[Last_Restock_Date]]))</f>
        <v>Oct-2024</v>
      </c>
      <c r="N125">
        <f>MONTH(Table1[[#This Row],[Last_Restock_Date]])</f>
        <v>10</v>
      </c>
      <c r="O125" t="str" cm="1">
        <f t="array" ref="O125">_xlfn.SWITCH(Table1[[#This Row],[Month_Number]],
    1,"Q1",2,"Q1",3,"Q1",
    4,"Q2",5,"Q2",6,"Q2",
    7,"Q3",8,"Q3",9,"Q3",
    10,"Q4",11,"Q4",12,"Q4",
    "Invalid Month"
)</f>
        <v>Q4</v>
      </c>
      <c r="P125" t="str">
        <f>TEXT(Table1[[#This Row],[Last_Restock_Date]],"mmm")</f>
        <v>Oct</v>
      </c>
    </row>
    <row r="126" spans="1:16" x14ac:dyDescent="0.25">
      <c r="A126">
        <v>125</v>
      </c>
      <c r="B126" s="5" t="s">
        <v>51</v>
      </c>
      <c r="C126" s="5" t="s">
        <v>11</v>
      </c>
      <c r="D126" s="5" t="s">
        <v>21</v>
      </c>
      <c r="E126" s="5" t="s">
        <v>27</v>
      </c>
      <c r="F126" s="2">
        <v>25</v>
      </c>
      <c r="G126" s="3">
        <v>168.49</v>
      </c>
      <c r="H126">
        <v>140</v>
      </c>
      <c r="I126">
        <f>IF(Table1[[#This Row],[Status]]= "Sufficient",
     Table1[[#This Row],[Stock_Quantity]] - Table1[[#This Row],[Reorder_Level]],
     0)</f>
        <v>0</v>
      </c>
      <c r="J126" s="4">
        <v>45672</v>
      </c>
      <c r="K126" s="5" t="s">
        <v>28</v>
      </c>
      <c r="L126">
        <f>YEAR(Table1[[#This Row],[Last_Restock_Date]])</f>
        <v>2025</v>
      </c>
      <c r="M126" t="str">
        <f>_xlfn.CONCAT(TEXT(Table1[[#This Row],[Last_Restock_Date]],"mmm"), "-", YEAR(Table1[[#This Row],[Last_Restock_Date]]))</f>
        <v>Jan-2025</v>
      </c>
      <c r="N126">
        <f>MONTH(Table1[[#This Row],[Last_Restock_Date]])</f>
        <v>1</v>
      </c>
      <c r="O126" t="str" cm="1">
        <f t="array" ref="O126">_xlfn.SWITCH(Table1[[#This Row],[Month_Number]],
    1,"Q1",2,"Q1",3,"Q1",
    4,"Q2",5,"Q2",6,"Q2",
    7,"Q3",8,"Q3",9,"Q3",
    10,"Q4",11,"Q4",12,"Q4",
    "Invalid Month"
)</f>
        <v>Q1</v>
      </c>
      <c r="P126" t="str">
        <f>TEXT(Table1[[#This Row],[Last_Restock_Date]],"mmm")</f>
        <v>Jan</v>
      </c>
    </row>
    <row r="127" spans="1:16" x14ac:dyDescent="0.25">
      <c r="A127">
        <v>126</v>
      </c>
      <c r="B127" s="5" t="s">
        <v>52</v>
      </c>
      <c r="C127" s="5" t="s">
        <v>16</v>
      </c>
      <c r="D127" s="5" t="s">
        <v>30</v>
      </c>
      <c r="E127" s="5" t="s">
        <v>39</v>
      </c>
      <c r="F127" s="2">
        <v>75</v>
      </c>
      <c r="G127" s="3">
        <v>39.840000000000003</v>
      </c>
      <c r="H127">
        <v>121</v>
      </c>
      <c r="I127">
        <f>IF(Table1[[#This Row],[Status]]= "Sufficient",
     Table1[[#This Row],[Stock_Quantity]] - Table1[[#This Row],[Reorder_Level]],
     0)</f>
        <v>0</v>
      </c>
      <c r="J127" s="4">
        <v>45286</v>
      </c>
      <c r="K127" s="5" t="s">
        <v>28</v>
      </c>
      <c r="L127">
        <f>YEAR(Table1[[#This Row],[Last_Restock_Date]])</f>
        <v>2023</v>
      </c>
      <c r="M127" t="str">
        <f>_xlfn.CONCAT(TEXT(Table1[[#This Row],[Last_Restock_Date]],"mmm"), "-", YEAR(Table1[[#This Row],[Last_Restock_Date]]))</f>
        <v>Dec-2023</v>
      </c>
      <c r="N127">
        <f>MONTH(Table1[[#This Row],[Last_Restock_Date]])</f>
        <v>12</v>
      </c>
      <c r="O127" t="str" cm="1">
        <f t="array" ref="O127">_xlfn.SWITCH(Table1[[#This Row],[Month_Number]],
    1,"Q1",2,"Q1",3,"Q1",
    4,"Q2",5,"Q2",6,"Q2",
    7,"Q3",8,"Q3",9,"Q3",
    10,"Q4",11,"Q4",12,"Q4",
    "Invalid Month"
)</f>
        <v>Q4</v>
      </c>
      <c r="P127" t="str">
        <f>TEXT(Table1[[#This Row],[Last_Restock_Date]],"mmm")</f>
        <v>Dec</v>
      </c>
    </row>
    <row r="128" spans="1:16" x14ac:dyDescent="0.25">
      <c r="A128">
        <v>127</v>
      </c>
      <c r="B128" s="5" t="s">
        <v>35</v>
      </c>
      <c r="C128" s="5" t="s">
        <v>11</v>
      </c>
      <c r="D128" s="5" t="s">
        <v>24</v>
      </c>
      <c r="E128" s="5" t="s">
        <v>37</v>
      </c>
      <c r="F128" s="2">
        <v>87</v>
      </c>
      <c r="G128" s="3">
        <v>73.61</v>
      </c>
      <c r="H128">
        <v>74</v>
      </c>
      <c r="I128">
        <f>IF(Table1[[#This Row],[Status]]= "Sufficient",
     Table1[[#This Row],[Stock_Quantity]] - Table1[[#This Row],[Reorder_Level]],
     0)</f>
        <v>13</v>
      </c>
      <c r="J128" s="4">
        <v>45055</v>
      </c>
      <c r="K128" s="5" t="s">
        <v>14</v>
      </c>
      <c r="L128">
        <f>YEAR(Table1[[#This Row],[Last_Restock_Date]])</f>
        <v>2023</v>
      </c>
      <c r="M128" t="str">
        <f>_xlfn.CONCAT(TEXT(Table1[[#This Row],[Last_Restock_Date]],"mmm"), "-", YEAR(Table1[[#This Row],[Last_Restock_Date]]))</f>
        <v>May-2023</v>
      </c>
      <c r="N128">
        <f>MONTH(Table1[[#This Row],[Last_Restock_Date]])</f>
        <v>5</v>
      </c>
      <c r="O128" t="str" cm="1">
        <f t="array" ref="O128">_xlfn.SWITCH(Table1[[#This Row],[Month_Number]],
    1,"Q1",2,"Q1",3,"Q1",
    4,"Q2",5,"Q2",6,"Q2",
    7,"Q3",8,"Q3",9,"Q3",
    10,"Q4",11,"Q4",12,"Q4",
    "Invalid Month"
)</f>
        <v>Q2</v>
      </c>
      <c r="P128" t="str">
        <f>TEXT(Table1[[#This Row],[Last_Restock_Date]],"mmm")</f>
        <v>May</v>
      </c>
    </row>
    <row r="129" spans="1:16" x14ac:dyDescent="0.25">
      <c r="A129">
        <v>128</v>
      </c>
      <c r="B129" s="5" t="s">
        <v>23</v>
      </c>
      <c r="C129" s="5" t="s">
        <v>20</v>
      </c>
      <c r="D129" s="5" t="s">
        <v>30</v>
      </c>
      <c r="E129" s="5" t="s">
        <v>32</v>
      </c>
      <c r="F129" s="2">
        <v>408</v>
      </c>
      <c r="G129" s="3">
        <v>119.09</v>
      </c>
      <c r="H129">
        <v>69</v>
      </c>
      <c r="I129">
        <f>IF(Table1[[#This Row],[Status]]= "Sufficient",
     Table1[[#This Row],[Stock_Quantity]] - Table1[[#This Row],[Reorder_Level]],
     0)</f>
        <v>339</v>
      </c>
      <c r="J129" s="4">
        <v>45941</v>
      </c>
      <c r="K129" s="5" t="s">
        <v>14</v>
      </c>
      <c r="L129">
        <f>YEAR(Table1[[#This Row],[Last_Restock_Date]])</f>
        <v>2025</v>
      </c>
      <c r="M129" t="str">
        <f>_xlfn.CONCAT(TEXT(Table1[[#This Row],[Last_Restock_Date]],"mmm"), "-", YEAR(Table1[[#This Row],[Last_Restock_Date]]))</f>
        <v>Oct-2025</v>
      </c>
      <c r="N129">
        <f>MONTH(Table1[[#This Row],[Last_Restock_Date]])</f>
        <v>10</v>
      </c>
      <c r="O129" t="str" cm="1">
        <f t="array" ref="O129">_xlfn.SWITCH(Table1[[#This Row],[Month_Number]],
    1,"Q1",2,"Q1",3,"Q1",
    4,"Q2",5,"Q2",6,"Q2",
    7,"Q3",8,"Q3",9,"Q3",
    10,"Q4",11,"Q4",12,"Q4",
    "Invalid Month"
)</f>
        <v>Q4</v>
      </c>
      <c r="P129" t="str">
        <f>TEXT(Table1[[#This Row],[Last_Restock_Date]],"mmm")</f>
        <v>Oct</v>
      </c>
    </row>
    <row r="130" spans="1:16" x14ac:dyDescent="0.25">
      <c r="A130">
        <v>129</v>
      </c>
      <c r="B130" s="5" t="s">
        <v>36</v>
      </c>
      <c r="C130" s="5" t="s">
        <v>11</v>
      </c>
      <c r="D130" s="5" t="s">
        <v>17</v>
      </c>
      <c r="E130" s="5" t="s">
        <v>32</v>
      </c>
      <c r="F130" s="2">
        <v>113</v>
      </c>
      <c r="G130" s="3">
        <v>509.66</v>
      </c>
      <c r="H130">
        <v>140</v>
      </c>
      <c r="I130">
        <f>IF(Table1[[#This Row],[Status]]= "Sufficient",
     Table1[[#This Row],[Stock_Quantity]] - Table1[[#This Row],[Reorder_Level]],
     0)</f>
        <v>0</v>
      </c>
      <c r="J130" s="4">
        <v>45222</v>
      </c>
      <c r="K130" s="5" t="s">
        <v>28</v>
      </c>
      <c r="L130">
        <f>YEAR(Table1[[#This Row],[Last_Restock_Date]])</f>
        <v>2023</v>
      </c>
      <c r="M130" t="str">
        <f>_xlfn.CONCAT(TEXT(Table1[[#This Row],[Last_Restock_Date]],"mmm"), "-", YEAR(Table1[[#This Row],[Last_Restock_Date]]))</f>
        <v>Oct-2023</v>
      </c>
      <c r="N130">
        <f>MONTH(Table1[[#This Row],[Last_Restock_Date]])</f>
        <v>10</v>
      </c>
      <c r="O130" t="str" cm="1">
        <f t="array" ref="O130">_xlfn.SWITCH(Table1[[#This Row],[Month_Number]],
    1,"Q1",2,"Q1",3,"Q1",
    4,"Q2",5,"Q2",6,"Q2",
    7,"Q3",8,"Q3",9,"Q3",
    10,"Q4",11,"Q4",12,"Q4",
    "Invalid Month"
)</f>
        <v>Q4</v>
      </c>
      <c r="P130" t="str">
        <f>TEXT(Table1[[#This Row],[Last_Restock_Date]],"mmm")</f>
        <v>Oct</v>
      </c>
    </row>
    <row r="131" spans="1:16" x14ac:dyDescent="0.25">
      <c r="A131">
        <v>130</v>
      </c>
      <c r="B131" s="5" t="s">
        <v>38</v>
      </c>
      <c r="C131" s="5" t="s">
        <v>26</v>
      </c>
      <c r="D131" s="5" t="s">
        <v>24</v>
      </c>
      <c r="E131" s="5" t="s">
        <v>18</v>
      </c>
      <c r="F131" s="2">
        <v>269</v>
      </c>
      <c r="G131" s="3">
        <v>430.37</v>
      </c>
      <c r="H131">
        <v>53</v>
      </c>
      <c r="I131">
        <f>IF(Table1[[#This Row],[Status]]= "Sufficient",
     Table1[[#This Row],[Stock_Quantity]] - Table1[[#This Row],[Reorder_Level]],
     0)</f>
        <v>216</v>
      </c>
      <c r="J131" s="4">
        <v>45606</v>
      </c>
      <c r="K131" s="5" t="s">
        <v>14</v>
      </c>
      <c r="L131">
        <f>YEAR(Table1[[#This Row],[Last_Restock_Date]])</f>
        <v>2024</v>
      </c>
      <c r="M131" t="str">
        <f>_xlfn.CONCAT(TEXT(Table1[[#This Row],[Last_Restock_Date]],"mmm"), "-", YEAR(Table1[[#This Row],[Last_Restock_Date]]))</f>
        <v>Nov-2024</v>
      </c>
      <c r="N131">
        <f>MONTH(Table1[[#This Row],[Last_Restock_Date]])</f>
        <v>11</v>
      </c>
      <c r="O131" t="str" cm="1">
        <f t="array" ref="O131">_xlfn.SWITCH(Table1[[#This Row],[Month_Number]],
    1,"Q1",2,"Q1",3,"Q1",
    4,"Q2",5,"Q2",6,"Q2",
    7,"Q3",8,"Q3",9,"Q3",
    10,"Q4",11,"Q4",12,"Q4",
    "Invalid Month"
)</f>
        <v>Q4</v>
      </c>
      <c r="P131" t="str">
        <f>TEXT(Table1[[#This Row],[Last_Restock_Date]],"mmm")</f>
        <v>Nov</v>
      </c>
    </row>
    <row r="132" spans="1:16" x14ac:dyDescent="0.25">
      <c r="A132">
        <v>131</v>
      </c>
      <c r="B132" s="5" t="s">
        <v>10</v>
      </c>
      <c r="C132" s="5" t="s">
        <v>11</v>
      </c>
      <c r="D132" s="5" t="s">
        <v>17</v>
      </c>
      <c r="E132" s="5" t="s">
        <v>37</v>
      </c>
      <c r="F132" s="2">
        <v>248</v>
      </c>
      <c r="G132" s="3">
        <v>565.37</v>
      </c>
      <c r="H132">
        <v>114</v>
      </c>
      <c r="I132">
        <f>IF(Table1[[#This Row],[Status]]= "Sufficient",
     Table1[[#This Row],[Stock_Quantity]] - Table1[[#This Row],[Reorder_Level]],
     0)</f>
        <v>134</v>
      </c>
      <c r="J132" s="4">
        <v>45008</v>
      </c>
      <c r="K132" s="5" t="s">
        <v>14</v>
      </c>
      <c r="L132">
        <f>YEAR(Table1[[#This Row],[Last_Restock_Date]])</f>
        <v>2023</v>
      </c>
      <c r="M132" t="str">
        <f>_xlfn.CONCAT(TEXT(Table1[[#This Row],[Last_Restock_Date]],"mmm"), "-", YEAR(Table1[[#This Row],[Last_Restock_Date]]))</f>
        <v>Mar-2023</v>
      </c>
      <c r="N132">
        <f>MONTH(Table1[[#This Row],[Last_Restock_Date]])</f>
        <v>3</v>
      </c>
      <c r="O132" t="str" cm="1">
        <f t="array" ref="O132">_xlfn.SWITCH(Table1[[#This Row],[Month_Number]],
    1,"Q1",2,"Q1",3,"Q1",
    4,"Q2",5,"Q2",6,"Q2",
    7,"Q3",8,"Q3",9,"Q3",
    10,"Q4",11,"Q4",12,"Q4",
    "Invalid Month"
)</f>
        <v>Q1</v>
      </c>
      <c r="P132" t="str">
        <f>TEXT(Table1[[#This Row],[Last_Restock_Date]],"mmm")</f>
        <v>Mar</v>
      </c>
    </row>
    <row r="133" spans="1:16" x14ac:dyDescent="0.25">
      <c r="A133">
        <v>132</v>
      </c>
      <c r="B133" s="5" t="s">
        <v>15</v>
      </c>
      <c r="C133" s="5" t="s">
        <v>16</v>
      </c>
      <c r="D133" s="5" t="s">
        <v>12</v>
      </c>
      <c r="E133" s="5" t="s">
        <v>37</v>
      </c>
      <c r="F133" s="2">
        <v>30</v>
      </c>
      <c r="G133" s="3">
        <v>212.99</v>
      </c>
      <c r="H133">
        <v>86</v>
      </c>
      <c r="I133">
        <f>IF(Table1[[#This Row],[Status]]= "Sufficient",
     Table1[[#This Row],[Stock_Quantity]] - Table1[[#This Row],[Reorder_Level]],
     0)</f>
        <v>0</v>
      </c>
      <c r="J133" s="4">
        <v>45576</v>
      </c>
      <c r="K133" s="5" t="s">
        <v>28</v>
      </c>
      <c r="L133">
        <f>YEAR(Table1[[#This Row],[Last_Restock_Date]])</f>
        <v>2024</v>
      </c>
      <c r="M133" t="str">
        <f>_xlfn.CONCAT(TEXT(Table1[[#This Row],[Last_Restock_Date]],"mmm"), "-", YEAR(Table1[[#This Row],[Last_Restock_Date]]))</f>
        <v>Oct-2024</v>
      </c>
      <c r="N133">
        <f>MONTH(Table1[[#This Row],[Last_Restock_Date]])</f>
        <v>10</v>
      </c>
      <c r="O133" t="str" cm="1">
        <f t="array" ref="O133">_xlfn.SWITCH(Table1[[#This Row],[Month_Number]],
    1,"Q1",2,"Q1",3,"Q1",
    4,"Q2",5,"Q2",6,"Q2",
    7,"Q3",8,"Q3",9,"Q3",
    10,"Q4",11,"Q4",12,"Q4",
    "Invalid Month"
)</f>
        <v>Q4</v>
      </c>
      <c r="P133" t="str">
        <f>TEXT(Table1[[#This Row],[Last_Restock_Date]],"mmm")</f>
        <v>Oct</v>
      </c>
    </row>
    <row r="134" spans="1:16" x14ac:dyDescent="0.25">
      <c r="A134">
        <v>133</v>
      </c>
      <c r="B134" s="5" t="s">
        <v>52</v>
      </c>
      <c r="C134" s="5" t="s">
        <v>16</v>
      </c>
      <c r="D134" s="5" t="s">
        <v>12</v>
      </c>
      <c r="E134" s="5" t="s">
        <v>37</v>
      </c>
      <c r="F134" s="2">
        <v>148</v>
      </c>
      <c r="G134" s="3">
        <v>743.9</v>
      </c>
      <c r="H134">
        <v>99</v>
      </c>
      <c r="I134">
        <f>IF(Table1[[#This Row],[Status]]= "Sufficient",
     Table1[[#This Row],[Stock_Quantity]] - Table1[[#This Row],[Reorder_Level]],
     0)</f>
        <v>49</v>
      </c>
      <c r="J134" s="4">
        <v>45299</v>
      </c>
      <c r="K134" s="5" t="s">
        <v>14</v>
      </c>
      <c r="L134">
        <f>YEAR(Table1[[#This Row],[Last_Restock_Date]])</f>
        <v>2024</v>
      </c>
      <c r="M134" t="str">
        <f>_xlfn.CONCAT(TEXT(Table1[[#This Row],[Last_Restock_Date]],"mmm"), "-", YEAR(Table1[[#This Row],[Last_Restock_Date]]))</f>
        <v>Jan-2024</v>
      </c>
      <c r="N134">
        <f>MONTH(Table1[[#This Row],[Last_Restock_Date]])</f>
        <v>1</v>
      </c>
      <c r="O134" t="str" cm="1">
        <f t="array" ref="O134">_xlfn.SWITCH(Table1[[#This Row],[Month_Number]],
    1,"Q1",2,"Q1",3,"Q1",
    4,"Q2",5,"Q2",6,"Q2",
    7,"Q3",8,"Q3",9,"Q3",
    10,"Q4",11,"Q4",12,"Q4",
    "Invalid Month"
)</f>
        <v>Q1</v>
      </c>
      <c r="P134" t="str">
        <f>TEXT(Table1[[#This Row],[Last_Restock_Date]],"mmm")</f>
        <v>Jan</v>
      </c>
    </row>
    <row r="135" spans="1:16" x14ac:dyDescent="0.25">
      <c r="A135">
        <v>134</v>
      </c>
      <c r="B135" s="5" t="s">
        <v>40</v>
      </c>
      <c r="C135" s="5" t="s">
        <v>34</v>
      </c>
      <c r="D135" s="5" t="s">
        <v>17</v>
      </c>
      <c r="E135" s="5" t="s">
        <v>39</v>
      </c>
      <c r="F135" s="2">
        <v>213</v>
      </c>
      <c r="G135" s="3">
        <v>401.69</v>
      </c>
      <c r="H135">
        <v>104</v>
      </c>
      <c r="I135">
        <f>IF(Table1[[#This Row],[Status]]= "Sufficient",
     Table1[[#This Row],[Stock_Quantity]] - Table1[[#This Row],[Reorder_Level]],
     0)</f>
        <v>109</v>
      </c>
      <c r="J135" s="4">
        <v>45792</v>
      </c>
      <c r="K135" s="5" t="s">
        <v>14</v>
      </c>
      <c r="L135">
        <f>YEAR(Table1[[#This Row],[Last_Restock_Date]])</f>
        <v>2025</v>
      </c>
      <c r="M135" t="str">
        <f>_xlfn.CONCAT(TEXT(Table1[[#This Row],[Last_Restock_Date]],"mmm"), "-", YEAR(Table1[[#This Row],[Last_Restock_Date]]))</f>
        <v>May-2025</v>
      </c>
      <c r="N135">
        <f>MONTH(Table1[[#This Row],[Last_Restock_Date]])</f>
        <v>5</v>
      </c>
      <c r="O135" t="str" cm="1">
        <f t="array" ref="O135">_xlfn.SWITCH(Table1[[#This Row],[Month_Number]],
    1,"Q1",2,"Q1",3,"Q1",
    4,"Q2",5,"Q2",6,"Q2",
    7,"Q3",8,"Q3",9,"Q3",
    10,"Q4",11,"Q4",12,"Q4",
    "Invalid Month"
)</f>
        <v>Q2</v>
      </c>
      <c r="P135" t="str">
        <f>TEXT(Table1[[#This Row],[Last_Restock_Date]],"mmm")</f>
        <v>May</v>
      </c>
    </row>
    <row r="136" spans="1:16" x14ac:dyDescent="0.25">
      <c r="A136">
        <v>135</v>
      </c>
      <c r="B136" s="5" t="s">
        <v>19</v>
      </c>
      <c r="C136" s="5" t="s">
        <v>20</v>
      </c>
      <c r="D136" s="5" t="s">
        <v>21</v>
      </c>
      <c r="E136" s="5" t="s">
        <v>13</v>
      </c>
      <c r="F136" s="2">
        <v>245</v>
      </c>
      <c r="G136" s="3">
        <v>733.4</v>
      </c>
      <c r="H136">
        <v>91</v>
      </c>
      <c r="I136">
        <f>IF(Table1[[#This Row],[Status]]= "Sufficient",
     Table1[[#This Row],[Stock_Quantity]] - Table1[[#This Row],[Reorder_Level]],
     0)</f>
        <v>154</v>
      </c>
      <c r="J136" s="4">
        <v>45304</v>
      </c>
      <c r="K136" s="5" t="s">
        <v>14</v>
      </c>
      <c r="L136">
        <f>YEAR(Table1[[#This Row],[Last_Restock_Date]])</f>
        <v>2024</v>
      </c>
      <c r="M136" t="str">
        <f>_xlfn.CONCAT(TEXT(Table1[[#This Row],[Last_Restock_Date]],"mmm"), "-", YEAR(Table1[[#This Row],[Last_Restock_Date]]))</f>
        <v>Jan-2024</v>
      </c>
      <c r="N136">
        <f>MONTH(Table1[[#This Row],[Last_Restock_Date]])</f>
        <v>1</v>
      </c>
      <c r="O136" t="str" cm="1">
        <f t="array" ref="O136">_xlfn.SWITCH(Table1[[#This Row],[Month_Number]],
    1,"Q1",2,"Q1",3,"Q1",
    4,"Q2",5,"Q2",6,"Q2",
    7,"Q3",8,"Q3",9,"Q3",
    10,"Q4",11,"Q4",12,"Q4",
    "Invalid Month"
)</f>
        <v>Q1</v>
      </c>
      <c r="P136" t="str">
        <f>TEXT(Table1[[#This Row],[Last_Restock_Date]],"mmm")</f>
        <v>Jan</v>
      </c>
    </row>
    <row r="137" spans="1:16" x14ac:dyDescent="0.25">
      <c r="A137">
        <v>136</v>
      </c>
      <c r="B137" s="5" t="s">
        <v>49</v>
      </c>
      <c r="C137" s="5" t="s">
        <v>16</v>
      </c>
      <c r="D137" s="5" t="s">
        <v>12</v>
      </c>
      <c r="E137" s="5" t="s">
        <v>27</v>
      </c>
      <c r="F137" s="2">
        <v>425</v>
      </c>
      <c r="G137" s="3">
        <v>640.6</v>
      </c>
      <c r="H137">
        <v>50</v>
      </c>
      <c r="I137">
        <f>IF(Table1[[#This Row],[Status]]= "Sufficient",
     Table1[[#This Row],[Stock_Quantity]] - Table1[[#This Row],[Reorder_Level]],
     0)</f>
        <v>375</v>
      </c>
      <c r="J137" s="4">
        <v>45810</v>
      </c>
      <c r="K137" s="5" t="s">
        <v>14</v>
      </c>
      <c r="L137">
        <f>YEAR(Table1[[#This Row],[Last_Restock_Date]])</f>
        <v>2025</v>
      </c>
      <c r="M137" t="str">
        <f>_xlfn.CONCAT(TEXT(Table1[[#This Row],[Last_Restock_Date]],"mmm"), "-", YEAR(Table1[[#This Row],[Last_Restock_Date]]))</f>
        <v>Jun-2025</v>
      </c>
      <c r="N137">
        <f>MONTH(Table1[[#This Row],[Last_Restock_Date]])</f>
        <v>6</v>
      </c>
      <c r="O137" t="str" cm="1">
        <f t="array" ref="O137">_xlfn.SWITCH(Table1[[#This Row],[Month_Number]],
    1,"Q1",2,"Q1",3,"Q1",
    4,"Q2",5,"Q2",6,"Q2",
    7,"Q3",8,"Q3",9,"Q3",
    10,"Q4",11,"Q4",12,"Q4",
    "Invalid Month"
)</f>
        <v>Q2</v>
      </c>
      <c r="P137" t="str">
        <f>TEXT(Table1[[#This Row],[Last_Restock_Date]],"mmm")</f>
        <v>Jun</v>
      </c>
    </row>
    <row r="138" spans="1:16" x14ac:dyDescent="0.25">
      <c r="A138">
        <v>137</v>
      </c>
      <c r="B138" s="5" t="s">
        <v>40</v>
      </c>
      <c r="C138" s="5" t="s">
        <v>34</v>
      </c>
      <c r="D138" s="5" t="s">
        <v>24</v>
      </c>
      <c r="E138" s="5" t="s">
        <v>13</v>
      </c>
      <c r="F138" s="2">
        <v>193</v>
      </c>
      <c r="G138" s="3">
        <v>585.76</v>
      </c>
      <c r="H138">
        <v>55</v>
      </c>
      <c r="I138">
        <f>IF(Table1[[#This Row],[Status]]= "Sufficient",
     Table1[[#This Row],[Stock_Quantity]] - Table1[[#This Row],[Reorder_Level]],
     0)</f>
        <v>138</v>
      </c>
      <c r="J138" s="4">
        <v>45409</v>
      </c>
      <c r="K138" s="5" t="s">
        <v>14</v>
      </c>
      <c r="L138">
        <f>YEAR(Table1[[#This Row],[Last_Restock_Date]])</f>
        <v>2024</v>
      </c>
      <c r="M138" t="str">
        <f>_xlfn.CONCAT(TEXT(Table1[[#This Row],[Last_Restock_Date]],"mmm"), "-", YEAR(Table1[[#This Row],[Last_Restock_Date]]))</f>
        <v>Apr-2024</v>
      </c>
      <c r="N138">
        <f>MONTH(Table1[[#This Row],[Last_Restock_Date]])</f>
        <v>4</v>
      </c>
      <c r="O138" t="str" cm="1">
        <f t="array" ref="O138">_xlfn.SWITCH(Table1[[#This Row],[Month_Number]],
    1,"Q1",2,"Q1",3,"Q1",
    4,"Q2",5,"Q2",6,"Q2",
    7,"Q3",8,"Q3",9,"Q3",
    10,"Q4",11,"Q4",12,"Q4",
    "Invalid Month"
)</f>
        <v>Q2</v>
      </c>
      <c r="P138" t="str">
        <f>TEXT(Table1[[#This Row],[Last_Restock_Date]],"mmm")</f>
        <v>Apr</v>
      </c>
    </row>
    <row r="139" spans="1:16" x14ac:dyDescent="0.25">
      <c r="A139">
        <v>138</v>
      </c>
      <c r="B139" s="5" t="s">
        <v>10</v>
      </c>
      <c r="C139" s="5" t="s">
        <v>11</v>
      </c>
      <c r="D139" s="5" t="s">
        <v>12</v>
      </c>
      <c r="E139" s="5" t="s">
        <v>37</v>
      </c>
      <c r="F139" s="2">
        <v>292</v>
      </c>
      <c r="G139" s="3">
        <v>479.15</v>
      </c>
      <c r="H139">
        <v>61</v>
      </c>
      <c r="I139">
        <f>IF(Table1[[#This Row],[Status]]= "Sufficient",
     Table1[[#This Row],[Stock_Quantity]] - Table1[[#This Row],[Reorder_Level]],
     0)</f>
        <v>231</v>
      </c>
      <c r="J139" s="4">
        <v>45862</v>
      </c>
      <c r="K139" s="5" t="s">
        <v>14</v>
      </c>
      <c r="L139">
        <f>YEAR(Table1[[#This Row],[Last_Restock_Date]])</f>
        <v>2025</v>
      </c>
      <c r="M139" t="str">
        <f>_xlfn.CONCAT(TEXT(Table1[[#This Row],[Last_Restock_Date]],"mmm"), "-", YEAR(Table1[[#This Row],[Last_Restock_Date]]))</f>
        <v>Jul-2025</v>
      </c>
      <c r="N139">
        <f>MONTH(Table1[[#This Row],[Last_Restock_Date]])</f>
        <v>7</v>
      </c>
      <c r="O139" t="str" cm="1">
        <f t="array" ref="O139">_xlfn.SWITCH(Table1[[#This Row],[Month_Number]],
    1,"Q1",2,"Q1",3,"Q1",
    4,"Q2",5,"Q2",6,"Q2",
    7,"Q3",8,"Q3",9,"Q3",
    10,"Q4",11,"Q4",12,"Q4",
    "Invalid Month"
)</f>
        <v>Q3</v>
      </c>
      <c r="P139" t="str">
        <f>TEXT(Table1[[#This Row],[Last_Restock_Date]],"mmm")</f>
        <v>Jul</v>
      </c>
    </row>
    <row r="140" spans="1:16" x14ac:dyDescent="0.25">
      <c r="A140">
        <v>139</v>
      </c>
      <c r="B140" s="5" t="s">
        <v>31</v>
      </c>
      <c r="C140" s="5" t="s">
        <v>20</v>
      </c>
      <c r="D140" s="5" t="s">
        <v>21</v>
      </c>
      <c r="E140" s="5" t="s">
        <v>39</v>
      </c>
      <c r="F140" s="2">
        <v>269</v>
      </c>
      <c r="G140" s="3">
        <v>8</v>
      </c>
      <c r="H140">
        <v>101</v>
      </c>
      <c r="I140">
        <f>IF(Table1[[#This Row],[Status]]= "Sufficient",
     Table1[[#This Row],[Stock_Quantity]] - Table1[[#This Row],[Reorder_Level]],
     0)</f>
        <v>168</v>
      </c>
      <c r="J140" s="4">
        <v>45122</v>
      </c>
      <c r="K140" s="5" t="s">
        <v>14</v>
      </c>
      <c r="L140">
        <f>YEAR(Table1[[#This Row],[Last_Restock_Date]])</f>
        <v>2023</v>
      </c>
      <c r="M140" t="str">
        <f>_xlfn.CONCAT(TEXT(Table1[[#This Row],[Last_Restock_Date]],"mmm"), "-", YEAR(Table1[[#This Row],[Last_Restock_Date]]))</f>
        <v>Jul-2023</v>
      </c>
      <c r="N140">
        <f>MONTH(Table1[[#This Row],[Last_Restock_Date]])</f>
        <v>7</v>
      </c>
      <c r="O140" t="str" cm="1">
        <f t="array" ref="O140">_xlfn.SWITCH(Table1[[#This Row],[Month_Number]],
    1,"Q1",2,"Q1",3,"Q1",
    4,"Q2",5,"Q2",6,"Q2",
    7,"Q3",8,"Q3",9,"Q3",
    10,"Q4",11,"Q4",12,"Q4",
    "Invalid Month"
)</f>
        <v>Q3</v>
      </c>
      <c r="P140" t="str">
        <f>TEXT(Table1[[#This Row],[Last_Restock_Date]],"mmm")</f>
        <v>Jul</v>
      </c>
    </row>
    <row r="141" spans="1:16" x14ac:dyDescent="0.25">
      <c r="A141">
        <v>140</v>
      </c>
      <c r="B141" s="5" t="s">
        <v>33</v>
      </c>
      <c r="C141" s="5" t="s">
        <v>34</v>
      </c>
      <c r="D141" s="5" t="s">
        <v>12</v>
      </c>
      <c r="E141" s="5" t="s">
        <v>39</v>
      </c>
      <c r="F141" s="2">
        <v>247</v>
      </c>
      <c r="G141" s="3">
        <v>581.41</v>
      </c>
      <c r="H141">
        <v>66</v>
      </c>
      <c r="I141">
        <f>IF(Table1[[#This Row],[Status]]= "Sufficient",
     Table1[[#This Row],[Stock_Quantity]] - Table1[[#This Row],[Reorder_Level]],
     0)</f>
        <v>181</v>
      </c>
      <c r="J141" s="4">
        <v>44986</v>
      </c>
      <c r="K141" s="5" t="s">
        <v>14</v>
      </c>
      <c r="L141">
        <f>YEAR(Table1[[#This Row],[Last_Restock_Date]])</f>
        <v>2023</v>
      </c>
      <c r="M141" t="str">
        <f>_xlfn.CONCAT(TEXT(Table1[[#This Row],[Last_Restock_Date]],"mmm"), "-", YEAR(Table1[[#This Row],[Last_Restock_Date]]))</f>
        <v>Mar-2023</v>
      </c>
      <c r="N141">
        <f>MONTH(Table1[[#This Row],[Last_Restock_Date]])</f>
        <v>3</v>
      </c>
      <c r="O141" t="str" cm="1">
        <f t="array" ref="O141">_xlfn.SWITCH(Table1[[#This Row],[Month_Number]],
    1,"Q1",2,"Q1",3,"Q1",
    4,"Q2",5,"Q2",6,"Q2",
    7,"Q3",8,"Q3",9,"Q3",
    10,"Q4",11,"Q4",12,"Q4",
    "Invalid Month"
)</f>
        <v>Q1</v>
      </c>
      <c r="P141" t="str">
        <f>TEXT(Table1[[#This Row],[Last_Restock_Date]],"mmm")</f>
        <v>Mar</v>
      </c>
    </row>
    <row r="142" spans="1:16" x14ac:dyDescent="0.25">
      <c r="A142">
        <v>141</v>
      </c>
      <c r="B142" s="5" t="s">
        <v>19</v>
      </c>
      <c r="C142" s="5" t="s">
        <v>20</v>
      </c>
      <c r="D142" s="5" t="s">
        <v>17</v>
      </c>
      <c r="E142" s="5" t="s">
        <v>27</v>
      </c>
      <c r="F142" s="2">
        <v>84</v>
      </c>
      <c r="G142" s="3">
        <v>83.31</v>
      </c>
      <c r="H142">
        <v>141</v>
      </c>
      <c r="I142">
        <f>IF(Table1[[#This Row],[Status]]= "Sufficient",
     Table1[[#This Row],[Stock_Quantity]] - Table1[[#This Row],[Reorder_Level]],
     0)</f>
        <v>0</v>
      </c>
      <c r="J142" s="4">
        <v>45460</v>
      </c>
      <c r="K142" s="5" t="s">
        <v>28</v>
      </c>
      <c r="L142">
        <f>YEAR(Table1[[#This Row],[Last_Restock_Date]])</f>
        <v>2024</v>
      </c>
      <c r="M142" t="str">
        <f>_xlfn.CONCAT(TEXT(Table1[[#This Row],[Last_Restock_Date]],"mmm"), "-", YEAR(Table1[[#This Row],[Last_Restock_Date]]))</f>
        <v>Jun-2024</v>
      </c>
      <c r="N142">
        <f>MONTH(Table1[[#This Row],[Last_Restock_Date]])</f>
        <v>6</v>
      </c>
      <c r="O142" t="str" cm="1">
        <f t="array" ref="O142">_xlfn.SWITCH(Table1[[#This Row],[Month_Number]],
    1,"Q1",2,"Q1",3,"Q1",
    4,"Q2",5,"Q2",6,"Q2",
    7,"Q3",8,"Q3",9,"Q3",
    10,"Q4",11,"Q4",12,"Q4",
    "Invalid Month"
)</f>
        <v>Q2</v>
      </c>
      <c r="P142" t="str">
        <f>TEXT(Table1[[#This Row],[Last_Restock_Date]],"mmm")</f>
        <v>Jun</v>
      </c>
    </row>
    <row r="143" spans="1:16" x14ac:dyDescent="0.25">
      <c r="A143">
        <v>142</v>
      </c>
      <c r="B143" s="5" t="s">
        <v>52</v>
      </c>
      <c r="C143" s="5" t="s">
        <v>16</v>
      </c>
      <c r="D143" s="5" t="s">
        <v>30</v>
      </c>
      <c r="E143" s="5" t="s">
        <v>39</v>
      </c>
      <c r="F143" s="2">
        <v>394</v>
      </c>
      <c r="G143" s="3">
        <v>122.16</v>
      </c>
      <c r="H143">
        <v>72</v>
      </c>
      <c r="I143">
        <f>IF(Table1[[#This Row],[Status]]= "Sufficient",
     Table1[[#This Row],[Stock_Quantity]] - Table1[[#This Row],[Reorder_Level]],
     0)</f>
        <v>322</v>
      </c>
      <c r="J143" s="4">
        <v>45982</v>
      </c>
      <c r="K143" s="5" t="s">
        <v>14</v>
      </c>
      <c r="L143">
        <f>YEAR(Table1[[#This Row],[Last_Restock_Date]])</f>
        <v>2025</v>
      </c>
      <c r="M143" t="str">
        <f>_xlfn.CONCAT(TEXT(Table1[[#This Row],[Last_Restock_Date]],"mmm"), "-", YEAR(Table1[[#This Row],[Last_Restock_Date]]))</f>
        <v>Nov-2025</v>
      </c>
      <c r="N143">
        <f>MONTH(Table1[[#This Row],[Last_Restock_Date]])</f>
        <v>11</v>
      </c>
      <c r="O143" t="str" cm="1">
        <f t="array" ref="O143">_xlfn.SWITCH(Table1[[#This Row],[Month_Number]],
    1,"Q1",2,"Q1",3,"Q1",
    4,"Q2",5,"Q2",6,"Q2",
    7,"Q3",8,"Q3",9,"Q3",
    10,"Q4",11,"Q4",12,"Q4",
    "Invalid Month"
)</f>
        <v>Q4</v>
      </c>
      <c r="P143" t="str">
        <f>TEXT(Table1[[#This Row],[Last_Restock_Date]],"mmm")</f>
        <v>Nov</v>
      </c>
    </row>
    <row r="144" spans="1:16" x14ac:dyDescent="0.25">
      <c r="A144">
        <v>143</v>
      </c>
      <c r="B144" s="5" t="s">
        <v>43</v>
      </c>
      <c r="C144" s="5" t="s">
        <v>26</v>
      </c>
      <c r="D144" s="5" t="s">
        <v>12</v>
      </c>
      <c r="E144" s="5" t="s">
        <v>27</v>
      </c>
      <c r="F144" s="2">
        <v>345</v>
      </c>
      <c r="G144" s="3">
        <v>259.87</v>
      </c>
      <c r="H144">
        <v>115</v>
      </c>
      <c r="I144">
        <f>IF(Table1[[#This Row],[Status]]= "Sufficient",
     Table1[[#This Row],[Stock_Quantity]] - Table1[[#This Row],[Reorder_Level]],
     0)</f>
        <v>230</v>
      </c>
      <c r="J144" s="4">
        <v>45588</v>
      </c>
      <c r="K144" s="5" t="s">
        <v>14</v>
      </c>
      <c r="L144">
        <f>YEAR(Table1[[#This Row],[Last_Restock_Date]])</f>
        <v>2024</v>
      </c>
      <c r="M144" t="str">
        <f>_xlfn.CONCAT(TEXT(Table1[[#This Row],[Last_Restock_Date]],"mmm"), "-", YEAR(Table1[[#This Row],[Last_Restock_Date]]))</f>
        <v>Oct-2024</v>
      </c>
      <c r="N144">
        <f>MONTH(Table1[[#This Row],[Last_Restock_Date]])</f>
        <v>10</v>
      </c>
      <c r="O144" t="str" cm="1">
        <f t="array" ref="O144">_xlfn.SWITCH(Table1[[#This Row],[Month_Number]],
    1,"Q1",2,"Q1",3,"Q1",
    4,"Q2",5,"Q2",6,"Q2",
    7,"Q3",8,"Q3",9,"Q3",
    10,"Q4",11,"Q4",12,"Q4",
    "Invalid Month"
)</f>
        <v>Q4</v>
      </c>
      <c r="P144" t="str">
        <f>TEXT(Table1[[#This Row],[Last_Restock_Date]],"mmm")</f>
        <v>Oct</v>
      </c>
    </row>
    <row r="145" spans="1:16" x14ac:dyDescent="0.25">
      <c r="A145">
        <v>144</v>
      </c>
      <c r="B145" s="5" t="s">
        <v>19</v>
      </c>
      <c r="C145" s="5" t="s">
        <v>20</v>
      </c>
      <c r="D145" s="5" t="s">
        <v>12</v>
      </c>
      <c r="E145" s="5" t="s">
        <v>13</v>
      </c>
      <c r="F145" s="2">
        <v>74</v>
      </c>
      <c r="G145" s="3">
        <v>158.5</v>
      </c>
      <c r="H145">
        <v>106</v>
      </c>
      <c r="I145">
        <f>IF(Table1[[#This Row],[Status]]= "Sufficient",
     Table1[[#This Row],[Stock_Quantity]] - Table1[[#This Row],[Reorder_Level]],
     0)</f>
        <v>0</v>
      </c>
      <c r="J145" s="4">
        <v>45918</v>
      </c>
      <c r="K145" s="5" t="s">
        <v>28</v>
      </c>
      <c r="L145">
        <f>YEAR(Table1[[#This Row],[Last_Restock_Date]])</f>
        <v>2025</v>
      </c>
      <c r="M145" t="str">
        <f>_xlfn.CONCAT(TEXT(Table1[[#This Row],[Last_Restock_Date]],"mmm"), "-", YEAR(Table1[[#This Row],[Last_Restock_Date]]))</f>
        <v>Sep-2025</v>
      </c>
      <c r="N145">
        <f>MONTH(Table1[[#This Row],[Last_Restock_Date]])</f>
        <v>9</v>
      </c>
      <c r="O145" t="str" cm="1">
        <f t="array" ref="O145">_xlfn.SWITCH(Table1[[#This Row],[Month_Number]],
    1,"Q1",2,"Q1",3,"Q1",
    4,"Q2",5,"Q2",6,"Q2",
    7,"Q3",8,"Q3",9,"Q3",
    10,"Q4",11,"Q4",12,"Q4",
    "Invalid Month"
)</f>
        <v>Q3</v>
      </c>
      <c r="P145" t="str">
        <f>TEXT(Table1[[#This Row],[Last_Restock_Date]],"mmm")</f>
        <v>Sep</v>
      </c>
    </row>
    <row r="146" spans="1:16" x14ac:dyDescent="0.25">
      <c r="A146">
        <v>145</v>
      </c>
      <c r="B146" s="5" t="s">
        <v>44</v>
      </c>
      <c r="C146" s="5" t="s">
        <v>34</v>
      </c>
      <c r="D146" s="5" t="s">
        <v>21</v>
      </c>
      <c r="E146" s="5" t="s">
        <v>18</v>
      </c>
      <c r="F146" s="2">
        <v>427</v>
      </c>
      <c r="G146" s="3">
        <v>307.14999999999998</v>
      </c>
      <c r="H146">
        <v>119</v>
      </c>
      <c r="I146">
        <f>IF(Table1[[#This Row],[Status]]= "Sufficient",
     Table1[[#This Row],[Stock_Quantity]] - Table1[[#This Row],[Reorder_Level]],
     0)</f>
        <v>308</v>
      </c>
      <c r="J146" s="4">
        <v>45282</v>
      </c>
      <c r="K146" s="5" t="s">
        <v>14</v>
      </c>
      <c r="L146">
        <f>YEAR(Table1[[#This Row],[Last_Restock_Date]])</f>
        <v>2023</v>
      </c>
      <c r="M146" t="str">
        <f>_xlfn.CONCAT(TEXT(Table1[[#This Row],[Last_Restock_Date]],"mmm"), "-", YEAR(Table1[[#This Row],[Last_Restock_Date]]))</f>
        <v>Dec-2023</v>
      </c>
      <c r="N146">
        <f>MONTH(Table1[[#This Row],[Last_Restock_Date]])</f>
        <v>12</v>
      </c>
      <c r="O146" t="str" cm="1">
        <f t="array" ref="O146">_xlfn.SWITCH(Table1[[#This Row],[Month_Number]],
    1,"Q1",2,"Q1",3,"Q1",
    4,"Q2",5,"Q2",6,"Q2",
    7,"Q3",8,"Q3",9,"Q3",
    10,"Q4",11,"Q4",12,"Q4",
    "Invalid Month"
)</f>
        <v>Q4</v>
      </c>
      <c r="P146" t="str">
        <f>TEXT(Table1[[#This Row],[Last_Restock_Date]],"mmm")</f>
        <v>Dec</v>
      </c>
    </row>
    <row r="147" spans="1:16" x14ac:dyDescent="0.25">
      <c r="A147">
        <v>146</v>
      </c>
      <c r="B147" s="5" t="s">
        <v>44</v>
      </c>
      <c r="C147" s="5" t="s">
        <v>34</v>
      </c>
      <c r="D147" s="5" t="s">
        <v>12</v>
      </c>
      <c r="E147" s="5" t="s">
        <v>37</v>
      </c>
      <c r="F147" s="2">
        <v>31</v>
      </c>
      <c r="G147" s="3">
        <v>11.8</v>
      </c>
      <c r="H147">
        <v>96</v>
      </c>
      <c r="I147">
        <f>IF(Table1[[#This Row],[Status]]= "Sufficient",
     Table1[[#This Row],[Stock_Quantity]] - Table1[[#This Row],[Reorder_Level]],
     0)</f>
        <v>0</v>
      </c>
      <c r="J147" s="4">
        <v>45441</v>
      </c>
      <c r="K147" s="5" t="s">
        <v>28</v>
      </c>
      <c r="L147">
        <f>YEAR(Table1[[#This Row],[Last_Restock_Date]])</f>
        <v>2024</v>
      </c>
      <c r="M147" t="str">
        <f>_xlfn.CONCAT(TEXT(Table1[[#This Row],[Last_Restock_Date]],"mmm"), "-", YEAR(Table1[[#This Row],[Last_Restock_Date]]))</f>
        <v>May-2024</v>
      </c>
      <c r="N147">
        <f>MONTH(Table1[[#This Row],[Last_Restock_Date]])</f>
        <v>5</v>
      </c>
      <c r="O147" t="str" cm="1">
        <f t="array" ref="O147">_xlfn.SWITCH(Table1[[#This Row],[Month_Number]],
    1,"Q1",2,"Q1",3,"Q1",
    4,"Q2",5,"Q2",6,"Q2",
    7,"Q3",8,"Q3",9,"Q3",
    10,"Q4",11,"Q4",12,"Q4",
    "Invalid Month"
)</f>
        <v>Q2</v>
      </c>
      <c r="P147" t="str">
        <f>TEXT(Table1[[#This Row],[Last_Restock_Date]],"mmm")</f>
        <v>May</v>
      </c>
    </row>
    <row r="148" spans="1:16" x14ac:dyDescent="0.25">
      <c r="A148">
        <v>147</v>
      </c>
      <c r="B148" s="5" t="s">
        <v>54</v>
      </c>
      <c r="C148" s="5" t="s">
        <v>20</v>
      </c>
      <c r="D148" s="5" t="s">
        <v>30</v>
      </c>
      <c r="E148" s="5" t="s">
        <v>32</v>
      </c>
      <c r="F148" s="2">
        <v>288</v>
      </c>
      <c r="G148" s="3">
        <v>93.69</v>
      </c>
      <c r="H148">
        <v>85</v>
      </c>
      <c r="I148">
        <f>IF(Table1[[#This Row],[Status]]= "Sufficient",
     Table1[[#This Row],[Stock_Quantity]] - Table1[[#This Row],[Reorder_Level]],
     0)</f>
        <v>203</v>
      </c>
      <c r="J148" s="4">
        <v>44946</v>
      </c>
      <c r="K148" s="5" t="s">
        <v>14</v>
      </c>
      <c r="L148">
        <f>YEAR(Table1[[#This Row],[Last_Restock_Date]])</f>
        <v>2023</v>
      </c>
      <c r="M148" t="str">
        <f>_xlfn.CONCAT(TEXT(Table1[[#This Row],[Last_Restock_Date]],"mmm"), "-", YEAR(Table1[[#This Row],[Last_Restock_Date]]))</f>
        <v>Jan-2023</v>
      </c>
      <c r="N148">
        <f>MONTH(Table1[[#This Row],[Last_Restock_Date]])</f>
        <v>1</v>
      </c>
      <c r="O148" t="str" cm="1">
        <f t="array" ref="O148">_xlfn.SWITCH(Table1[[#This Row],[Month_Number]],
    1,"Q1",2,"Q1",3,"Q1",
    4,"Q2",5,"Q2",6,"Q2",
    7,"Q3",8,"Q3",9,"Q3",
    10,"Q4",11,"Q4",12,"Q4",
    "Invalid Month"
)</f>
        <v>Q1</v>
      </c>
      <c r="P148" t="str">
        <f>TEXT(Table1[[#This Row],[Last_Restock_Date]],"mmm")</f>
        <v>Jan</v>
      </c>
    </row>
    <row r="149" spans="1:16" x14ac:dyDescent="0.25">
      <c r="A149">
        <v>148</v>
      </c>
      <c r="B149" s="5" t="s">
        <v>31</v>
      </c>
      <c r="C149" s="5" t="s">
        <v>20</v>
      </c>
      <c r="D149" s="5" t="s">
        <v>12</v>
      </c>
      <c r="E149" s="5" t="s">
        <v>13</v>
      </c>
      <c r="F149" s="2">
        <v>463</v>
      </c>
      <c r="G149" s="3">
        <v>405.39</v>
      </c>
      <c r="H149">
        <v>77</v>
      </c>
      <c r="I149">
        <f>IF(Table1[[#This Row],[Status]]= "Sufficient",
     Table1[[#This Row],[Stock_Quantity]] - Table1[[#This Row],[Reorder_Level]],
     0)</f>
        <v>386</v>
      </c>
      <c r="J149" s="4">
        <v>45305</v>
      </c>
      <c r="K149" s="5" t="s">
        <v>14</v>
      </c>
      <c r="L149">
        <f>YEAR(Table1[[#This Row],[Last_Restock_Date]])</f>
        <v>2024</v>
      </c>
      <c r="M149" t="str">
        <f>_xlfn.CONCAT(TEXT(Table1[[#This Row],[Last_Restock_Date]],"mmm"), "-", YEAR(Table1[[#This Row],[Last_Restock_Date]]))</f>
        <v>Jan-2024</v>
      </c>
      <c r="N149">
        <f>MONTH(Table1[[#This Row],[Last_Restock_Date]])</f>
        <v>1</v>
      </c>
      <c r="O149" t="str" cm="1">
        <f t="array" ref="O149">_xlfn.SWITCH(Table1[[#This Row],[Month_Number]],
    1,"Q1",2,"Q1",3,"Q1",
    4,"Q2",5,"Q2",6,"Q2",
    7,"Q3",8,"Q3",9,"Q3",
    10,"Q4",11,"Q4",12,"Q4",
    "Invalid Month"
)</f>
        <v>Q1</v>
      </c>
      <c r="P149" t="str">
        <f>TEXT(Table1[[#This Row],[Last_Restock_Date]],"mmm")</f>
        <v>Jan</v>
      </c>
    </row>
    <row r="150" spans="1:16" x14ac:dyDescent="0.25">
      <c r="A150">
        <v>149</v>
      </c>
      <c r="B150" s="5" t="s">
        <v>40</v>
      </c>
      <c r="C150" s="5" t="s">
        <v>34</v>
      </c>
      <c r="D150" s="5" t="s">
        <v>30</v>
      </c>
      <c r="E150" s="5" t="s">
        <v>39</v>
      </c>
      <c r="F150" s="2">
        <v>121</v>
      </c>
      <c r="G150" s="3">
        <v>140.54</v>
      </c>
      <c r="H150">
        <v>114</v>
      </c>
      <c r="I150">
        <f>IF(Table1[[#This Row],[Status]]= "Sufficient",
     Table1[[#This Row],[Stock_Quantity]] - Table1[[#This Row],[Reorder_Level]],
     0)</f>
        <v>7</v>
      </c>
      <c r="J150" s="4">
        <v>45168</v>
      </c>
      <c r="K150" s="5" t="s">
        <v>14</v>
      </c>
      <c r="L150">
        <f>YEAR(Table1[[#This Row],[Last_Restock_Date]])</f>
        <v>2023</v>
      </c>
      <c r="M150" t="str">
        <f>_xlfn.CONCAT(TEXT(Table1[[#This Row],[Last_Restock_Date]],"mmm"), "-", YEAR(Table1[[#This Row],[Last_Restock_Date]]))</f>
        <v>Aug-2023</v>
      </c>
      <c r="N150">
        <f>MONTH(Table1[[#This Row],[Last_Restock_Date]])</f>
        <v>8</v>
      </c>
      <c r="O150" t="str" cm="1">
        <f t="array" ref="O150">_xlfn.SWITCH(Table1[[#This Row],[Month_Number]],
    1,"Q1",2,"Q1",3,"Q1",
    4,"Q2",5,"Q2",6,"Q2",
    7,"Q3",8,"Q3",9,"Q3",
    10,"Q4",11,"Q4",12,"Q4",
    "Invalid Month"
)</f>
        <v>Q3</v>
      </c>
      <c r="P150" t="str">
        <f>TEXT(Table1[[#This Row],[Last_Restock_Date]],"mmm")</f>
        <v>Aug</v>
      </c>
    </row>
    <row r="151" spans="1:16" x14ac:dyDescent="0.25">
      <c r="A151">
        <v>150</v>
      </c>
      <c r="B151" s="5" t="s">
        <v>45</v>
      </c>
      <c r="C151" s="5" t="s">
        <v>26</v>
      </c>
      <c r="D151" s="5" t="s">
        <v>17</v>
      </c>
      <c r="E151" s="5" t="s">
        <v>39</v>
      </c>
      <c r="F151" s="2">
        <v>89</v>
      </c>
      <c r="G151" s="3">
        <v>46.62</v>
      </c>
      <c r="H151">
        <v>78</v>
      </c>
      <c r="I151">
        <f>IF(Table1[[#This Row],[Status]]= "Sufficient",
     Table1[[#This Row],[Stock_Quantity]] - Table1[[#This Row],[Reorder_Level]],
     0)</f>
        <v>11</v>
      </c>
      <c r="J151" s="4">
        <v>45477</v>
      </c>
      <c r="K151" s="5" t="s">
        <v>14</v>
      </c>
      <c r="L151">
        <f>YEAR(Table1[[#This Row],[Last_Restock_Date]])</f>
        <v>2024</v>
      </c>
      <c r="M151" t="str">
        <f>_xlfn.CONCAT(TEXT(Table1[[#This Row],[Last_Restock_Date]],"mmm"), "-", YEAR(Table1[[#This Row],[Last_Restock_Date]]))</f>
        <v>Jul-2024</v>
      </c>
      <c r="N151">
        <f>MONTH(Table1[[#This Row],[Last_Restock_Date]])</f>
        <v>7</v>
      </c>
      <c r="O151" t="str" cm="1">
        <f t="array" ref="O151">_xlfn.SWITCH(Table1[[#This Row],[Month_Number]],
    1,"Q1",2,"Q1",3,"Q1",
    4,"Q2",5,"Q2",6,"Q2",
    7,"Q3",8,"Q3",9,"Q3",
    10,"Q4",11,"Q4",12,"Q4",
    "Invalid Month"
)</f>
        <v>Q3</v>
      </c>
      <c r="P151" t="str">
        <f>TEXT(Table1[[#This Row],[Last_Restock_Date]],"mmm")</f>
        <v>Jul</v>
      </c>
    </row>
    <row r="152" spans="1:16" x14ac:dyDescent="0.25">
      <c r="A152">
        <v>151</v>
      </c>
      <c r="B152" s="5" t="s">
        <v>48</v>
      </c>
      <c r="C152" s="5" t="s">
        <v>20</v>
      </c>
      <c r="D152" s="5" t="s">
        <v>12</v>
      </c>
      <c r="E152" s="5" t="s">
        <v>37</v>
      </c>
      <c r="F152" s="2">
        <v>386</v>
      </c>
      <c r="G152" s="3">
        <v>777.06</v>
      </c>
      <c r="H152">
        <v>147</v>
      </c>
      <c r="I152">
        <f>IF(Table1[[#This Row],[Status]]= "Sufficient",
     Table1[[#This Row],[Stock_Quantity]] - Table1[[#This Row],[Reorder_Level]],
     0)</f>
        <v>239</v>
      </c>
      <c r="J152" s="4">
        <v>45929</v>
      </c>
      <c r="K152" s="5" t="s">
        <v>14</v>
      </c>
      <c r="L152">
        <f>YEAR(Table1[[#This Row],[Last_Restock_Date]])</f>
        <v>2025</v>
      </c>
      <c r="M152" t="str">
        <f>_xlfn.CONCAT(TEXT(Table1[[#This Row],[Last_Restock_Date]],"mmm"), "-", YEAR(Table1[[#This Row],[Last_Restock_Date]]))</f>
        <v>Sep-2025</v>
      </c>
      <c r="N152">
        <f>MONTH(Table1[[#This Row],[Last_Restock_Date]])</f>
        <v>9</v>
      </c>
      <c r="O152" t="str" cm="1">
        <f t="array" ref="O152">_xlfn.SWITCH(Table1[[#This Row],[Month_Number]],
    1,"Q1",2,"Q1",3,"Q1",
    4,"Q2",5,"Q2",6,"Q2",
    7,"Q3",8,"Q3",9,"Q3",
    10,"Q4",11,"Q4",12,"Q4",
    "Invalid Month"
)</f>
        <v>Q3</v>
      </c>
      <c r="P152" t="str">
        <f>TEXT(Table1[[#This Row],[Last_Restock_Date]],"mmm")</f>
        <v>Sep</v>
      </c>
    </row>
    <row r="153" spans="1:16" x14ac:dyDescent="0.25">
      <c r="A153">
        <v>152</v>
      </c>
      <c r="B153" s="5" t="s">
        <v>36</v>
      </c>
      <c r="C153" s="5" t="s">
        <v>11</v>
      </c>
      <c r="D153" s="5" t="s">
        <v>24</v>
      </c>
      <c r="E153" s="5" t="s">
        <v>27</v>
      </c>
      <c r="F153" s="2">
        <v>2</v>
      </c>
      <c r="G153" s="3">
        <v>270.38</v>
      </c>
      <c r="H153">
        <v>53</v>
      </c>
      <c r="I153">
        <f>IF(Table1[[#This Row],[Status]]= "Sufficient",
     Table1[[#This Row],[Stock_Quantity]] - Table1[[#This Row],[Reorder_Level]],
     0)</f>
        <v>0</v>
      </c>
      <c r="J153" s="4">
        <v>45693</v>
      </c>
      <c r="K153" s="5" t="s">
        <v>28</v>
      </c>
      <c r="L153">
        <f>YEAR(Table1[[#This Row],[Last_Restock_Date]])</f>
        <v>2025</v>
      </c>
      <c r="M153" t="str">
        <f>_xlfn.CONCAT(TEXT(Table1[[#This Row],[Last_Restock_Date]],"mmm"), "-", YEAR(Table1[[#This Row],[Last_Restock_Date]]))</f>
        <v>Feb-2025</v>
      </c>
      <c r="N153">
        <f>MONTH(Table1[[#This Row],[Last_Restock_Date]])</f>
        <v>2</v>
      </c>
      <c r="O153" t="str" cm="1">
        <f t="array" ref="O153">_xlfn.SWITCH(Table1[[#This Row],[Month_Number]],
    1,"Q1",2,"Q1",3,"Q1",
    4,"Q2",5,"Q2",6,"Q2",
    7,"Q3",8,"Q3",9,"Q3",
    10,"Q4",11,"Q4",12,"Q4",
    "Invalid Month"
)</f>
        <v>Q1</v>
      </c>
      <c r="P153" t="str">
        <f>TEXT(Table1[[#This Row],[Last_Restock_Date]],"mmm")</f>
        <v>Feb</v>
      </c>
    </row>
    <row r="154" spans="1:16" x14ac:dyDescent="0.25">
      <c r="A154">
        <v>153</v>
      </c>
      <c r="B154" s="5" t="s">
        <v>23</v>
      </c>
      <c r="C154" s="5" t="s">
        <v>20</v>
      </c>
      <c r="D154" s="5" t="s">
        <v>17</v>
      </c>
      <c r="E154" s="5" t="s">
        <v>32</v>
      </c>
      <c r="F154" s="2">
        <v>86</v>
      </c>
      <c r="G154" s="3">
        <v>47.54</v>
      </c>
      <c r="H154">
        <v>113</v>
      </c>
      <c r="I154">
        <f>IF(Table1[[#This Row],[Status]]= "Sufficient",
     Table1[[#This Row],[Stock_Quantity]] - Table1[[#This Row],[Reorder_Level]],
     0)</f>
        <v>0</v>
      </c>
      <c r="J154" s="4">
        <v>45871</v>
      </c>
      <c r="K154" s="5" t="s">
        <v>28</v>
      </c>
      <c r="L154">
        <f>YEAR(Table1[[#This Row],[Last_Restock_Date]])</f>
        <v>2025</v>
      </c>
      <c r="M154" t="str">
        <f>_xlfn.CONCAT(TEXT(Table1[[#This Row],[Last_Restock_Date]],"mmm"), "-", YEAR(Table1[[#This Row],[Last_Restock_Date]]))</f>
        <v>Aug-2025</v>
      </c>
      <c r="N154">
        <f>MONTH(Table1[[#This Row],[Last_Restock_Date]])</f>
        <v>8</v>
      </c>
      <c r="O154" t="str" cm="1">
        <f t="array" ref="O154">_xlfn.SWITCH(Table1[[#This Row],[Month_Number]],
    1,"Q1",2,"Q1",3,"Q1",
    4,"Q2",5,"Q2",6,"Q2",
    7,"Q3",8,"Q3",9,"Q3",
    10,"Q4",11,"Q4",12,"Q4",
    "Invalid Month"
)</f>
        <v>Q3</v>
      </c>
      <c r="P154" t="str">
        <f>TEXT(Table1[[#This Row],[Last_Restock_Date]],"mmm")</f>
        <v>Aug</v>
      </c>
    </row>
    <row r="155" spans="1:16" x14ac:dyDescent="0.25">
      <c r="A155">
        <v>154</v>
      </c>
      <c r="B155" s="5" t="s">
        <v>22</v>
      </c>
      <c r="C155" s="5" t="s">
        <v>11</v>
      </c>
      <c r="D155" s="5" t="s">
        <v>30</v>
      </c>
      <c r="E155" s="5" t="s">
        <v>37</v>
      </c>
      <c r="F155" s="2">
        <v>6</v>
      </c>
      <c r="G155" s="3">
        <v>142.31</v>
      </c>
      <c r="H155">
        <v>123</v>
      </c>
      <c r="I155">
        <f>IF(Table1[[#This Row],[Status]]= "Sufficient",
     Table1[[#This Row],[Stock_Quantity]] - Table1[[#This Row],[Reorder_Level]],
     0)</f>
        <v>0</v>
      </c>
      <c r="J155" s="4">
        <v>45417</v>
      </c>
      <c r="K155" s="5" t="s">
        <v>28</v>
      </c>
      <c r="L155">
        <f>YEAR(Table1[[#This Row],[Last_Restock_Date]])</f>
        <v>2024</v>
      </c>
      <c r="M155" t="str">
        <f>_xlfn.CONCAT(TEXT(Table1[[#This Row],[Last_Restock_Date]],"mmm"), "-", YEAR(Table1[[#This Row],[Last_Restock_Date]]))</f>
        <v>May-2024</v>
      </c>
      <c r="N155">
        <f>MONTH(Table1[[#This Row],[Last_Restock_Date]])</f>
        <v>5</v>
      </c>
      <c r="O155" t="str" cm="1">
        <f t="array" ref="O155">_xlfn.SWITCH(Table1[[#This Row],[Month_Number]],
    1,"Q1",2,"Q1",3,"Q1",
    4,"Q2",5,"Q2",6,"Q2",
    7,"Q3",8,"Q3",9,"Q3",
    10,"Q4",11,"Q4",12,"Q4",
    "Invalid Month"
)</f>
        <v>Q2</v>
      </c>
      <c r="P155" t="str">
        <f>TEXT(Table1[[#This Row],[Last_Restock_Date]],"mmm")</f>
        <v>May</v>
      </c>
    </row>
    <row r="156" spans="1:16" x14ac:dyDescent="0.25">
      <c r="A156">
        <v>155</v>
      </c>
      <c r="B156" s="5" t="s">
        <v>47</v>
      </c>
      <c r="C156" s="5" t="s">
        <v>20</v>
      </c>
      <c r="D156" s="5" t="s">
        <v>24</v>
      </c>
      <c r="E156" s="5" t="s">
        <v>39</v>
      </c>
      <c r="F156" s="2">
        <v>448</v>
      </c>
      <c r="G156" s="3">
        <v>675.85</v>
      </c>
      <c r="H156">
        <v>66</v>
      </c>
      <c r="I156">
        <f>IF(Table1[[#This Row],[Status]]= "Sufficient",
     Table1[[#This Row],[Stock_Quantity]] - Table1[[#This Row],[Reorder_Level]],
     0)</f>
        <v>382</v>
      </c>
      <c r="J156" s="4">
        <v>45413</v>
      </c>
      <c r="K156" s="5" t="s">
        <v>14</v>
      </c>
      <c r="L156">
        <f>YEAR(Table1[[#This Row],[Last_Restock_Date]])</f>
        <v>2024</v>
      </c>
      <c r="M156" t="str">
        <f>_xlfn.CONCAT(TEXT(Table1[[#This Row],[Last_Restock_Date]],"mmm"), "-", YEAR(Table1[[#This Row],[Last_Restock_Date]]))</f>
        <v>May-2024</v>
      </c>
      <c r="N156">
        <f>MONTH(Table1[[#This Row],[Last_Restock_Date]])</f>
        <v>5</v>
      </c>
      <c r="O156" t="str" cm="1">
        <f t="array" ref="O156">_xlfn.SWITCH(Table1[[#This Row],[Month_Number]],
    1,"Q1",2,"Q1",3,"Q1",
    4,"Q2",5,"Q2",6,"Q2",
    7,"Q3",8,"Q3",9,"Q3",
    10,"Q4",11,"Q4",12,"Q4",
    "Invalid Month"
)</f>
        <v>Q2</v>
      </c>
      <c r="P156" t="str">
        <f>TEXT(Table1[[#This Row],[Last_Restock_Date]],"mmm")</f>
        <v>May</v>
      </c>
    </row>
    <row r="157" spans="1:16" x14ac:dyDescent="0.25">
      <c r="A157">
        <v>156</v>
      </c>
      <c r="B157" s="5" t="s">
        <v>36</v>
      </c>
      <c r="C157" s="5" t="s">
        <v>11</v>
      </c>
      <c r="D157" s="5" t="s">
        <v>17</v>
      </c>
      <c r="E157" s="5" t="s">
        <v>39</v>
      </c>
      <c r="F157" s="2">
        <v>209</v>
      </c>
      <c r="G157" s="3">
        <v>414.84</v>
      </c>
      <c r="H157">
        <v>113</v>
      </c>
      <c r="I157">
        <f>IF(Table1[[#This Row],[Status]]= "Sufficient",
     Table1[[#This Row],[Stock_Quantity]] - Table1[[#This Row],[Reorder_Level]],
     0)</f>
        <v>96</v>
      </c>
      <c r="J157" s="4">
        <v>45246</v>
      </c>
      <c r="K157" s="5" t="s">
        <v>14</v>
      </c>
      <c r="L157">
        <f>YEAR(Table1[[#This Row],[Last_Restock_Date]])</f>
        <v>2023</v>
      </c>
      <c r="M157" t="str">
        <f>_xlfn.CONCAT(TEXT(Table1[[#This Row],[Last_Restock_Date]],"mmm"), "-", YEAR(Table1[[#This Row],[Last_Restock_Date]]))</f>
        <v>Nov-2023</v>
      </c>
      <c r="N157">
        <f>MONTH(Table1[[#This Row],[Last_Restock_Date]])</f>
        <v>11</v>
      </c>
      <c r="O157" t="str" cm="1">
        <f t="array" ref="O157">_xlfn.SWITCH(Table1[[#This Row],[Month_Number]],
    1,"Q1",2,"Q1",3,"Q1",
    4,"Q2",5,"Q2",6,"Q2",
    7,"Q3",8,"Q3",9,"Q3",
    10,"Q4",11,"Q4",12,"Q4",
    "Invalid Month"
)</f>
        <v>Q4</v>
      </c>
      <c r="P157" t="str">
        <f>TEXT(Table1[[#This Row],[Last_Restock_Date]],"mmm")</f>
        <v>Nov</v>
      </c>
    </row>
    <row r="158" spans="1:16" x14ac:dyDescent="0.25">
      <c r="A158">
        <v>157</v>
      </c>
      <c r="B158" s="5" t="s">
        <v>10</v>
      </c>
      <c r="C158" s="5" t="s">
        <v>11</v>
      </c>
      <c r="D158" s="5" t="s">
        <v>21</v>
      </c>
      <c r="E158" s="5" t="s">
        <v>13</v>
      </c>
      <c r="F158" s="2">
        <v>53</v>
      </c>
      <c r="G158" s="3">
        <v>503.42</v>
      </c>
      <c r="H158">
        <v>102</v>
      </c>
      <c r="I158">
        <f>IF(Table1[[#This Row],[Status]]= "Sufficient",
     Table1[[#This Row],[Stock_Quantity]] - Table1[[#This Row],[Reorder_Level]],
     0)</f>
        <v>0</v>
      </c>
      <c r="J158" s="4">
        <v>45411</v>
      </c>
      <c r="K158" s="5" t="s">
        <v>28</v>
      </c>
      <c r="L158">
        <f>YEAR(Table1[[#This Row],[Last_Restock_Date]])</f>
        <v>2024</v>
      </c>
      <c r="M158" t="str">
        <f>_xlfn.CONCAT(TEXT(Table1[[#This Row],[Last_Restock_Date]],"mmm"), "-", YEAR(Table1[[#This Row],[Last_Restock_Date]]))</f>
        <v>Apr-2024</v>
      </c>
      <c r="N158">
        <f>MONTH(Table1[[#This Row],[Last_Restock_Date]])</f>
        <v>4</v>
      </c>
      <c r="O158" t="str" cm="1">
        <f t="array" ref="O158">_xlfn.SWITCH(Table1[[#This Row],[Month_Number]],
    1,"Q1",2,"Q1",3,"Q1",
    4,"Q2",5,"Q2",6,"Q2",
    7,"Q3",8,"Q3",9,"Q3",
    10,"Q4",11,"Q4",12,"Q4",
    "Invalid Month"
)</f>
        <v>Q2</v>
      </c>
      <c r="P158" t="str">
        <f>TEXT(Table1[[#This Row],[Last_Restock_Date]],"mmm")</f>
        <v>Apr</v>
      </c>
    </row>
    <row r="159" spans="1:16" x14ac:dyDescent="0.25">
      <c r="A159">
        <v>158</v>
      </c>
      <c r="B159" s="5" t="s">
        <v>42</v>
      </c>
      <c r="C159" s="5" t="s">
        <v>16</v>
      </c>
      <c r="D159" s="5" t="s">
        <v>24</v>
      </c>
      <c r="E159" s="5" t="s">
        <v>32</v>
      </c>
      <c r="F159" s="2">
        <v>115</v>
      </c>
      <c r="G159" s="3">
        <v>792.42</v>
      </c>
      <c r="H159">
        <v>141</v>
      </c>
      <c r="I159">
        <f>IF(Table1[[#This Row],[Status]]= "Sufficient",
     Table1[[#This Row],[Stock_Quantity]] - Table1[[#This Row],[Reorder_Level]],
     0)</f>
        <v>0</v>
      </c>
      <c r="J159" s="4">
        <v>45921</v>
      </c>
      <c r="K159" s="5" t="s">
        <v>28</v>
      </c>
      <c r="L159">
        <f>YEAR(Table1[[#This Row],[Last_Restock_Date]])</f>
        <v>2025</v>
      </c>
      <c r="M159" t="str">
        <f>_xlfn.CONCAT(TEXT(Table1[[#This Row],[Last_Restock_Date]],"mmm"), "-", YEAR(Table1[[#This Row],[Last_Restock_Date]]))</f>
        <v>Sep-2025</v>
      </c>
      <c r="N159">
        <f>MONTH(Table1[[#This Row],[Last_Restock_Date]])</f>
        <v>9</v>
      </c>
      <c r="O159" t="str" cm="1">
        <f t="array" ref="O159">_xlfn.SWITCH(Table1[[#This Row],[Month_Number]],
    1,"Q1",2,"Q1",3,"Q1",
    4,"Q2",5,"Q2",6,"Q2",
    7,"Q3",8,"Q3",9,"Q3",
    10,"Q4",11,"Q4",12,"Q4",
    "Invalid Month"
)</f>
        <v>Q3</v>
      </c>
      <c r="P159" t="str">
        <f>TEXT(Table1[[#This Row],[Last_Restock_Date]],"mmm")</f>
        <v>Sep</v>
      </c>
    </row>
    <row r="160" spans="1:16" x14ac:dyDescent="0.25">
      <c r="A160">
        <v>159</v>
      </c>
      <c r="B160" s="5" t="s">
        <v>42</v>
      </c>
      <c r="C160" s="5" t="s">
        <v>16</v>
      </c>
      <c r="D160" s="5" t="s">
        <v>12</v>
      </c>
      <c r="E160" s="5" t="s">
        <v>18</v>
      </c>
      <c r="F160" s="2">
        <v>293</v>
      </c>
      <c r="G160" s="3">
        <v>349.48</v>
      </c>
      <c r="H160">
        <v>59</v>
      </c>
      <c r="I160">
        <f>IF(Table1[[#This Row],[Status]]= "Sufficient",
     Table1[[#This Row],[Stock_Quantity]] - Table1[[#This Row],[Reorder_Level]],
     0)</f>
        <v>234</v>
      </c>
      <c r="J160" s="4">
        <v>45484</v>
      </c>
      <c r="K160" s="5" t="s">
        <v>14</v>
      </c>
      <c r="L160">
        <f>YEAR(Table1[[#This Row],[Last_Restock_Date]])</f>
        <v>2024</v>
      </c>
      <c r="M160" t="str">
        <f>_xlfn.CONCAT(TEXT(Table1[[#This Row],[Last_Restock_Date]],"mmm"), "-", YEAR(Table1[[#This Row],[Last_Restock_Date]]))</f>
        <v>Jul-2024</v>
      </c>
      <c r="N160">
        <f>MONTH(Table1[[#This Row],[Last_Restock_Date]])</f>
        <v>7</v>
      </c>
      <c r="O160" t="str" cm="1">
        <f t="array" ref="O160">_xlfn.SWITCH(Table1[[#This Row],[Month_Number]],
    1,"Q1",2,"Q1",3,"Q1",
    4,"Q2",5,"Q2",6,"Q2",
    7,"Q3",8,"Q3",9,"Q3",
    10,"Q4",11,"Q4",12,"Q4",
    "Invalid Month"
)</f>
        <v>Q3</v>
      </c>
      <c r="P160" t="str">
        <f>TEXT(Table1[[#This Row],[Last_Restock_Date]],"mmm")</f>
        <v>Jul</v>
      </c>
    </row>
    <row r="161" spans="1:16" x14ac:dyDescent="0.25">
      <c r="A161">
        <v>160</v>
      </c>
      <c r="B161" s="5" t="s">
        <v>25</v>
      </c>
      <c r="C161" s="5" t="s">
        <v>26</v>
      </c>
      <c r="D161" s="5" t="s">
        <v>30</v>
      </c>
      <c r="E161" s="5" t="s">
        <v>13</v>
      </c>
      <c r="F161" s="2">
        <v>57</v>
      </c>
      <c r="G161" s="3">
        <v>184.64</v>
      </c>
      <c r="H161">
        <v>129</v>
      </c>
      <c r="I161">
        <f>IF(Table1[[#This Row],[Status]]= "Sufficient",
     Table1[[#This Row],[Stock_Quantity]] - Table1[[#This Row],[Reorder_Level]],
     0)</f>
        <v>0</v>
      </c>
      <c r="J161" s="4">
        <v>45068</v>
      </c>
      <c r="K161" s="5" t="s">
        <v>28</v>
      </c>
      <c r="L161">
        <f>YEAR(Table1[[#This Row],[Last_Restock_Date]])</f>
        <v>2023</v>
      </c>
      <c r="M161" t="str">
        <f>_xlfn.CONCAT(TEXT(Table1[[#This Row],[Last_Restock_Date]],"mmm"), "-", YEAR(Table1[[#This Row],[Last_Restock_Date]]))</f>
        <v>May-2023</v>
      </c>
      <c r="N161">
        <f>MONTH(Table1[[#This Row],[Last_Restock_Date]])</f>
        <v>5</v>
      </c>
      <c r="O161" t="str" cm="1">
        <f t="array" ref="O161">_xlfn.SWITCH(Table1[[#This Row],[Month_Number]],
    1,"Q1",2,"Q1",3,"Q1",
    4,"Q2",5,"Q2",6,"Q2",
    7,"Q3",8,"Q3",9,"Q3",
    10,"Q4",11,"Q4",12,"Q4",
    "Invalid Month"
)</f>
        <v>Q2</v>
      </c>
      <c r="P161" t="str">
        <f>TEXT(Table1[[#This Row],[Last_Restock_Date]],"mmm")</f>
        <v>May</v>
      </c>
    </row>
    <row r="162" spans="1:16" x14ac:dyDescent="0.25">
      <c r="A162">
        <v>161</v>
      </c>
      <c r="B162" s="5" t="s">
        <v>42</v>
      </c>
      <c r="C162" s="5" t="s">
        <v>16</v>
      </c>
      <c r="D162" s="5" t="s">
        <v>30</v>
      </c>
      <c r="E162" s="5" t="s">
        <v>37</v>
      </c>
      <c r="F162" s="2">
        <v>241</v>
      </c>
      <c r="G162" s="3">
        <v>248.44</v>
      </c>
      <c r="H162">
        <v>116</v>
      </c>
      <c r="I162">
        <f>IF(Table1[[#This Row],[Status]]= "Sufficient",
     Table1[[#This Row],[Stock_Quantity]] - Table1[[#This Row],[Reorder_Level]],
     0)</f>
        <v>125</v>
      </c>
      <c r="J162" s="4">
        <v>45059</v>
      </c>
      <c r="K162" s="5" t="s">
        <v>14</v>
      </c>
      <c r="L162">
        <f>YEAR(Table1[[#This Row],[Last_Restock_Date]])</f>
        <v>2023</v>
      </c>
      <c r="M162" t="str">
        <f>_xlfn.CONCAT(TEXT(Table1[[#This Row],[Last_Restock_Date]],"mmm"), "-", YEAR(Table1[[#This Row],[Last_Restock_Date]]))</f>
        <v>May-2023</v>
      </c>
      <c r="N162">
        <f>MONTH(Table1[[#This Row],[Last_Restock_Date]])</f>
        <v>5</v>
      </c>
      <c r="O162" t="str" cm="1">
        <f t="array" ref="O162">_xlfn.SWITCH(Table1[[#This Row],[Month_Number]],
    1,"Q1",2,"Q1",3,"Q1",
    4,"Q2",5,"Q2",6,"Q2",
    7,"Q3",8,"Q3",9,"Q3",
    10,"Q4",11,"Q4",12,"Q4",
    "Invalid Month"
)</f>
        <v>Q2</v>
      </c>
      <c r="P162" t="str">
        <f>TEXT(Table1[[#This Row],[Last_Restock_Date]],"mmm")</f>
        <v>May</v>
      </c>
    </row>
    <row r="163" spans="1:16" x14ac:dyDescent="0.25">
      <c r="A163">
        <v>162</v>
      </c>
      <c r="B163" s="5" t="s">
        <v>19</v>
      </c>
      <c r="C163" s="5" t="s">
        <v>20</v>
      </c>
      <c r="D163" s="5" t="s">
        <v>21</v>
      </c>
      <c r="E163" s="5" t="s">
        <v>39</v>
      </c>
      <c r="F163" s="2">
        <v>309</v>
      </c>
      <c r="G163" s="3">
        <v>285.76</v>
      </c>
      <c r="H163">
        <v>82</v>
      </c>
      <c r="I163">
        <f>IF(Table1[[#This Row],[Status]]= "Sufficient",
     Table1[[#This Row],[Stock_Quantity]] - Table1[[#This Row],[Reorder_Level]],
     0)</f>
        <v>227</v>
      </c>
      <c r="J163" s="4">
        <v>45942</v>
      </c>
      <c r="K163" s="5" t="s">
        <v>14</v>
      </c>
      <c r="L163">
        <f>YEAR(Table1[[#This Row],[Last_Restock_Date]])</f>
        <v>2025</v>
      </c>
      <c r="M163" t="str">
        <f>_xlfn.CONCAT(TEXT(Table1[[#This Row],[Last_Restock_Date]],"mmm"), "-", YEAR(Table1[[#This Row],[Last_Restock_Date]]))</f>
        <v>Oct-2025</v>
      </c>
      <c r="N163">
        <f>MONTH(Table1[[#This Row],[Last_Restock_Date]])</f>
        <v>10</v>
      </c>
      <c r="O163" t="str" cm="1">
        <f t="array" ref="O163">_xlfn.SWITCH(Table1[[#This Row],[Month_Number]],
    1,"Q1",2,"Q1",3,"Q1",
    4,"Q2",5,"Q2",6,"Q2",
    7,"Q3",8,"Q3",9,"Q3",
    10,"Q4",11,"Q4",12,"Q4",
    "Invalid Month"
)</f>
        <v>Q4</v>
      </c>
      <c r="P163" t="str">
        <f>TEXT(Table1[[#This Row],[Last_Restock_Date]],"mmm")</f>
        <v>Oct</v>
      </c>
    </row>
    <row r="164" spans="1:16" x14ac:dyDescent="0.25">
      <c r="A164">
        <v>163</v>
      </c>
      <c r="B164" s="5" t="s">
        <v>29</v>
      </c>
      <c r="C164" s="5" t="s">
        <v>16</v>
      </c>
      <c r="D164" s="5" t="s">
        <v>24</v>
      </c>
      <c r="E164" s="5" t="s">
        <v>18</v>
      </c>
      <c r="F164" s="2">
        <v>200</v>
      </c>
      <c r="G164" s="3">
        <v>670.02</v>
      </c>
      <c r="H164">
        <v>95</v>
      </c>
      <c r="I164">
        <f>IF(Table1[[#This Row],[Status]]= "Sufficient",
     Table1[[#This Row],[Stock_Quantity]] - Table1[[#This Row],[Reorder_Level]],
     0)</f>
        <v>105</v>
      </c>
      <c r="J164" s="4">
        <v>45392</v>
      </c>
      <c r="K164" s="5" t="s">
        <v>14</v>
      </c>
      <c r="L164">
        <f>YEAR(Table1[[#This Row],[Last_Restock_Date]])</f>
        <v>2024</v>
      </c>
      <c r="M164" t="str">
        <f>_xlfn.CONCAT(TEXT(Table1[[#This Row],[Last_Restock_Date]],"mmm"), "-", YEAR(Table1[[#This Row],[Last_Restock_Date]]))</f>
        <v>Apr-2024</v>
      </c>
      <c r="N164">
        <f>MONTH(Table1[[#This Row],[Last_Restock_Date]])</f>
        <v>4</v>
      </c>
      <c r="O164" t="str" cm="1">
        <f t="array" ref="O164">_xlfn.SWITCH(Table1[[#This Row],[Month_Number]],
    1,"Q1",2,"Q1",3,"Q1",
    4,"Q2",5,"Q2",6,"Q2",
    7,"Q3",8,"Q3",9,"Q3",
    10,"Q4",11,"Q4",12,"Q4",
    "Invalid Month"
)</f>
        <v>Q2</v>
      </c>
      <c r="P164" t="str">
        <f>TEXT(Table1[[#This Row],[Last_Restock_Date]],"mmm")</f>
        <v>Apr</v>
      </c>
    </row>
    <row r="165" spans="1:16" x14ac:dyDescent="0.25">
      <c r="A165">
        <v>164</v>
      </c>
      <c r="B165" s="5" t="s">
        <v>22</v>
      </c>
      <c r="C165" s="5" t="s">
        <v>11</v>
      </c>
      <c r="D165" s="5" t="s">
        <v>21</v>
      </c>
      <c r="E165" s="5" t="s">
        <v>37</v>
      </c>
      <c r="F165" s="2">
        <v>491</v>
      </c>
      <c r="G165" s="3">
        <v>213.83</v>
      </c>
      <c r="H165">
        <v>122</v>
      </c>
      <c r="I165">
        <f>IF(Table1[[#This Row],[Status]]= "Sufficient",
     Table1[[#This Row],[Stock_Quantity]] - Table1[[#This Row],[Reorder_Level]],
     0)</f>
        <v>369</v>
      </c>
      <c r="J165" s="4">
        <v>45845</v>
      </c>
      <c r="K165" s="5" t="s">
        <v>14</v>
      </c>
      <c r="L165">
        <f>YEAR(Table1[[#This Row],[Last_Restock_Date]])</f>
        <v>2025</v>
      </c>
      <c r="M165" t="str">
        <f>_xlfn.CONCAT(TEXT(Table1[[#This Row],[Last_Restock_Date]],"mmm"), "-", YEAR(Table1[[#This Row],[Last_Restock_Date]]))</f>
        <v>Jul-2025</v>
      </c>
      <c r="N165">
        <f>MONTH(Table1[[#This Row],[Last_Restock_Date]])</f>
        <v>7</v>
      </c>
      <c r="O165" t="str" cm="1">
        <f t="array" ref="O165">_xlfn.SWITCH(Table1[[#This Row],[Month_Number]],
    1,"Q1",2,"Q1",3,"Q1",
    4,"Q2",5,"Q2",6,"Q2",
    7,"Q3",8,"Q3",9,"Q3",
    10,"Q4",11,"Q4",12,"Q4",
    "Invalid Month"
)</f>
        <v>Q3</v>
      </c>
      <c r="P165" t="str">
        <f>TEXT(Table1[[#This Row],[Last_Restock_Date]],"mmm")</f>
        <v>Jul</v>
      </c>
    </row>
    <row r="166" spans="1:16" x14ac:dyDescent="0.25">
      <c r="A166">
        <v>165</v>
      </c>
      <c r="B166" s="5" t="s">
        <v>42</v>
      </c>
      <c r="C166" s="5" t="s">
        <v>16</v>
      </c>
      <c r="D166" s="5" t="s">
        <v>17</v>
      </c>
      <c r="E166" s="5" t="s">
        <v>18</v>
      </c>
      <c r="F166" s="2">
        <v>249</v>
      </c>
      <c r="G166" s="3">
        <v>769.15</v>
      </c>
      <c r="H166">
        <v>56</v>
      </c>
      <c r="I166">
        <f>IF(Table1[[#This Row],[Status]]= "Sufficient",
     Table1[[#This Row],[Stock_Quantity]] - Table1[[#This Row],[Reorder_Level]],
     0)</f>
        <v>193</v>
      </c>
      <c r="J166" s="4">
        <v>45350</v>
      </c>
      <c r="K166" s="5" t="s">
        <v>14</v>
      </c>
      <c r="L166">
        <f>YEAR(Table1[[#This Row],[Last_Restock_Date]])</f>
        <v>2024</v>
      </c>
      <c r="M166" t="str">
        <f>_xlfn.CONCAT(TEXT(Table1[[#This Row],[Last_Restock_Date]],"mmm"), "-", YEAR(Table1[[#This Row],[Last_Restock_Date]]))</f>
        <v>Feb-2024</v>
      </c>
      <c r="N166">
        <f>MONTH(Table1[[#This Row],[Last_Restock_Date]])</f>
        <v>2</v>
      </c>
      <c r="O166" t="str" cm="1">
        <f t="array" ref="O166">_xlfn.SWITCH(Table1[[#This Row],[Month_Number]],
    1,"Q1",2,"Q1",3,"Q1",
    4,"Q2",5,"Q2",6,"Q2",
    7,"Q3",8,"Q3",9,"Q3",
    10,"Q4",11,"Q4",12,"Q4",
    "Invalid Month"
)</f>
        <v>Q1</v>
      </c>
      <c r="P166" t="str">
        <f>TEXT(Table1[[#This Row],[Last_Restock_Date]],"mmm")</f>
        <v>Feb</v>
      </c>
    </row>
    <row r="167" spans="1:16" x14ac:dyDescent="0.25">
      <c r="A167">
        <v>166</v>
      </c>
      <c r="B167" s="5" t="s">
        <v>33</v>
      </c>
      <c r="C167" s="5" t="s">
        <v>34</v>
      </c>
      <c r="D167" s="5" t="s">
        <v>17</v>
      </c>
      <c r="E167" s="5" t="s">
        <v>27</v>
      </c>
      <c r="F167" s="2">
        <v>43</v>
      </c>
      <c r="G167" s="3">
        <v>619.91</v>
      </c>
      <c r="H167">
        <v>103</v>
      </c>
      <c r="I167">
        <f>IF(Table1[[#This Row],[Status]]= "Sufficient",
     Table1[[#This Row],[Stock_Quantity]] - Table1[[#This Row],[Reorder_Level]],
     0)</f>
        <v>0</v>
      </c>
      <c r="J167" s="4">
        <v>45786</v>
      </c>
      <c r="K167" s="5" t="s">
        <v>28</v>
      </c>
      <c r="L167">
        <f>YEAR(Table1[[#This Row],[Last_Restock_Date]])</f>
        <v>2025</v>
      </c>
      <c r="M167" t="str">
        <f>_xlfn.CONCAT(TEXT(Table1[[#This Row],[Last_Restock_Date]],"mmm"), "-", YEAR(Table1[[#This Row],[Last_Restock_Date]]))</f>
        <v>May-2025</v>
      </c>
      <c r="N167">
        <f>MONTH(Table1[[#This Row],[Last_Restock_Date]])</f>
        <v>5</v>
      </c>
      <c r="O167" t="str" cm="1">
        <f t="array" ref="O167">_xlfn.SWITCH(Table1[[#This Row],[Month_Number]],
    1,"Q1",2,"Q1",3,"Q1",
    4,"Q2",5,"Q2",6,"Q2",
    7,"Q3",8,"Q3",9,"Q3",
    10,"Q4",11,"Q4",12,"Q4",
    "Invalid Month"
)</f>
        <v>Q2</v>
      </c>
      <c r="P167" t="str">
        <f>TEXT(Table1[[#This Row],[Last_Restock_Date]],"mmm")</f>
        <v>May</v>
      </c>
    </row>
    <row r="168" spans="1:16" x14ac:dyDescent="0.25">
      <c r="A168">
        <v>167</v>
      </c>
      <c r="B168" s="5" t="s">
        <v>35</v>
      </c>
      <c r="C168" s="5" t="s">
        <v>11</v>
      </c>
      <c r="D168" s="5" t="s">
        <v>12</v>
      </c>
      <c r="E168" s="5" t="s">
        <v>37</v>
      </c>
      <c r="F168" s="2">
        <v>122</v>
      </c>
      <c r="G168" s="3">
        <v>582.16</v>
      </c>
      <c r="H168">
        <v>150</v>
      </c>
      <c r="I168">
        <f>IF(Table1[[#This Row],[Status]]= "Sufficient",
     Table1[[#This Row],[Stock_Quantity]] - Table1[[#This Row],[Reorder_Level]],
     0)</f>
        <v>0</v>
      </c>
      <c r="J168" s="4">
        <v>46016</v>
      </c>
      <c r="K168" s="5" t="s">
        <v>28</v>
      </c>
      <c r="L168">
        <f>YEAR(Table1[[#This Row],[Last_Restock_Date]])</f>
        <v>2025</v>
      </c>
      <c r="M168" t="str">
        <f>_xlfn.CONCAT(TEXT(Table1[[#This Row],[Last_Restock_Date]],"mmm"), "-", YEAR(Table1[[#This Row],[Last_Restock_Date]]))</f>
        <v>Dec-2025</v>
      </c>
      <c r="N168">
        <f>MONTH(Table1[[#This Row],[Last_Restock_Date]])</f>
        <v>12</v>
      </c>
      <c r="O168" t="str" cm="1">
        <f t="array" ref="O168">_xlfn.SWITCH(Table1[[#This Row],[Month_Number]],
    1,"Q1",2,"Q1",3,"Q1",
    4,"Q2",5,"Q2",6,"Q2",
    7,"Q3",8,"Q3",9,"Q3",
    10,"Q4",11,"Q4",12,"Q4",
    "Invalid Month"
)</f>
        <v>Q4</v>
      </c>
      <c r="P168" t="str">
        <f>TEXT(Table1[[#This Row],[Last_Restock_Date]],"mmm")</f>
        <v>Dec</v>
      </c>
    </row>
    <row r="169" spans="1:16" x14ac:dyDescent="0.25">
      <c r="A169">
        <v>168</v>
      </c>
      <c r="B169" s="5" t="s">
        <v>29</v>
      </c>
      <c r="C169" s="5" t="s">
        <v>16</v>
      </c>
      <c r="D169" s="5" t="s">
        <v>12</v>
      </c>
      <c r="E169" s="5" t="s">
        <v>32</v>
      </c>
      <c r="F169" s="2">
        <v>262</v>
      </c>
      <c r="G169" s="3">
        <v>346.57</v>
      </c>
      <c r="H169">
        <v>86</v>
      </c>
      <c r="I169">
        <f>IF(Table1[[#This Row],[Status]]= "Sufficient",
     Table1[[#This Row],[Stock_Quantity]] - Table1[[#This Row],[Reorder_Level]],
     0)</f>
        <v>176</v>
      </c>
      <c r="J169" s="4">
        <v>45992</v>
      </c>
      <c r="K169" s="5" t="s">
        <v>14</v>
      </c>
      <c r="L169">
        <f>YEAR(Table1[[#This Row],[Last_Restock_Date]])</f>
        <v>2025</v>
      </c>
      <c r="M169" t="str">
        <f>_xlfn.CONCAT(TEXT(Table1[[#This Row],[Last_Restock_Date]],"mmm"), "-", YEAR(Table1[[#This Row],[Last_Restock_Date]]))</f>
        <v>Dec-2025</v>
      </c>
      <c r="N169">
        <f>MONTH(Table1[[#This Row],[Last_Restock_Date]])</f>
        <v>12</v>
      </c>
      <c r="O169" t="str" cm="1">
        <f t="array" ref="O169">_xlfn.SWITCH(Table1[[#This Row],[Month_Number]],
    1,"Q1",2,"Q1",3,"Q1",
    4,"Q2",5,"Q2",6,"Q2",
    7,"Q3",8,"Q3",9,"Q3",
    10,"Q4",11,"Q4",12,"Q4",
    "Invalid Month"
)</f>
        <v>Q4</v>
      </c>
      <c r="P169" t="str">
        <f>TEXT(Table1[[#This Row],[Last_Restock_Date]],"mmm")</f>
        <v>Dec</v>
      </c>
    </row>
    <row r="170" spans="1:16" x14ac:dyDescent="0.25">
      <c r="A170">
        <v>169</v>
      </c>
      <c r="B170" s="5" t="s">
        <v>25</v>
      </c>
      <c r="C170" s="5" t="s">
        <v>26</v>
      </c>
      <c r="D170" s="5" t="s">
        <v>17</v>
      </c>
      <c r="E170" s="5" t="s">
        <v>18</v>
      </c>
      <c r="F170" s="2">
        <v>195</v>
      </c>
      <c r="G170" s="3">
        <v>47.81</v>
      </c>
      <c r="H170">
        <v>100</v>
      </c>
      <c r="I170">
        <f>IF(Table1[[#This Row],[Status]]= "Sufficient",
     Table1[[#This Row],[Stock_Quantity]] - Table1[[#This Row],[Reorder_Level]],
     0)</f>
        <v>95</v>
      </c>
      <c r="J170" s="4">
        <v>45969</v>
      </c>
      <c r="K170" s="5" t="s">
        <v>14</v>
      </c>
      <c r="L170">
        <f>YEAR(Table1[[#This Row],[Last_Restock_Date]])</f>
        <v>2025</v>
      </c>
      <c r="M170" t="str">
        <f>_xlfn.CONCAT(TEXT(Table1[[#This Row],[Last_Restock_Date]],"mmm"), "-", YEAR(Table1[[#This Row],[Last_Restock_Date]]))</f>
        <v>Nov-2025</v>
      </c>
      <c r="N170">
        <f>MONTH(Table1[[#This Row],[Last_Restock_Date]])</f>
        <v>11</v>
      </c>
      <c r="O170" t="str" cm="1">
        <f t="array" ref="O170">_xlfn.SWITCH(Table1[[#This Row],[Month_Number]],
    1,"Q1",2,"Q1",3,"Q1",
    4,"Q2",5,"Q2",6,"Q2",
    7,"Q3",8,"Q3",9,"Q3",
    10,"Q4",11,"Q4",12,"Q4",
    "Invalid Month"
)</f>
        <v>Q4</v>
      </c>
      <c r="P170" t="str">
        <f>TEXT(Table1[[#This Row],[Last_Restock_Date]],"mmm")</f>
        <v>Nov</v>
      </c>
    </row>
    <row r="171" spans="1:16" x14ac:dyDescent="0.25">
      <c r="A171">
        <v>170</v>
      </c>
      <c r="B171" s="5" t="s">
        <v>25</v>
      </c>
      <c r="C171" s="5" t="s">
        <v>26</v>
      </c>
      <c r="D171" s="5" t="s">
        <v>17</v>
      </c>
      <c r="E171" s="5" t="s">
        <v>27</v>
      </c>
      <c r="F171" s="2">
        <v>400</v>
      </c>
      <c r="G171" s="3">
        <v>399.25</v>
      </c>
      <c r="H171">
        <v>96</v>
      </c>
      <c r="I171">
        <f>IF(Table1[[#This Row],[Status]]= "Sufficient",
     Table1[[#This Row],[Stock_Quantity]] - Table1[[#This Row],[Reorder_Level]],
     0)</f>
        <v>304</v>
      </c>
      <c r="J171" s="4">
        <v>45752</v>
      </c>
      <c r="K171" s="5" t="s">
        <v>14</v>
      </c>
      <c r="L171">
        <f>YEAR(Table1[[#This Row],[Last_Restock_Date]])</f>
        <v>2025</v>
      </c>
      <c r="M171" t="str">
        <f>_xlfn.CONCAT(TEXT(Table1[[#This Row],[Last_Restock_Date]],"mmm"), "-", YEAR(Table1[[#This Row],[Last_Restock_Date]]))</f>
        <v>Apr-2025</v>
      </c>
      <c r="N171">
        <f>MONTH(Table1[[#This Row],[Last_Restock_Date]])</f>
        <v>4</v>
      </c>
      <c r="O171" t="str" cm="1">
        <f t="array" ref="O171">_xlfn.SWITCH(Table1[[#This Row],[Month_Number]],
    1,"Q1",2,"Q1",3,"Q1",
    4,"Q2",5,"Q2",6,"Q2",
    7,"Q3",8,"Q3",9,"Q3",
    10,"Q4",11,"Q4",12,"Q4",
    "Invalid Month"
)</f>
        <v>Q2</v>
      </c>
      <c r="P171" t="str">
        <f>TEXT(Table1[[#This Row],[Last_Restock_Date]],"mmm")</f>
        <v>Apr</v>
      </c>
    </row>
    <row r="172" spans="1:16" x14ac:dyDescent="0.25">
      <c r="A172">
        <v>171</v>
      </c>
      <c r="B172" s="5" t="s">
        <v>23</v>
      </c>
      <c r="C172" s="5" t="s">
        <v>20</v>
      </c>
      <c r="D172" s="5" t="s">
        <v>17</v>
      </c>
      <c r="E172" s="5" t="s">
        <v>37</v>
      </c>
      <c r="F172" s="2">
        <v>200</v>
      </c>
      <c r="G172" s="3">
        <v>210.31</v>
      </c>
      <c r="H172">
        <v>149</v>
      </c>
      <c r="I172">
        <f>IF(Table1[[#This Row],[Status]]= "Sufficient",
     Table1[[#This Row],[Stock_Quantity]] - Table1[[#This Row],[Reorder_Level]],
     0)</f>
        <v>51</v>
      </c>
      <c r="J172" s="4">
        <v>45587</v>
      </c>
      <c r="K172" s="5" t="s">
        <v>14</v>
      </c>
      <c r="L172">
        <f>YEAR(Table1[[#This Row],[Last_Restock_Date]])</f>
        <v>2024</v>
      </c>
      <c r="M172" t="str">
        <f>_xlfn.CONCAT(TEXT(Table1[[#This Row],[Last_Restock_Date]],"mmm"), "-", YEAR(Table1[[#This Row],[Last_Restock_Date]]))</f>
        <v>Oct-2024</v>
      </c>
      <c r="N172">
        <f>MONTH(Table1[[#This Row],[Last_Restock_Date]])</f>
        <v>10</v>
      </c>
      <c r="O172" t="str" cm="1">
        <f t="array" ref="O172">_xlfn.SWITCH(Table1[[#This Row],[Month_Number]],
    1,"Q1",2,"Q1",3,"Q1",
    4,"Q2",5,"Q2",6,"Q2",
    7,"Q3",8,"Q3",9,"Q3",
    10,"Q4",11,"Q4",12,"Q4",
    "Invalid Month"
)</f>
        <v>Q4</v>
      </c>
      <c r="P172" t="str">
        <f>TEXT(Table1[[#This Row],[Last_Restock_Date]],"mmm")</f>
        <v>Oct</v>
      </c>
    </row>
    <row r="173" spans="1:16" x14ac:dyDescent="0.25">
      <c r="A173">
        <v>172</v>
      </c>
      <c r="B173" s="5" t="s">
        <v>50</v>
      </c>
      <c r="C173" s="5" t="s">
        <v>34</v>
      </c>
      <c r="D173" s="5" t="s">
        <v>24</v>
      </c>
      <c r="E173" s="5" t="s">
        <v>37</v>
      </c>
      <c r="F173" s="2">
        <v>460</v>
      </c>
      <c r="G173" s="3">
        <v>555.11</v>
      </c>
      <c r="H173">
        <v>104</v>
      </c>
      <c r="I173">
        <f>IF(Table1[[#This Row],[Status]]= "Sufficient",
     Table1[[#This Row],[Stock_Quantity]] - Table1[[#This Row],[Reorder_Level]],
     0)</f>
        <v>356</v>
      </c>
      <c r="J173" s="4">
        <v>45598</v>
      </c>
      <c r="K173" s="5" t="s">
        <v>14</v>
      </c>
      <c r="L173">
        <f>YEAR(Table1[[#This Row],[Last_Restock_Date]])</f>
        <v>2024</v>
      </c>
      <c r="M173" t="str">
        <f>_xlfn.CONCAT(TEXT(Table1[[#This Row],[Last_Restock_Date]],"mmm"), "-", YEAR(Table1[[#This Row],[Last_Restock_Date]]))</f>
        <v>Nov-2024</v>
      </c>
      <c r="N173">
        <f>MONTH(Table1[[#This Row],[Last_Restock_Date]])</f>
        <v>11</v>
      </c>
      <c r="O173" t="str" cm="1">
        <f t="array" ref="O173">_xlfn.SWITCH(Table1[[#This Row],[Month_Number]],
    1,"Q1",2,"Q1",3,"Q1",
    4,"Q2",5,"Q2",6,"Q2",
    7,"Q3",8,"Q3",9,"Q3",
    10,"Q4",11,"Q4",12,"Q4",
    "Invalid Month"
)</f>
        <v>Q4</v>
      </c>
      <c r="P173" t="str">
        <f>TEXT(Table1[[#This Row],[Last_Restock_Date]],"mmm")</f>
        <v>Nov</v>
      </c>
    </row>
    <row r="174" spans="1:16" x14ac:dyDescent="0.25">
      <c r="A174">
        <v>173</v>
      </c>
      <c r="B174" s="5" t="s">
        <v>35</v>
      </c>
      <c r="C174" s="5" t="s">
        <v>11</v>
      </c>
      <c r="D174" s="5" t="s">
        <v>21</v>
      </c>
      <c r="E174" s="5" t="s">
        <v>37</v>
      </c>
      <c r="F174" s="2">
        <v>177</v>
      </c>
      <c r="G174" s="3">
        <v>375.05</v>
      </c>
      <c r="H174">
        <v>70</v>
      </c>
      <c r="I174">
        <f>IF(Table1[[#This Row],[Status]]= "Sufficient",
     Table1[[#This Row],[Stock_Quantity]] - Table1[[#This Row],[Reorder_Level]],
     0)</f>
        <v>107</v>
      </c>
      <c r="J174" s="4">
        <v>45010</v>
      </c>
      <c r="K174" s="5" t="s">
        <v>14</v>
      </c>
      <c r="L174">
        <f>YEAR(Table1[[#This Row],[Last_Restock_Date]])</f>
        <v>2023</v>
      </c>
      <c r="M174" t="str">
        <f>_xlfn.CONCAT(TEXT(Table1[[#This Row],[Last_Restock_Date]],"mmm"), "-", YEAR(Table1[[#This Row],[Last_Restock_Date]]))</f>
        <v>Mar-2023</v>
      </c>
      <c r="N174">
        <f>MONTH(Table1[[#This Row],[Last_Restock_Date]])</f>
        <v>3</v>
      </c>
      <c r="O174" t="str" cm="1">
        <f t="array" ref="O174">_xlfn.SWITCH(Table1[[#This Row],[Month_Number]],
    1,"Q1",2,"Q1",3,"Q1",
    4,"Q2",5,"Q2",6,"Q2",
    7,"Q3",8,"Q3",9,"Q3",
    10,"Q4",11,"Q4",12,"Q4",
    "Invalid Month"
)</f>
        <v>Q1</v>
      </c>
      <c r="P174" t="str">
        <f>TEXT(Table1[[#This Row],[Last_Restock_Date]],"mmm")</f>
        <v>Mar</v>
      </c>
    </row>
    <row r="175" spans="1:16" x14ac:dyDescent="0.25">
      <c r="A175">
        <v>174</v>
      </c>
      <c r="B175" s="5" t="s">
        <v>33</v>
      </c>
      <c r="C175" s="5" t="s">
        <v>34</v>
      </c>
      <c r="D175" s="5" t="s">
        <v>21</v>
      </c>
      <c r="E175" s="5" t="s">
        <v>32</v>
      </c>
      <c r="F175" s="2">
        <v>233</v>
      </c>
      <c r="G175" s="3">
        <v>601.94000000000005</v>
      </c>
      <c r="H175">
        <v>85</v>
      </c>
      <c r="I175">
        <f>IF(Table1[[#This Row],[Status]]= "Sufficient",
     Table1[[#This Row],[Stock_Quantity]] - Table1[[#This Row],[Reorder_Level]],
     0)</f>
        <v>148</v>
      </c>
      <c r="J175" s="4">
        <v>45797</v>
      </c>
      <c r="K175" s="5" t="s">
        <v>14</v>
      </c>
      <c r="L175">
        <f>YEAR(Table1[[#This Row],[Last_Restock_Date]])</f>
        <v>2025</v>
      </c>
      <c r="M175" t="str">
        <f>_xlfn.CONCAT(TEXT(Table1[[#This Row],[Last_Restock_Date]],"mmm"), "-", YEAR(Table1[[#This Row],[Last_Restock_Date]]))</f>
        <v>May-2025</v>
      </c>
      <c r="N175">
        <f>MONTH(Table1[[#This Row],[Last_Restock_Date]])</f>
        <v>5</v>
      </c>
      <c r="O175" t="str" cm="1">
        <f t="array" ref="O175">_xlfn.SWITCH(Table1[[#This Row],[Month_Number]],
    1,"Q1",2,"Q1",3,"Q1",
    4,"Q2",5,"Q2",6,"Q2",
    7,"Q3",8,"Q3",9,"Q3",
    10,"Q4",11,"Q4",12,"Q4",
    "Invalid Month"
)</f>
        <v>Q2</v>
      </c>
      <c r="P175" t="str">
        <f>TEXT(Table1[[#This Row],[Last_Restock_Date]],"mmm")</f>
        <v>May</v>
      </c>
    </row>
    <row r="176" spans="1:16" x14ac:dyDescent="0.25">
      <c r="A176">
        <v>175</v>
      </c>
      <c r="B176" s="5" t="s">
        <v>31</v>
      </c>
      <c r="C176" s="5" t="s">
        <v>20</v>
      </c>
      <c r="D176" s="5" t="s">
        <v>21</v>
      </c>
      <c r="E176" s="5" t="s">
        <v>32</v>
      </c>
      <c r="F176" s="2">
        <v>464</v>
      </c>
      <c r="G176" s="3">
        <v>716.43</v>
      </c>
      <c r="H176">
        <v>133</v>
      </c>
      <c r="I176">
        <f>IF(Table1[[#This Row],[Status]]= "Sufficient",
     Table1[[#This Row],[Stock_Quantity]] - Table1[[#This Row],[Reorder_Level]],
     0)</f>
        <v>331</v>
      </c>
      <c r="J176" s="4">
        <v>45836</v>
      </c>
      <c r="K176" s="5" t="s">
        <v>14</v>
      </c>
      <c r="L176">
        <f>YEAR(Table1[[#This Row],[Last_Restock_Date]])</f>
        <v>2025</v>
      </c>
      <c r="M176" t="str">
        <f>_xlfn.CONCAT(TEXT(Table1[[#This Row],[Last_Restock_Date]],"mmm"), "-", YEAR(Table1[[#This Row],[Last_Restock_Date]]))</f>
        <v>Jun-2025</v>
      </c>
      <c r="N176">
        <f>MONTH(Table1[[#This Row],[Last_Restock_Date]])</f>
        <v>6</v>
      </c>
      <c r="O176" t="str" cm="1">
        <f t="array" ref="O176">_xlfn.SWITCH(Table1[[#This Row],[Month_Number]],
    1,"Q1",2,"Q1",3,"Q1",
    4,"Q2",5,"Q2",6,"Q2",
    7,"Q3",8,"Q3",9,"Q3",
    10,"Q4",11,"Q4",12,"Q4",
    "Invalid Month"
)</f>
        <v>Q2</v>
      </c>
      <c r="P176" t="str">
        <f>TEXT(Table1[[#This Row],[Last_Restock_Date]],"mmm")</f>
        <v>Jun</v>
      </c>
    </row>
    <row r="177" spans="1:16" x14ac:dyDescent="0.25">
      <c r="A177">
        <v>176</v>
      </c>
      <c r="B177" s="5" t="s">
        <v>46</v>
      </c>
      <c r="C177" s="5" t="s">
        <v>34</v>
      </c>
      <c r="D177" s="5" t="s">
        <v>12</v>
      </c>
      <c r="E177" s="5" t="s">
        <v>37</v>
      </c>
      <c r="F177" s="2">
        <v>383</v>
      </c>
      <c r="G177" s="3">
        <v>601</v>
      </c>
      <c r="H177">
        <v>138</v>
      </c>
      <c r="I177">
        <f>IF(Table1[[#This Row],[Status]]= "Sufficient",
     Table1[[#This Row],[Stock_Quantity]] - Table1[[#This Row],[Reorder_Level]],
     0)</f>
        <v>245</v>
      </c>
      <c r="J177" s="4">
        <v>45639</v>
      </c>
      <c r="K177" s="5" t="s">
        <v>14</v>
      </c>
      <c r="L177">
        <f>YEAR(Table1[[#This Row],[Last_Restock_Date]])</f>
        <v>2024</v>
      </c>
      <c r="M177" t="str">
        <f>_xlfn.CONCAT(TEXT(Table1[[#This Row],[Last_Restock_Date]],"mmm"), "-", YEAR(Table1[[#This Row],[Last_Restock_Date]]))</f>
        <v>Dec-2024</v>
      </c>
      <c r="N177">
        <f>MONTH(Table1[[#This Row],[Last_Restock_Date]])</f>
        <v>12</v>
      </c>
      <c r="O177" t="str" cm="1">
        <f t="array" ref="O177">_xlfn.SWITCH(Table1[[#This Row],[Month_Number]],
    1,"Q1",2,"Q1",3,"Q1",
    4,"Q2",5,"Q2",6,"Q2",
    7,"Q3",8,"Q3",9,"Q3",
    10,"Q4",11,"Q4",12,"Q4",
    "Invalid Month"
)</f>
        <v>Q4</v>
      </c>
      <c r="P177" t="str">
        <f>TEXT(Table1[[#This Row],[Last_Restock_Date]],"mmm")</f>
        <v>Dec</v>
      </c>
    </row>
    <row r="178" spans="1:16" x14ac:dyDescent="0.25">
      <c r="A178">
        <v>177</v>
      </c>
      <c r="B178" s="5" t="s">
        <v>43</v>
      </c>
      <c r="C178" s="5" t="s">
        <v>26</v>
      </c>
      <c r="D178" s="5" t="s">
        <v>24</v>
      </c>
      <c r="E178" s="5" t="s">
        <v>27</v>
      </c>
      <c r="F178" s="2">
        <v>119</v>
      </c>
      <c r="G178" s="3">
        <v>336.44</v>
      </c>
      <c r="H178">
        <v>81</v>
      </c>
      <c r="I178">
        <f>IF(Table1[[#This Row],[Status]]= "Sufficient",
     Table1[[#This Row],[Stock_Quantity]] - Table1[[#This Row],[Reorder_Level]],
     0)</f>
        <v>38</v>
      </c>
      <c r="J178" s="4">
        <v>45419</v>
      </c>
      <c r="K178" s="5" t="s">
        <v>14</v>
      </c>
      <c r="L178">
        <f>YEAR(Table1[[#This Row],[Last_Restock_Date]])</f>
        <v>2024</v>
      </c>
      <c r="M178" t="str">
        <f>_xlfn.CONCAT(TEXT(Table1[[#This Row],[Last_Restock_Date]],"mmm"), "-", YEAR(Table1[[#This Row],[Last_Restock_Date]]))</f>
        <v>May-2024</v>
      </c>
      <c r="N178">
        <f>MONTH(Table1[[#This Row],[Last_Restock_Date]])</f>
        <v>5</v>
      </c>
      <c r="O178" t="str" cm="1">
        <f t="array" ref="O178">_xlfn.SWITCH(Table1[[#This Row],[Month_Number]],
    1,"Q1",2,"Q1",3,"Q1",
    4,"Q2",5,"Q2",6,"Q2",
    7,"Q3",8,"Q3",9,"Q3",
    10,"Q4",11,"Q4",12,"Q4",
    "Invalid Month"
)</f>
        <v>Q2</v>
      </c>
      <c r="P178" t="str">
        <f>TEXT(Table1[[#This Row],[Last_Restock_Date]],"mmm")</f>
        <v>May</v>
      </c>
    </row>
    <row r="179" spans="1:16" x14ac:dyDescent="0.25">
      <c r="A179">
        <v>178</v>
      </c>
      <c r="B179" s="5" t="s">
        <v>44</v>
      </c>
      <c r="C179" s="5" t="s">
        <v>34</v>
      </c>
      <c r="D179" s="5" t="s">
        <v>12</v>
      </c>
      <c r="E179" s="5" t="s">
        <v>13</v>
      </c>
      <c r="F179" s="2">
        <v>115</v>
      </c>
      <c r="G179" s="3">
        <v>537.32000000000005</v>
      </c>
      <c r="H179">
        <v>131</v>
      </c>
      <c r="I179">
        <f>IF(Table1[[#This Row],[Status]]= "Sufficient",
     Table1[[#This Row],[Stock_Quantity]] - Table1[[#This Row],[Reorder_Level]],
     0)</f>
        <v>0</v>
      </c>
      <c r="J179" s="4">
        <v>45442</v>
      </c>
      <c r="K179" s="5" t="s">
        <v>28</v>
      </c>
      <c r="L179">
        <f>YEAR(Table1[[#This Row],[Last_Restock_Date]])</f>
        <v>2024</v>
      </c>
      <c r="M179" t="str">
        <f>_xlfn.CONCAT(TEXT(Table1[[#This Row],[Last_Restock_Date]],"mmm"), "-", YEAR(Table1[[#This Row],[Last_Restock_Date]]))</f>
        <v>May-2024</v>
      </c>
      <c r="N179">
        <f>MONTH(Table1[[#This Row],[Last_Restock_Date]])</f>
        <v>5</v>
      </c>
      <c r="O179" t="str" cm="1">
        <f t="array" ref="O179">_xlfn.SWITCH(Table1[[#This Row],[Month_Number]],
    1,"Q1",2,"Q1",3,"Q1",
    4,"Q2",5,"Q2",6,"Q2",
    7,"Q3",8,"Q3",9,"Q3",
    10,"Q4",11,"Q4",12,"Q4",
    "Invalid Month"
)</f>
        <v>Q2</v>
      </c>
      <c r="P179" t="str">
        <f>TEXT(Table1[[#This Row],[Last_Restock_Date]],"mmm")</f>
        <v>May</v>
      </c>
    </row>
    <row r="180" spans="1:16" x14ac:dyDescent="0.25">
      <c r="A180">
        <v>179</v>
      </c>
      <c r="B180" s="5" t="s">
        <v>50</v>
      </c>
      <c r="C180" s="5" t="s">
        <v>34</v>
      </c>
      <c r="D180" s="5" t="s">
        <v>30</v>
      </c>
      <c r="E180" s="5" t="s">
        <v>32</v>
      </c>
      <c r="F180" s="2">
        <v>469</v>
      </c>
      <c r="G180" s="3">
        <v>527.78</v>
      </c>
      <c r="H180">
        <v>90</v>
      </c>
      <c r="I180">
        <f>IF(Table1[[#This Row],[Status]]= "Sufficient",
     Table1[[#This Row],[Stock_Quantity]] - Table1[[#This Row],[Reorder_Level]],
     0)</f>
        <v>379</v>
      </c>
      <c r="J180" s="4">
        <v>44931</v>
      </c>
      <c r="K180" s="5" t="s">
        <v>14</v>
      </c>
      <c r="L180">
        <f>YEAR(Table1[[#This Row],[Last_Restock_Date]])</f>
        <v>2023</v>
      </c>
      <c r="M180" t="str">
        <f>_xlfn.CONCAT(TEXT(Table1[[#This Row],[Last_Restock_Date]],"mmm"), "-", YEAR(Table1[[#This Row],[Last_Restock_Date]]))</f>
        <v>Jan-2023</v>
      </c>
      <c r="N180">
        <f>MONTH(Table1[[#This Row],[Last_Restock_Date]])</f>
        <v>1</v>
      </c>
      <c r="O180" t="str" cm="1">
        <f t="array" ref="O180">_xlfn.SWITCH(Table1[[#This Row],[Month_Number]],
    1,"Q1",2,"Q1",3,"Q1",
    4,"Q2",5,"Q2",6,"Q2",
    7,"Q3",8,"Q3",9,"Q3",
    10,"Q4",11,"Q4",12,"Q4",
    "Invalid Month"
)</f>
        <v>Q1</v>
      </c>
      <c r="P180" t="str">
        <f>TEXT(Table1[[#This Row],[Last_Restock_Date]],"mmm")</f>
        <v>Jan</v>
      </c>
    </row>
    <row r="181" spans="1:16" x14ac:dyDescent="0.25">
      <c r="A181">
        <v>180</v>
      </c>
      <c r="B181" s="5" t="s">
        <v>35</v>
      </c>
      <c r="C181" s="5" t="s">
        <v>11</v>
      </c>
      <c r="D181" s="5" t="s">
        <v>30</v>
      </c>
      <c r="E181" s="5" t="s">
        <v>18</v>
      </c>
      <c r="F181" s="2">
        <v>144</v>
      </c>
      <c r="G181" s="3">
        <v>625.77</v>
      </c>
      <c r="H181">
        <v>115</v>
      </c>
      <c r="I181">
        <f>IF(Table1[[#This Row],[Status]]= "Sufficient",
     Table1[[#This Row],[Stock_Quantity]] - Table1[[#This Row],[Reorder_Level]],
     0)</f>
        <v>29</v>
      </c>
      <c r="J181" s="4">
        <v>45594</v>
      </c>
      <c r="K181" s="5" t="s">
        <v>14</v>
      </c>
      <c r="L181">
        <f>YEAR(Table1[[#This Row],[Last_Restock_Date]])</f>
        <v>2024</v>
      </c>
      <c r="M181" t="str">
        <f>_xlfn.CONCAT(TEXT(Table1[[#This Row],[Last_Restock_Date]],"mmm"), "-", YEAR(Table1[[#This Row],[Last_Restock_Date]]))</f>
        <v>Oct-2024</v>
      </c>
      <c r="N181">
        <f>MONTH(Table1[[#This Row],[Last_Restock_Date]])</f>
        <v>10</v>
      </c>
      <c r="O181" t="str" cm="1">
        <f t="array" ref="O181">_xlfn.SWITCH(Table1[[#This Row],[Month_Number]],
    1,"Q1",2,"Q1",3,"Q1",
    4,"Q2",5,"Q2",6,"Q2",
    7,"Q3",8,"Q3",9,"Q3",
    10,"Q4",11,"Q4",12,"Q4",
    "Invalid Month"
)</f>
        <v>Q4</v>
      </c>
      <c r="P181" t="str">
        <f>TEXT(Table1[[#This Row],[Last_Restock_Date]],"mmm")</f>
        <v>Oct</v>
      </c>
    </row>
    <row r="182" spans="1:16" x14ac:dyDescent="0.25">
      <c r="A182">
        <v>181</v>
      </c>
      <c r="B182" s="5" t="s">
        <v>38</v>
      </c>
      <c r="C182" s="5" t="s">
        <v>26</v>
      </c>
      <c r="D182" s="5" t="s">
        <v>17</v>
      </c>
      <c r="E182" s="5" t="s">
        <v>13</v>
      </c>
      <c r="F182" s="2">
        <v>480</v>
      </c>
      <c r="G182" s="3">
        <v>398.83</v>
      </c>
      <c r="H182">
        <v>87</v>
      </c>
      <c r="I182">
        <f>IF(Table1[[#This Row],[Status]]= "Sufficient",
     Table1[[#This Row],[Stock_Quantity]] - Table1[[#This Row],[Reorder_Level]],
     0)</f>
        <v>393</v>
      </c>
      <c r="J182" s="4">
        <v>45288</v>
      </c>
      <c r="K182" s="5" t="s">
        <v>14</v>
      </c>
      <c r="L182">
        <f>YEAR(Table1[[#This Row],[Last_Restock_Date]])</f>
        <v>2023</v>
      </c>
      <c r="M182" t="str">
        <f>_xlfn.CONCAT(TEXT(Table1[[#This Row],[Last_Restock_Date]],"mmm"), "-", YEAR(Table1[[#This Row],[Last_Restock_Date]]))</f>
        <v>Dec-2023</v>
      </c>
      <c r="N182">
        <f>MONTH(Table1[[#This Row],[Last_Restock_Date]])</f>
        <v>12</v>
      </c>
      <c r="O182" t="str" cm="1">
        <f t="array" ref="O182">_xlfn.SWITCH(Table1[[#This Row],[Month_Number]],
    1,"Q1",2,"Q1",3,"Q1",
    4,"Q2",5,"Q2",6,"Q2",
    7,"Q3",8,"Q3",9,"Q3",
    10,"Q4",11,"Q4",12,"Q4",
    "Invalid Month"
)</f>
        <v>Q4</v>
      </c>
      <c r="P182" t="str">
        <f>TEXT(Table1[[#This Row],[Last_Restock_Date]],"mmm")</f>
        <v>Dec</v>
      </c>
    </row>
    <row r="183" spans="1:16" x14ac:dyDescent="0.25">
      <c r="A183">
        <v>182</v>
      </c>
      <c r="B183" s="5" t="s">
        <v>54</v>
      </c>
      <c r="C183" s="5" t="s">
        <v>20</v>
      </c>
      <c r="D183" s="5" t="s">
        <v>12</v>
      </c>
      <c r="E183" s="5" t="s">
        <v>37</v>
      </c>
      <c r="F183" s="2">
        <v>230</v>
      </c>
      <c r="G183" s="3">
        <v>455.05</v>
      </c>
      <c r="H183">
        <v>80</v>
      </c>
      <c r="I183">
        <f>IF(Table1[[#This Row],[Status]]= "Sufficient",
     Table1[[#This Row],[Stock_Quantity]] - Table1[[#This Row],[Reorder_Level]],
     0)</f>
        <v>150</v>
      </c>
      <c r="J183" s="4">
        <v>45214</v>
      </c>
      <c r="K183" s="5" t="s">
        <v>14</v>
      </c>
      <c r="L183">
        <f>YEAR(Table1[[#This Row],[Last_Restock_Date]])</f>
        <v>2023</v>
      </c>
      <c r="M183" t="str">
        <f>_xlfn.CONCAT(TEXT(Table1[[#This Row],[Last_Restock_Date]],"mmm"), "-", YEAR(Table1[[#This Row],[Last_Restock_Date]]))</f>
        <v>Oct-2023</v>
      </c>
      <c r="N183">
        <f>MONTH(Table1[[#This Row],[Last_Restock_Date]])</f>
        <v>10</v>
      </c>
      <c r="O183" t="str" cm="1">
        <f t="array" ref="O183">_xlfn.SWITCH(Table1[[#This Row],[Month_Number]],
    1,"Q1",2,"Q1",3,"Q1",
    4,"Q2",5,"Q2",6,"Q2",
    7,"Q3",8,"Q3",9,"Q3",
    10,"Q4",11,"Q4",12,"Q4",
    "Invalid Month"
)</f>
        <v>Q4</v>
      </c>
      <c r="P183" t="str">
        <f>TEXT(Table1[[#This Row],[Last_Restock_Date]],"mmm")</f>
        <v>Oct</v>
      </c>
    </row>
    <row r="184" spans="1:16" x14ac:dyDescent="0.25">
      <c r="A184">
        <v>183</v>
      </c>
      <c r="B184" s="5" t="s">
        <v>25</v>
      </c>
      <c r="C184" s="5" t="s">
        <v>26</v>
      </c>
      <c r="D184" s="5" t="s">
        <v>17</v>
      </c>
      <c r="E184" s="5" t="s">
        <v>27</v>
      </c>
      <c r="F184" s="2">
        <v>14</v>
      </c>
      <c r="G184" s="3">
        <v>304.95999999999998</v>
      </c>
      <c r="H184">
        <v>117</v>
      </c>
      <c r="I184">
        <f>IF(Table1[[#This Row],[Status]]= "Sufficient",
     Table1[[#This Row],[Stock_Quantity]] - Table1[[#This Row],[Reorder_Level]],
     0)</f>
        <v>0</v>
      </c>
      <c r="J184" s="4">
        <v>45773</v>
      </c>
      <c r="K184" s="5" t="s">
        <v>28</v>
      </c>
      <c r="L184">
        <f>YEAR(Table1[[#This Row],[Last_Restock_Date]])</f>
        <v>2025</v>
      </c>
      <c r="M184" t="str">
        <f>_xlfn.CONCAT(TEXT(Table1[[#This Row],[Last_Restock_Date]],"mmm"), "-", YEAR(Table1[[#This Row],[Last_Restock_Date]]))</f>
        <v>Apr-2025</v>
      </c>
      <c r="N184">
        <f>MONTH(Table1[[#This Row],[Last_Restock_Date]])</f>
        <v>4</v>
      </c>
      <c r="O184" t="str" cm="1">
        <f t="array" ref="O184">_xlfn.SWITCH(Table1[[#This Row],[Month_Number]],
    1,"Q1",2,"Q1",3,"Q1",
    4,"Q2",5,"Q2",6,"Q2",
    7,"Q3",8,"Q3",9,"Q3",
    10,"Q4",11,"Q4",12,"Q4",
    "Invalid Month"
)</f>
        <v>Q2</v>
      </c>
      <c r="P184" t="str">
        <f>TEXT(Table1[[#This Row],[Last_Restock_Date]],"mmm")</f>
        <v>Apr</v>
      </c>
    </row>
    <row r="185" spans="1:16" x14ac:dyDescent="0.25">
      <c r="A185">
        <v>184</v>
      </c>
      <c r="B185" s="5" t="s">
        <v>36</v>
      </c>
      <c r="C185" s="5" t="s">
        <v>11</v>
      </c>
      <c r="D185" s="5" t="s">
        <v>24</v>
      </c>
      <c r="E185" s="5" t="s">
        <v>39</v>
      </c>
      <c r="F185" s="2">
        <v>157</v>
      </c>
      <c r="G185" s="3">
        <v>697.89</v>
      </c>
      <c r="H185">
        <v>76</v>
      </c>
      <c r="I185">
        <f>IF(Table1[[#This Row],[Status]]= "Sufficient",
     Table1[[#This Row],[Stock_Quantity]] - Table1[[#This Row],[Reorder_Level]],
     0)</f>
        <v>81</v>
      </c>
      <c r="J185" s="4">
        <v>45714</v>
      </c>
      <c r="K185" s="5" t="s">
        <v>14</v>
      </c>
      <c r="L185">
        <f>YEAR(Table1[[#This Row],[Last_Restock_Date]])</f>
        <v>2025</v>
      </c>
      <c r="M185" t="str">
        <f>_xlfn.CONCAT(TEXT(Table1[[#This Row],[Last_Restock_Date]],"mmm"), "-", YEAR(Table1[[#This Row],[Last_Restock_Date]]))</f>
        <v>Feb-2025</v>
      </c>
      <c r="N185">
        <f>MONTH(Table1[[#This Row],[Last_Restock_Date]])</f>
        <v>2</v>
      </c>
      <c r="O185" t="str" cm="1">
        <f t="array" ref="O185">_xlfn.SWITCH(Table1[[#This Row],[Month_Number]],
    1,"Q1",2,"Q1",3,"Q1",
    4,"Q2",5,"Q2",6,"Q2",
    7,"Q3",8,"Q3",9,"Q3",
    10,"Q4",11,"Q4",12,"Q4",
    "Invalid Month"
)</f>
        <v>Q1</v>
      </c>
      <c r="P185" t="str">
        <f>TEXT(Table1[[#This Row],[Last_Restock_Date]],"mmm")</f>
        <v>Feb</v>
      </c>
    </row>
    <row r="186" spans="1:16" x14ac:dyDescent="0.25">
      <c r="A186">
        <v>185</v>
      </c>
      <c r="B186" s="5" t="s">
        <v>10</v>
      </c>
      <c r="C186" s="5" t="s">
        <v>11</v>
      </c>
      <c r="D186" s="5" t="s">
        <v>17</v>
      </c>
      <c r="E186" s="5" t="s">
        <v>32</v>
      </c>
      <c r="F186" s="2">
        <v>291</v>
      </c>
      <c r="G186" s="3">
        <v>184.46</v>
      </c>
      <c r="H186">
        <v>140</v>
      </c>
      <c r="I186">
        <f>IF(Table1[[#This Row],[Status]]= "Sufficient",
     Table1[[#This Row],[Stock_Quantity]] - Table1[[#This Row],[Reorder_Level]],
     0)</f>
        <v>151</v>
      </c>
      <c r="J186" s="4">
        <v>45586</v>
      </c>
      <c r="K186" s="5" t="s">
        <v>14</v>
      </c>
      <c r="L186">
        <f>YEAR(Table1[[#This Row],[Last_Restock_Date]])</f>
        <v>2024</v>
      </c>
      <c r="M186" t="str">
        <f>_xlfn.CONCAT(TEXT(Table1[[#This Row],[Last_Restock_Date]],"mmm"), "-", YEAR(Table1[[#This Row],[Last_Restock_Date]]))</f>
        <v>Oct-2024</v>
      </c>
      <c r="N186">
        <f>MONTH(Table1[[#This Row],[Last_Restock_Date]])</f>
        <v>10</v>
      </c>
      <c r="O186" t="str" cm="1">
        <f t="array" ref="O186">_xlfn.SWITCH(Table1[[#This Row],[Month_Number]],
    1,"Q1",2,"Q1",3,"Q1",
    4,"Q2",5,"Q2",6,"Q2",
    7,"Q3",8,"Q3",9,"Q3",
    10,"Q4",11,"Q4",12,"Q4",
    "Invalid Month"
)</f>
        <v>Q4</v>
      </c>
      <c r="P186" t="str">
        <f>TEXT(Table1[[#This Row],[Last_Restock_Date]],"mmm")</f>
        <v>Oct</v>
      </c>
    </row>
    <row r="187" spans="1:16" x14ac:dyDescent="0.25">
      <c r="A187">
        <v>186</v>
      </c>
      <c r="B187" s="5" t="s">
        <v>53</v>
      </c>
      <c r="C187" s="5" t="s">
        <v>26</v>
      </c>
      <c r="D187" s="5" t="s">
        <v>21</v>
      </c>
      <c r="E187" s="5" t="s">
        <v>32</v>
      </c>
      <c r="F187" s="2">
        <v>398</v>
      </c>
      <c r="G187" s="3">
        <v>640.94000000000005</v>
      </c>
      <c r="H187">
        <v>91</v>
      </c>
      <c r="I187">
        <f>IF(Table1[[#This Row],[Status]]= "Sufficient",
     Table1[[#This Row],[Stock_Quantity]] - Table1[[#This Row],[Reorder_Level]],
     0)</f>
        <v>307</v>
      </c>
      <c r="J187" s="4">
        <v>45192</v>
      </c>
      <c r="K187" s="5" t="s">
        <v>14</v>
      </c>
      <c r="L187">
        <f>YEAR(Table1[[#This Row],[Last_Restock_Date]])</f>
        <v>2023</v>
      </c>
      <c r="M187" t="str">
        <f>_xlfn.CONCAT(TEXT(Table1[[#This Row],[Last_Restock_Date]],"mmm"), "-", YEAR(Table1[[#This Row],[Last_Restock_Date]]))</f>
        <v>Sep-2023</v>
      </c>
      <c r="N187">
        <f>MONTH(Table1[[#This Row],[Last_Restock_Date]])</f>
        <v>9</v>
      </c>
      <c r="O187" t="str" cm="1">
        <f t="array" ref="O187">_xlfn.SWITCH(Table1[[#This Row],[Month_Number]],
    1,"Q1",2,"Q1",3,"Q1",
    4,"Q2",5,"Q2",6,"Q2",
    7,"Q3",8,"Q3",9,"Q3",
    10,"Q4",11,"Q4",12,"Q4",
    "Invalid Month"
)</f>
        <v>Q3</v>
      </c>
      <c r="P187" t="str">
        <f>TEXT(Table1[[#This Row],[Last_Restock_Date]],"mmm")</f>
        <v>Sep</v>
      </c>
    </row>
    <row r="188" spans="1:16" x14ac:dyDescent="0.25">
      <c r="A188">
        <v>187</v>
      </c>
      <c r="B188" s="5" t="s">
        <v>36</v>
      </c>
      <c r="C188" s="5" t="s">
        <v>11</v>
      </c>
      <c r="D188" s="5" t="s">
        <v>30</v>
      </c>
      <c r="E188" s="5" t="s">
        <v>37</v>
      </c>
      <c r="F188" s="2">
        <v>120</v>
      </c>
      <c r="G188" s="3">
        <v>160.77000000000001</v>
      </c>
      <c r="H188">
        <v>89</v>
      </c>
      <c r="I188">
        <f>IF(Table1[[#This Row],[Status]]= "Sufficient",
     Table1[[#This Row],[Stock_Quantity]] - Table1[[#This Row],[Reorder_Level]],
     0)</f>
        <v>31</v>
      </c>
      <c r="J188" s="4">
        <v>45092</v>
      </c>
      <c r="K188" s="5" t="s">
        <v>14</v>
      </c>
      <c r="L188">
        <f>YEAR(Table1[[#This Row],[Last_Restock_Date]])</f>
        <v>2023</v>
      </c>
      <c r="M188" t="str">
        <f>_xlfn.CONCAT(TEXT(Table1[[#This Row],[Last_Restock_Date]],"mmm"), "-", YEAR(Table1[[#This Row],[Last_Restock_Date]]))</f>
        <v>Jun-2023</v>
      </c>
      <c r="N188">
        <f>MONTH(Table1[[#This Row],[Last_Restock_Date]])</f>
        <v>6</v>
      </c>
      <c r="O188" t="str" cm="1">
        <f t="array" ref="O188">_xlfn.SWITCH(Table1[[#This Row],[Month_Number]],
    1,"Q1",2,"Q1",3,"Q1",
    4,"Q2",5,"Q2",6,"Q2",
    7,"Q3",8,"Q3",9,"Q3",
    10,"Q4",11,"Q4",12,"Q4",
    "Invalid Month"
)</f>
        <v>Q2</v>
      </c>
      <c r="P188" t="str">
        <f>TEXT(Table1[[#This Row],[Last_Restock_Date]],"mmm")</f>
        <v>Jun</v>
      </c>
    </row>
    <row r="189" spans="1:16" x14ac:dyDescent="0.25">
      <c r="A189">
        <v>188</v>
      </c>
      <c r="B189" s="5" t="s">
        <v>49</v>
      </c>
      <c r="C189" s="5" t="s">
        <v>16</v>
      </c>
      <c r="D189" s="5" t="s">
        <v>12</v>
      </c>
      <c r="E189" s="5" t="s">
        <v>37</v>
      </c>
      <c r="F189" s="2">
        <v>133</v>
      </c>
      <c r="G189" s="3">
        <v>122.54</v>
      </c>
      <c r="H189">
        <v>72</v>
      </c>
      <c r="I189">
        <f>IF(Table1[[#This Row],[Status]]= "Sufficient",
     Table1[[#This Row],[Stock_Quantity]] - Table1[[#This Row],[Reorder_Level]],
     0)</f>
        <v>61</v>
      </c>
      <c r="J189" s="4">
        <v>45332</v>
      </c>
      <c r="K189" s="5" t="s">
        <v>14</v>
      </c>
      <c r="L189">
        <f>YEAR(Table1[[#This Row],[Last_Restock_Date]])</f>
        <v>2024</v>
      </c>
      <c r="M189" t="str">
        <f>_xlfn.CONCAT(TEXT(Table1[[#This Row],[Last_Restock_Date]],"mmm"), "-", YEAR(Table1[[#This Row],[Last_Restock_Date]]))</f>
        <v>Feb-2024</v>
      </c>
      <c r="N189">
        <f>MONTH(Table1[[#This Row],[Last_Restock_Date]])</f>
        <v>2</v>
      </c>
      <c r="O189" t="str" cm="1">
        <f t="array" ref="O189">_xlfn.SWITCH(Table1[[#This Row],[Month_Number]],
    1,"Q1",2,"Q1",3,"Q1",
    4,"Q2",5,"Q2",6,"Q2",
    7,"Q3",8,"Q3",9,"Q3",
    10,"Q4",11,"Q4",12,"Q4",
    "Invalid Month"
)</f>
        <v>Q1</v>
      </c>
      <c r="P189" t="str">
        <f>TEXT(Table1[[#This Row],[Last_Restock_Date]],"mmm")</f>
        <v>Feb</v>
      </c>
    </row>
    <row r="190" spans="1:16" x14ac:dyDescent="0.25">
      <c r="A190">
        <v>189</v>
      </c>
      <c r="B190" s="5" t="s">
        <v>10</v>
      </c>
      <c r="C190" s="5" t="s">
        <v>11</v>
      </c>
      <c r="D190" s="5" t="s">
        <v>17</v>
      </c>
      <c r="E190" s="5" t="s">
        <v>39</v>
      </c>
      <c r="F190" s="2">
        <v>289</v>
      </c>
      <c r="G190" s="3">
        <v>322.10000000000002</v>
      </c>
      <c r="H190">
        <v>117</v>
      </c>
      <c r="I190">
        <f>IF(Table1[[#This Row],[Status]]= "Sufficient",
     Table1[[#This Row],[Stock_Quantity]] - Table1[[#This Row],[Reorder_Level]],
     0)</f>
        <v>172</v>
      </c>
      <c r="J190" s="4">
        <v>45091</v>
      </c>
      <c r="K190" s="5" t="s">
        <v>14</v>
      </c>
      <c r="L190">
        <f>YEAR(Table1[[#This Row],[Last_Restock_Date]])</f>
        <v>2023</v>
      </c>
      <c r="M190" t="str">
        <f>_xlfn.CONCAT(TEXT(Table1[[#This Row],[Last_Restock_Date]],"mmm"), "-", YEAR(Table1[[#This Row],[Last_Restock_Date]]))</f>
        <v>Jun-2023</v>
      </c>
      <c r="N190">
        <f>MONTH(Table1[[#This Row],[Last_Restock_Date]])</f>
        <v>6</v>
      </c>
      <c r="O190" t="str" cm="1">
        <f t="array" ref="O190">_xlfn.SWITCH(Table1[[#This Row],[Month_Number]],
    1,"Q1",2,"Q1",3,"Q1",
    4,"Q2",5,"Q2",6,"Q2",
    7,"Q3",8,"Q3",9,"Q3",
    10,"Q4",11,"Q4",12,"Q4",
    "Invalid Month"
)</f>
        <v>Q2</v>
      </c>
      <c r="P190" t="str">
        <f>TEXT(Table1[[#This Row],[Last_Restock_Date]],"mmm")</f>
        <v>Jun</v>
      </c>
    </row>
    <row r="191" spans="1:16" x14ac:dyDescent="0.25">
      <c r="A191">
        <v>190</v>
      </c>
      <c r="B191" s="5" t="s">
        <v>22</v>
      </c>
      <c r="C191" s="5" t="s">
        <v>11</v>
      </c>
      <c r="D191" s="5" t="s">
        <v>24</v>
      </c>
      <c r="E191" s="5" t="s">
        <v>32</v>
      </c>
      <c r="F191" s="2">
        <v>343</v>
      </c>
      <c r="G191" s="3">
        <v>757.41</v>
      </c>
      <c r="H191">
        <v>73</v>
      </c>
      <c r="I191">
        <f>IF(Table1[[#This Row],[Status]]= "Sufficient",
     Table1[[#This Row],[Stock_Quantity]] - Table1[[#This Row],[Reorder_Level]],
     0)</f>
        <v>270</v>
      </c>
      <c r="J191" s="4">
        <v>45959</v>
      </c>
      <c r="K191" s="5" t="s">
        <v>14</v>
      </c>
      <c r="L191">
        <f>YEAR(Table1[[#This Row],[Last_Restock_Date]])</f>
        <v>2025</v>
      </c>
      <c r="M191" t="str">
        <f>_xlfn.CONCAT(TEXT(Table1[[#This Row],[Last_Restock_Date]],"mmm"), "-", YEAR(Table1[[#This Row],[Last_Restock_Date]]))</f>
        <v>Oct-2025</v>
      </c>
      <c r="N191">
        <f>MONTH(Table1[[#This Row],[Last_Restock_Date]])</f>
        <v>10</v>
      </c>
      <c r="O191" t="str" cm="1">
        <f t="array" ref="O191">_xlfn.SWITCH(Table1[[#This Row],[Month_Number]],
    1,"Q1",2,"Q1",3,"Q1",
    4,"Q2",5,"Q2",6,"Q2",
    7,"Q3",8,"Q3",9,"Q3",
    10,"Q4",11,"Q4",12,"Q4",
    "Invalid Month"
)</f>
        <v>Q4</v>
      </c>
      <c r="P191" t="str">
        <f>TEXT(Table1[[#This Row],[Last_Restock_Date]],"mmm")</f>
        <v>Oct</v>
      </c>
    </row>
    <row r="192" spans="1:16" x14ac:dyDescent="0.25">
      <c r="A192">
        <v>191</v>
      </c>
      <c r="B192" s="5" t="s">
        <v>54</v>
      </c>
      <c r="C192" s="5" t="s">
        <v>20</v>
      </c>
      <c r="D192" s="5" t="s">
        <v>17</v>
      </c>
      <c r="E192" s="5" t="s">
        <v>27</v>
      </c>
      <c r="F192" s="2">
        <v>300</v>
      </c>
      <c r="G192" s="3">
        <v>40.93</v>
      </c>
      <c r="H192">
        <v>69</v>
      </c>
      <c r="I192">
        <f>IF(Table1[[#This Row],[Status]]= "Sufficient",
     Table1[[#This Row],[Stock_Quantity]] - Table1[[#This Row],[Reorder_Level]],
     0)</f>
        <v>231</v>
      </c>
      <c r="J192" s="4">
        <v>45984</v>
      </c>
      <c r="K192" s="5" t="s">
        <v>14</v>
      </c>
      <c r="L192">
        <f>YEAR(Table1[[#This Row],[Last_Restock_Date]])</f>
        <v>2025</v>
      </c>
      <c r="M192" t="str">
        <f>_xlfn.CONCAT(TEXT(Table1[[#This Row],[Last_Restock_Date]],"mmm"), "-", YEAR(Table1[[#This Row],[Last_Restock_Date]]))</f>
        <v>Nov-2025</v>
      </c>
      <c r="N192">
        <f>MONTH(Table1[[#This Row],[Last_Restock_Date]])</f>
        <v>11</v>
      </c>
      <c r="O192" t="str" cm="1">
        <f t="array" ref="O192">_xlfn.SWITCH(Table1[[#This Row],[Month_Number]],
    1,"Q1",2,"Q1",3,"Q1",
    4,"Q2",5,"Q2",6,"Q2",
    7,"Q3",8,"Q3",9,"Q3",
    10,"Q4",11,"Q4",12,"Q4",
    "Invalid Month"
)</f>
        <v>Q4</v>
      </c>
      <c r="P192" t="str">
        <f>TEXT(Table1[[#This Row],[Last_Restock_Date]],"mmm")</f>
        <v>Nov</v>
      </c>
    </row>
    <row r="193" spans="1:16" x14ac:dyDescent="0.25">
      <c r="A193">
        <v>192</v>
      </c>
      <c r="B193" s="5" t="s">
        <v>22</v>
      </c>
      <c r="C193" s="5" t="s">
        <v>11</v>
      </c>
      <c r="D193" s="5" t="s">
        <v>24</v>
      </c>
      <c r="E193" s="5" t="s">
        <v>37</v>
      </c>
      <c r="F193" s="2">
        <v>388</v>
      </c>
      <c r="G193" s="3">
        <v>559.41999999999996</v>
      </c>
      <c r="H193">
        <v>108</v>
      </c>
      <c r="I193">
        <f>IF(Table1[[#This Row],[Status]]= "Sufficient",
     Table1[[#This Row],[Stock_Quantity]] - Table1[[#This Row],[Reorder_Level]],
     0)</f>
        <v>280</v>
      </c>
      <c r="J193" s="4">
        <v>45970</v>
      </c>
      <c r="K193" s="5" t="s">
        <v>14</v>
      </c>
      <c r="L193">
        <f>YEAR(Table1[[#This Row],[Last_Restock_Date]])</f>
        <v>2025</v>
      </c>
      <c r="M193" t="str">
        <f>_xlfn.CONCAT(TEXT(Table1[[#This Row],[Last_Restock_Date]],"mmm"), "-", YEAR(Table1[[#This Row],[Last_Restock_Date]]))</f>
        <v>Nov-2025</v>
      </c>
      <c r="N193">
        <f>MONTH(Table1[[#This Row],[Last_Restock_Date]])</f>
        <v>11</v>
      </c>
      <c r="O193" t="str" cm="1">
        <f t="array" ref="O193">_xlfn.SWITCH(Table1[[#This Row],[Month_Number]],
    1,"Q1",2,"Q1",3,"Q1",
    4,"Q2",5,"Q2",6,"Q2",
    7,"Q3",8,"Q3",9,"Q3",
    10,"Q4",11,"Q4",12,"Q4",
    "Invalid Month"
)</f>
        <v>Q4</v>
      </c>
      <c r="P193" t="str">
        <f>TEXT(Table1[[#This Row],[Last_Restock_Date]],"mmm")</f>
        <v>Nov</v>
      </c>
    </row>
    <row r="194" spans="1:16" x14ac:dyDescent="0.25">
      <c r="A194">
        <v>193</v>
      </c>
      <c r="B194" s="5" t="s">
        <v>29</v>
      </c>
      <c r="C194" s="5" t="s">
        <v>16</v>
      </c>
      <c r="D194" s="5" t="s">
        <v>24</v>
      </c>
      <c r="E194" s="5" t="s">
        <v>39</v>
      </c>
      <c r="F194" s="2">
        <v>439</v>
      </c>
      <c r="G194" s="3">
        <v>484.86</v>
      </c>
      <c r="H194">
        <v>145</v>
      </c>
      <c r="I194">
        <f>IF(Table1[[#This Row],[Status]]= "Sufficient",
     Table1[[#This Row],[Stock_Quantity]] - Table1[[#This Row],[Reorder_Level]],
     0)</f>
        <v>294</v>
      </c>
      <c r="J194" s="4">
        <v>45629</v>
      </c>
      <c r="K194" s="5" t="s">
        <v>14</v>
      </c>
      <c r="L194">
        <f>YEAR(Table1[[#This Row],[Last_Restock_Date]])</f>
        <v>2024</v>
      </c>
      <c r="M194" t="str">
        <f>_xlfn.CONCAT(TEXT(Table1[[#This Row],[Last_Restock_Date]],"mmm"), "-", YEAR(Table1[[#This Row],[Last_Restock_Date]]))</f>
        <v>Dec-2024</v>
      </c>
      <c r="N194">
        <f>MONTH(Table1[[#This Row],[Last_Restock_Date]])</f>
        <v>12</v>
      </c>
      <c r="O194" t="str" cm="1">
        <f t="array" ref="O194">_xlfn.SWITCH(Table1[[#This Row],[Month_Number]],
    1,"Q1",2,"Q1",3,"Q1",
    4,"Q2",5,"Q2",6,"Q2",
    7,"Q3",8,"Q3",9,"Q3",
    10,"Q4",11,"Q4",12,"Q4",
    "Invalid Month"
)</f>
        <v>Q4</v>
      </c>
      <c r="P194" t="str">
        <f>TEXT(Table1[[#This Row],[Last_Restock_Date]],"mmm")</f>
        <v>Dec</v>
      </c>
    </row>
    <row r="195" spans="1:16" x14ac:dyDescent="0.25">
      <c r="A195">
        <v>194</v>
      </c>
      <c r="B195" s="5" t="s">
        <v>52</v>
      </c>
      <c r="C195" s="5" t="s">
        <v>16</v>
      </c>
      <c r="D195" s="5" t="s">
        <v>17</v>
      </c>
      <c r="E195" s="5" t="s">
        <v>18</v>
      </c>
      <c r="F195" s="2">
        <v>435</v>
      </c>
      <c r="G195" s="3">
        <v>636.98</v>
      </c>
      <c r="H195">
        <v>89</v>
      </c>
      <c r="I195">
        <f>IF(Table1[[#This Row],[Status]]= "Sufficient",
     Table1[[#This Row],[Stock_Quantity]] - Table1[[#This Row],[Reorder_Level]],
     0)</f>
        <v>346</v>
      </c>
      <c r="J195" s="4">
        <v>46014</v>
      </c>
      <c r="K195" s="5" t="s">
        <v>14</v>
      </c>
      <c r="L195">
        <f>YEAR(Table1[[#This Row],[Last_Restock_Date]])</f>
        <v>2025</v>
      </c>
      <c r="M195" t="str">
        <f>_xlfn.CONCAT(TEXT(Table1[[#This Row],[Last_Restock_Date]],"mmm"), "-", YEAR(Table1[[#This Row],[Last_Restock_Date]]))</f>
        <v>Dec-2025</v>
      </c>
      <c r="N195">
        <f>MONTH(Table1[[#This Row],[Last_Restock_Date]])</f>
        <v>12</v>
      </c>
      <c r="O195" t="str" cm="1">
        <f t="array" ref="O195">_xlfn.SWITCH(Table1[[#This Row],[Month_Number]],
    1,"Q1",2,"Q1",3,"Q1",
    4,"Q2",5,"Q2",6,"Q2",
    7,"Q3",8,"Q3",9,"Q3",
    10,"Q4",11,"Q4",12,"Q4",
    "Invalid Month"
)</f>
        <v>Q4</v>
      </c>
      <c r="P195" t="str">
        <f>TEXT(Table1[[#This Row],[Last_Restock_Date]],"mmm")</f>
        <v>Dec</v>
      </c>
    </row>
    <row r="196" spans="1:16" x14ac:dyDescent="0.25">
      <c r="A196">
        <v>195</v>
      </c>
      <c r="B196" s="5" t="s">
        <v>45</v>
      </c>
      <c r="C196" s="5" t="s">
        <v>26</v>
      </c>
      <c r="D196" s="5" t="s">
        <v>12</v>
      </c>
      <c r="E196" s="5" t="s">
        <v>39</v>
      </c>
      <c r="F196" s="2">
        <v>23</v>
      </c>
      <c r="G196" s="3">
        <v>438.04</v>
      </c>
      <c r="H196">
        <v>120</v>
      </c>
      <c r="I196">
        <f>IF(Table1[[#This Row],[Status]]= "Sufficient",
     Table1[[#This Row],[Stock_Quantity]] - Table1[[#This Row],[Reorder_Level]],
     0)</f>
        <v>0</v>
      </c>
      <c r="J196" s="4">
        <v>45333</v>
      </c>
      <c r="K196" s="5" t="s">
        <v>28</v>
      </c>
      <c r="L196">
        <f>YEAR(Table1[[#This Row],[Last_Restock_Date]])</f>
        <v>2024</v>
      </c>
      <c r="M196" t="str">
        <f>_xlfn.CONCAT(TEXT(Table1[[#This Row],[Last_Restock_Date]],"mmm"), "-", YEAR(Table1[[#This Row],[Last_Restock_Date]]))</f>
        <v>Feb-2024</v>
      </c>
      <c r="N196">
        <f>MONTH(Table1[[#This Row],[Last_Restock_Date]])</f>
        <v>2</v>
      </c>
      <c r="O196" t="str" cm="1">
        <f t="array" ref="O196">_xlfn.SWITCH(Table1[[#This Row],[Month_Number]],
    1,"Q1",2,"Q1",3,"Q1",
    4,"Q2",5,"Q2",6,"Q2",
    7,"Q3",8,"Q3",9,"Q3",
    10,"Q4",11,"Q4",12,"Q4",
    "Invalid Month"
)</f>
        <v>Q1</v>
      </c>
      <c r="P196" t="str">
        <f>TEXT(Table1[[#This Row],[Last_Restock_Date]],"mmm")</f>
        <v>Feb</v>
      </c>
    </row>
    <row r="197" spans="1:16" x14ac:dyDescent="0.25">
      <c r="A197">
        <v>196</v>
      </c>
      <c r="B197" s="5" t="s">
        <v>43</v>
      </c>
      <c r="C197" s="5" t="s">
        <v>26</v>
      </c>
      <c r="D197" s="5" t="s">
        <v>24</v>
      </c>
      <c r="E197" s="5" t="s">
        <v>39</v>
      </c>
      <c r="F197" s="2">
        <v>472</v>
      </c>
      <c r="G197" s="3">
        <v>233.18</v>
      </c>
      <c r="H197">
        <v>63</v>
      </c>
      <c r="I197">
        <f>IF(Table1[[#This Row],[Status]]= "Sufficient",
     Table1[[#This Row],[Stock_Quantity]] - Table1[[#This Row],[Reorder_Level]],
     0)</f>
        <v>409</v>
      </c>
      <c r="J197" s="4">
        <v>45781</v>
      </c>
      <c r="K197" s="5" t="s">
        <v>14</v>
      </c>
      <c r="L197">
        <f>YEAR(Table1[[#This Row],[Last_Restock_Date]])</f>
        <v>2025</v>
      </c>
      <c r="M197" t="str">
        <f>_xlfn.CONCAT(TEXT(Table1[[#This Row],[Last_Restock_Date]],"mmm"), "-", YEAR(Table1[[#This Row],[Last_Restock_Date]]))</f>
        <v>May-2025</v>
      </c>
      <c r="N197">
        <f>MONTH(Table1[[#This Row],[Last_Restock_Date]])</f>
        <v>5</v>
      </c>
      <c r="O197" t="str" cm="1">
        <f t="array" ref="O197">_xlfn.SWITCH(Table1[[#This Row],[Month_Number]],
    1,"Q1",2,"Q1",3,"Q1",
    4,"Q2",5,"Q2",6,"Q2",
    7,"Q3",8,"Q3",9,"Q3",
    10,"Q4",11,"Q4",12,"Q4",
    "Invalid Month"
)</f>
        <v>Q2</v>
      </c>
      <c r="P197" t="str">
        <f>TEXT(Table1[[#This Row],[Last_Restock_Date]],"mmm")</f>
        <v>May</v>
      </c>
    </row>
    <row r="198" spans="1:16" x14ac:dyDescent="0.25">
      <c r="A198">
        <v>197</v>
      </c>
      <c r="B198" s="5" t="s">
        <v>44</v>
      </c>
      <c r="C198" s="5" t="s">
        <v>34</v>
      </c>
      <c r="D198" s="5" t="s">
        <v>30</v>
      </c>
      <c r="E198" s="5" t="s">
        <v>37</v>
      </c>
      <c r="F198" s="2">
        <v>99</v>
      </c>
      <c r="G198" s="3">
        <v>760.21</v>
      </c>
      <c r="H198">
        <v>119</v>
      </c>
      <c r="I198">
        <f>IF(Table1[[#This Row],[Status]]= "Sufficient",
     Table1[[#This Row],[Stock_Quantity]] - Table1[[#This Row],[Reorder_Level]],
     0)</f>
        <v>0</v>
      </c>
      <c r="J198" s="4">
        <v>45199</v>
      </c>
      <c r="K198" s="5" t="s">
        <v>28</v>
      </c>
      <c r="L198">
        <f>YEAR(Table1[[#This Row],[Last_Restock_Date]])</f>
        <v>2023</v>
      </c>
      <c r="M198" t="str">
        <f>_xlfn.CONCAT(TEXT(Table1[[#This Row],[Last_Restock_Date]],"mmm"), "-", YEAR(Table1[[#This Row],[Last_Restock_Date]]))</f>
        <v>Sep-2023</v>
      </c>
      <c r="N198">
        <f>MONTH(Table1[[#This Row],[Last_Restock_Date]])</f>
        <v>9</v>
      </c>
      <c r="O198" t="str" cm="1">
        <f t="array" ref="O198">_xlfn.SWITCH(Table1[[#This Row],[Month_Number]],
    1,"Q1",2,"Q1",3,"Q1",
    4,"Q2",5,"Q2",6,"Q2",
    7,"Q3",8,"Q3",9,"Q3",
    10,"Q4",11,"Q4",12,"Q4",
    "Invalid Month"
)</f>
        <v>Q3</v>
      </c>
      <c r="P198" t="str">
        <f>TEXT(Table1[[#This Row],[Last_Restock_Date]],"mmm")</f>
        <v>Sep</v>
      </c>
    </row>
    <row r="199" spans="1:16" x14ac:dyDescent="0.25">
      <c r="A199">
        <v>198</v>
      </c>
      <c r="B199" s="5" t="s">
        <v>54</v>
      </c>
      <c r="C199" s="5" t="s">
        <v>20</v>
      </c>
      <c r="D199" s="5" t="s">
        <v>24</v>
      </c>
      <c r="E199" s="5" t="s">
        <v>27</v>
      </c>
      <c r="F199" s="2">
        <v>150</v>
      </c>
      <c r="G199" s="3">
        <v>757.94</v>
      </c>
      <c r="H199">
        <v>103</v>
      </c>
      <c r="I199">
        <f>IF(Table1[[#This Row],[Status]]= "Sufficient",
     Table1[[#This Row],[Stock_Quantity]] - Table1[[#This Row],[Reorder_Level]],
     0)</f>
        <v>47</v>
      </c>
      <c r="J199" s="4">
        <v>45252</v>
      </c>
      <c r="K199" s="5" t="s">
        <v>14</v>
      </c>
      <c r="L199">
        <f>YEAR(Table1[[#This Row],[Last_Restock_Date]])</f>
        <v>2023</v>
      </c>
      <c r="M199" t="str">
        <f>_xlfn.CONCAT(TEXT(Table1[[#This Row],[Last_Restock_Date]],"mmm"), "-", YEAR(Table1[[#This Row],[Last_Restock_Date]]))</f>
        <v>Nov-2023</v>
      </c>
      <c r="N199">
        <f>MONTH(Table1[[#This Row],[Last_Restock_Date]])</f>
        <v>11</v>
      </c>
      <c r="O199" t="str" cm="1">
        <f t="array" ref="O199">_xlfn.SWITCH(Table1[[#This Row],[Month_Number]],
    1,"Q1",2,"Q1",3,"Q1",
    4,"Q2",5,"Q2",6,"Q2",
    7,"Q3",8,"Q3",9,"Q3",
    10,"Q4",11,"Q4",12,"Q4",
    "Invalid Month"
)</f>
        <v>Q4</v>
      </c>
      <c r="P199" t="str">
        <f>TEXT(Table1[[#This Row],[Last_Restock_Date]],"mmm")</f>
        <v>Nov</v>
      </c>
    </row>
    <row r="200" spans="1:16" x14ac:dyDescent="0.25">
      <c r="A200">
        <v>199</v>
      </c>
      <c r="B200" s="5" t="s">
        <v>10</v>
      </c>
      <c r="C200" s="5" t="s">
        <v>11</v>
      </c>
      <c r="D200" s="5" t="s">
        <v>17</v>
      </c>
      <c r="E200" s="5" t="s">
        <v>37</v>
      </c>
      <c r="F200" s="2">
        <v>295</v>
      </c>
      <c r="G200" s="3">
        <v>250.55</v>
      </c>
      <c r="H200">
        <v>124</v>
      </c>
      <c r="I200">
        <f>IF(Table1[[#This Row],[Status]]= "Sufficient",
     Table1[[#This Row],[Stock_Quantity]] - Table1[[#This Row],[Reorder_Level]],
     0)</f>
        <v>171</v>
      </c>
      <c r="J200" s="4">
        <v>45561</v>
      </c>
      <c r="K200" s="5" t="s">
        <v>14</v>
      </c>
      <c r="L200">
        <f>YEAR(Table1[[#This Row],[Last_Restock_Date]])</f>
        <v>2024</v>
      </c>
      <c r="M200" t="str">
        <f>_xlfn.CONCAT(TEXT(Table1[[#This Row],[Last_Restock_Date]],"mmm"), "-", YEAR(Table1[[#This Row],[Last_Restock_Date]]))</f>
        <v>Sep-2024</v>
      </c>
      <c r="N200">
        <f>MONTH(Table1[[#This Row],[Last_Restock_Date]])</f>
        <v>9</v>
      </c>
      <c r="O200" t="str" cm="1">
        <f t="array" ref="O200">_xlfn.SWITCH(Table1[[#This Row],[Month_Number]],
    1,"Q1",2,"Q1",3,"Q1",
    4,"Q2",5,"Q2",6,"Q2",
    7,"Q3",8,"Q3",9,"Q3",
    10,"Q4",11,"Q4",12,"Q4",
    "Invalid Month"
)</f>
        <v>Q3</v>
      </c>
      <c r="P200" t="str">
        <f>TEXT(Table1[[#This Row],[Last_Restock_Date]],"mmm")</f>
        <v>Sep</v>
      </c>
    </row>
    <row r="201" spans="1:16" x14ac:dyDescent="0.25">
      <c r="A201">
        <v>200</v>
      </c>
      <c r="B201" s="5" t="s">
        <v>40</v>
      </c>
      <c r="C201" s="5" t="s">
        <v>34</v>
      </c>
      <c r="D201" s="5" t="s">
        <v>30</v>
      </c>
      <c r="E201" s="5" t="s">
        <v>39</v>
      </c>
      <c r="F201" s="2">
        <v>265</v>
      </c>
      <c r="G201" s="3">
        <v>72.13</v>
      </c>
      <c r="H201">
        <v>109</v>
      </c>
      <c r="I201">
        <f>IF(Table1[[#This Row],[Status]]= "Sufficient",
     Table1[[#This Row],[Stock_Quantity]] - Table1[[#This Row],[Reorder_Level]],
     0)</f>
        <v>156</v>
      </c>
      <c r="J201" s="4">
        <v>45996</v>
      </c>
      <c r="K201" s="5" t="s">
        <v>14</v>
      </c>
      <c r="L201">
        <f>YEAR(Table1[[#This Row],[Last_Restock_Date]])</f>
        <v>2025</v>
      </c>
      <c r="M201" t="str">
        <f>_xlfn.CONCAT(TEXT(Table1[[#This Row],[Last_Restock_Date]],"mmm"), "-", YEAR(Table1[[#This Row],[Last_Restock_Date]]))</f>
        <v>Dec-2025</v>
      </c>
      <c r="N201">
        <f>MONTH(Table1[[#This Row],[Last_Restock_Date]])</f>
        <v>12</v>
      </c>
      <c r="O201" t="str" cm="1">
        <f t="array" ref="O201">_xlfn.SWITCH(Table1[[#This Row],[Month_Number]],
    1,"Q1",2,"Q1",3,"Q1",
    4,"Q2",5,"Q2",6,"Q2",
    7,"Q3",8,"Q3",9,"Q3",
    10,"Q4",11,"Q4",12,"Q4",
    "Invalid Month"
)</f>
        <v>Q4</v>
      </c>
      <c r="P201" t="str">
        <f>TEXT(Table1[[#This Row],[Last_Restock_Date]],"mmm")</f>
        <v>Dec</v>
      </c>
    </row>
    <row r="202" spans="1:16" x14ac:dyDescent="0.25">
      <c r="A202">
        <v>201</v>
      </c>
      <c r="B202" s="5" t="s">
        <v>36</v>
      </c>
      <c r="C202" s="5" t="s">
        <v>11</v>
      </c>
      <c r="D202" s="5" t="s">
        <v>12</v>
      </c>
      <c r="E202" s="5" t="s">
        <v>27</v>
      </c>
      <c r="F202" s="2">
        <v>45</v>
      </c>
      <c r="G202" s="3">
        <v>78.94</v>
      </c>
      <c r="H202">
        <v>134</v>
      </c>
      <c r="I202">
        <f>IF(Table1[[#This Row],[Status]]= "Sufficient",
     Table1[[#This Row],[Stock_Quantity]] - Table1[[#This Row],[Reorder_Level]],
     0)</f>
        <v>0</v>
      </c>
      <c r="J202" s="4">
        <v>45191</v>
      </c>
      <c r="K202" s="5" t="s">
        <v>28</v>
      </c>
      <c r="L202">
        <f>YEAR(Table1[[#This Row],[Last_Restock_Date]])</f>
        <v>2023</v>
      </c>
      <c r="M202" t="str">
        <f>_xlfn.CONCAT(TEXT(Table1[[#This Row],[Last_Restock_Date]],"mmm"), "-", YEAR(Table1[[#This Row],[Last_Restock_Date]]))</f>
        <v>Sep-2023</v>
      </c>
      <c r="N202">
        <f>MONTH(Table1[[#This Row],[Last_Restock_Date]])</f>
        <v>9</v>
      </c>
      <c r="O202" t="str" cm="1">
        <f t="array" ref="O202">_xlfn.SWITCH(Table1[[#This Row],[Month_Number]],
    1,"Q1",2,"Q1",3,"Q1",
    4,"Q2",5,"Q2",6,"Q2",
    7,"Q3",8,"Q3",9,"Q3",
    10,"Q4",11,"Q4",12,"Q4",
    "Invalid Month"
)</f>
        <v>Q3</v>
      </c>
      <c r="P202" t="str">
        <f>TEXT(Table1[[#This Row],[Last_Restock_Date]],"mmm")</f>
        <v>Sep</v>
      </c>
    </row>
    <row r="203" spans="1:16" x14ac:dyDescent="0.25">
      <c r="A203">
        <v>202</v>
      </c>
      <c r="B203" s="5" t="s">
        <v>35</v>
      </c>
      <c r="C203" s="5" t="s">
        <v>11</v>
      </c>
      <c r="D203" s="5" t="s">
        <v>21</v>
      </c>
      <c r="E203" s="5" t="s">
        <v>37</v>
      </c>
      <c r="F203" s="2">
        <v>407</v>
      </c>
      <c r="G203" s="3">
        <v>663.06</v>
      </c>
      <c r="H203">
        <v>51</v>
      </c>
      <c r="I203">
        <f>IF(Table1[[#This Row],[Status]]= "Sufficient",
     Table1[[#This Row],[Stock_Quantity]] - Table1[[#This Row],[Reorder_Level]],
     0)</f>
        <v>356</v>
      </c>
      <c r="J203" s="4">
        <v>45290</v>
      </c>
      <c r="K203" s="5" t="s">
        <v>14</v>
      </c>
      <c r="L203">
        <f>YEAR(Table1[[#This Row],[Last_Restock_Date]])</f>
        <v>2023</v>
      </c>
      <c r="M203" t="str">
        <f>_xlfn.CONCAT(TEXT(Table1[[#This Row],[Last_Restock_Date]],"mmm"), "-", YEAR(Table1[[#This Row],[Last_Restock_Date]]))</f>
        <v>Dec-2023</v>
      </c>
      <c r="N203">
        <f>MONTH(Table1[[#This Row],[Last_Restock_Date]])</f>
        <v>12</v>
      </c>
      <c r="O203" t="str" cm="1">
        <f t="array" ref="O203">_xlfn.SWITCH(Table1[[#This Row],[Month_Number]],
    1,"Q1",2,"Q1",3,"Q1",
    4,"Q2",5,"Q2",6,"Q2",
    7,"Q3",8,"Q3",9,"Q3",
    10,"Q4",11,"Q4",12,"Q4",
    "Invalid Month"
)</f>
        <v>Q4</v>
      </c>
      <c r="P203" t="str">
        <f>TEXT(Table1[[#This Row],[Last_Restock_Date]],"mmm")</f>
        <v>Dec</v>
      </c>
    </row>
    <row r="204" spans="1:16" x14ac:dyDescent="0.25">
      <c r="A204">
        <v>203</v>
      </c>
      <c r="B204" s="5" t="s">
        <v>51</v>
      </c>
      <c r="C204" s="5" t="s">
        <v>11</v>
      </c>
      <c r="D204" s="5" t="s">
        <v>21</v>
      </c>
      <c r="E204" s="5" t="s">
        <v>18</v>
      </c>
      <c r="F204" s="2">
        <v>310</v>
      </c>
      <c r="G204" s="3">
        <v>535.66</v>
      </c>
      <c r="H204">
        <v>149</v>
      </c>
      <c r="I204">
        <f>IF(Table1[[#This Row],[Status]]= "Sufficient",
     Table1[[#This Row],[Stock_Quantity]] - Table1[[#This Row],[Reorder_Level]],
     0)</f>
        <v>161</v>
      </c>
      <c r="J204" s="4">
        <v>45876</v>
      </c>
      <c r="K204" s="5" t="s">
        <v>14</v>
      </c>
      <c r="L204">
        <f>YEAR(Table1[[#This Row],[Last_Restock_Date]])</f>
        <v>2025</v>
      </c>
      <c r="M204" t="str">
        <f>_xlfn.CONCAT(TEXT(Table1[[#This Row],[Last_Restock_Date]],"mmm"), "-", YEAR(Table1[[#This Row],[Last_Restock_Date]]))</f>
        <v>Aug-2025</v>
      </c>
      <c r="N204">
        <f>MONTH(Table1[[#This Row],[Last_Restock_Date]])</f>
        <v>8</v>
      </c>
      <c r="O204" t="str" cm="1">
        <f t="array" ref="O204">_xlfn.SWITCH(Table1[[#This Row],[Month_Number]],
    1,"Q1",2,"Q1",3,"Q1",
    4,"Q2",5,"Q2",6,"Q2",
    7,"Q3",8,"Q3",9,"Q3",
    10,"Q4",11,"Q4",12,"Q4",
    "Invalid Month"
)</f>
        <v>Q3</v>
      </c>
      <c r="P204" t="str">
        <f>TEXT(Table1[[#This Row],[Last_Restock_Date]],"mmm")</f>
        <v>Aug</v>
      </c>
    </row>
    <row r="205" spans="1:16" x14ac:dyDescent="0.25">
      <c r="A205">
        <v>204</v>
      </c>
      <c r="B205" s="5" t="s">
        <v>54</v>
      </c>
      <c r="C205" s="5" t="s">
        <v>20</v>
      </c>
      <c r="D205" s="5" t="s">
        <v>24</v>
      </c>
      <c r="E205" s="5" t="s">
        <v>27</v>
      </c>
      <c r="F205" s="2">
        <v>268</v>
      </c>
      <c r="G205" s="3">
        <v>341.42</v>
      </c>
      <c r="H205">
        <v>133</v>
      </c>
      <c r="I205">
        <f>IF(Table1[[#This Row],[Status]]= "Sufficient",
     Table1[[#This Row],[Stock_Quantity]] - Table1[[#This Row],[Reorder_Level]],
     0)</f>
        <v>135</v>
      </c>
      <c r="J205" s="4">
        <v>45629</v>
      </c>
      <c r="K205" s="5" t="s">
        <v>14</v>
      </c>
      <c r="L205">
        <f>YEAR(Table1[[#This Row],[Last_Restock_Date]])</f>
        <v>2024</v>
      </c>
      <c r="M205" t="str">
        <f>_xlfn.CONCAT(TEXT(Table1[[#This Row],[Last_Restock_Date]],"mmm"), "-", YEAR(Table1[[#This Row],[Last_Restock_Date]]))</f>
        <v>Dec-2024</v>
      </c>
      <c r="N205">
        <f>MONTH(Table1[[#This Row],[Last_Restock_Date]])</f>
        <v>12</v>
      </c>
      <c r="O205" t="str" cm="1">
        <f t="array" ref="O205">_xlfn.SWITCH(Table1[[#This Row],[Month_Number]],
    1,"Q1",2,"Q1",3,"Q1",
    4,"Q2",5,"Q2",6,"Q2",
    7,"Q3",8,"Q3",9,"Q3",
    10,"Q4",11,"Q4",12,"Q4",
    "Invalid Month"
)</f>
        <v>Q4</v>
      </c>
      <c r="P205" t="str">
        <f>TEXT(Table1[[#This Row],[Last_Restock_Date]],"mmm")</f>
        <v>Dec</v>
      </c>
    </row>
    <row r="206" spans="1:16" x14ac:dyDescent="0.25">
      <c r="A206">
        <v>205</v>
      </c>
      <c r="B206" s="5" t="s">
        <v>49</v>
      </c>
      <c r="C206" s="5" t="s">
        <v>16</v>
      </c>
      <c r="D206" s="5" t="s">
        <v>21</v>
      </c>
      <c r="E206" s="5" t="s">
        <v>18</v>
      </c>
      <c r="F206" s="2">
        <v>288</v>
      </c>
      <c r="G206" s="3">
        <v>459.88</v>
      </c>
      <c r="H206">
        <v>76</v>
      </c>
      <c r="I206">
        <f>IF(Table1[[#This Row],[Status]]= "Sufficient",
     Table1[[#This Row],[Stock_Quantity]] - Table1[[#This Row],[Reorder_Level]],
     0)</f>
        <v>212</v>
      </c>
      <c r="J206" s="4">
        <v>45957</v>
      </c>
      <c r="K206" s="5" t="s">
        <v>14</v>
      </c>
      <c r="L206">
        <f>YEAR(Table1[[#This Row],[Last_Restock_Date]])</f>
        <v>2025</v>
      </c>
      <c r="M206" t="str">
        <f>_xlfn.CONCAT(TEXT(Table1[[#This Row],[Last_Restock_Date]],"mmm"), "-", YEAR(Table1[[#This Row],[Last_Restock_Date]]))</f>
        <v>Oct-2025</v>
      </c>
      <c r="N206">
        <f>MONTH(Table1[[#This Row],[Last_Restock_Date]])</f>
        <v>10</v>
      </c>
      <c r="O206" t="str" cm="1">
        <f t="array" ref="O206">_xlfn.SWITCH(Table1[[#This Row],[Month_Number]],
    1,"Q1",2,"Q1",3,"Q1",
    4,"Q2",5,"Q2",6,"Q2",
    7,"Q3",8,"Q3",9,"Q3",
    10,"Q4",11,"Q4",12,"Q4",
    "Invalid Month"
)</f>
        <v>Q4</v>
      </c>
      <c r="P206" t="str">
        <f>TEXT(Table1[[#This Row],[Last_Restock_Date]],"mmm")</f>
        <v>Oct</v>
      </c>
    </row>
    <row r="207" spans="1:16" x14ac:dyDescent="0.25">
      <c r="A207">
        <v>206</v>
      </c>
      <c r="B207" s="5" t="s">
        <v>42</v>
      </c>
      <c r="C207" s="5" t="s">
        <v>16</v>
      </c>
      <c r="D207" s="5" t="s">
        <v>17</v>
      </c>
      <c r="E207" s="5" t="s">
        <v>32</v>
      </c>
      <c r="F207" s="2">
        <v>36</v>
      </c>
      <c r="G207" s="3">
        <v>494.45</v>
      </c>
      <c r="H207">
        <v>115</v>
      </c>
      <c r="I207">
        <f>IF(Table1[[#This Row],[Status]]= "Sufficient",
     Table1[[#This Row],[Stock_Quantity]] - Table1[[#This Row],[Reorder_Level]],
     0)</f>
        <v>0</v>
      </c>
      <c r="J207" s="4">
        <v>45871</v>
      </c>
      <c r="K207" s="5" t="s">
        <v>28</v>
      </c>
      <c r="L207">
        <f>YEAR(Table1[[#This Row],[Last_Restock_Date]])</f>
        <v>2025</v>
      </c>
      <c r="M207" t="str">
        <f>_xlfn.CONCAT(TEXT(Table1[[#This Row],[Last_Restock_Date]],"mmm"), "-", YEAR(Table1[[#This Row],[Last_Restock_Date]]))</f>
        <v>Aug-2025</v>
      </c>
      <c r="N207">
        <f>MONTH(Table1[[#This Row],[Last_Restock_Date]])</f>
        <v>8</v>
      </c>
      <c r="O207" t="str" cm="1">
        <f t="array" ref="O207">_xlfn.SWITCH(Table1[[#This Row],[Month_Number]],
    1,"Q1",2,"Q1",3,"Q1",
    4,"Q2",5,"Q2",6,"Q2",
    7,"Q3",8,"Q3",9,"Q3",
    10,"Q4",11,"Q4",12,"Q4",
    "Invalid Month"
)</f>
        <v>Q3</v>
      </c>
      <c r="P207" t="str">
        <f>TEXT(Table1[[#This Row],[Last_Restock_Date]],"mmm")</f>
        <v>Aug</v>
      </c>
    </row>
    <row r="208" spans="1:16" x14ac:dyDescent="0.25">
      <c r="A208">
        <v>207</v>
      </c>
      <c r="B208" s="5" t="s">
        <v>33</v>
      </c>
      <c r="C208" s="5" t="s">
        <v>34</v>
      </c>
      <c r="D208" s="5" t="s">
        <v>12</v>
      </c>
      <c r="E208" s="5" t="s">
        <v>27</v>
      </c>
      <c r="F208" s="2">
        <v>201</v>
      </c>
      <c r="G208" s="3">
        <v>27.42</v>
      </c>
      <c r="H208">
        <v>111</v>
      </c>
      <c r="I208">
        <f>IF(Table1[[#This Row],[Status]]= "Sufficient",
     Table1[[#This Row],[Stock_Quantity]] - Table1[[#This Row],[Reorder_Level]],
     0)</f>
        <v>90</v>
      </c>
      <c r="J208" s="4">
        <v>45860</v>
      </c>
      <c r="K208" s="5" t="s">
        <v>14</v>
      </c>
      <c r="L208">
        <f>YEAR(Table1[[#This Row],[Last_Restock_Date]])</f>
        <v>2025</v>
      </c>
      <c r="M208" t="str">
        <f>_xlfn.CONCAT(TEXT(Table1[[#This Row],[Last_Restock_Date]],"mmm"), "-", YEAR(Table1[[#This Row],[Last_Restock_Date]]))</f>
        <v>Jul-2025</v>
      </c>
      <c r="N208">
        <f>MONTH(Table1[[#This Row],[Last_Restock_Date]])</f>
        <v>7</v>
      </c>
      <c r="O208" t="str" cm="1">
        <f t="array" ref="O208">_xlfn.SWITCH(Table1[[#This Row],[Month_Number]],
    1,"Q1",2,"Q1",3,"Q1",
    4,"Q2",5,"Q2",6,"Q2",
    7,"Q3",8,"Q3",9,"Q3",
    10,"Q4",11,"Q4",12,"Q4",
    "Invalid Month"
)</f>
        <v>Q3</v>
      </c>
      <c r="P208" t="str">
        <f>TEXT(Table1[[#This Row],[Last_Restock_Date]],"mmm")</f>
        <v>Jul</v>
      </c>
    </row>
    <row r="209" spans="1:16" x14ac:dyDescent="0.25">
      <c r="A209">
        <v>208</v>
      </c>
      <c r="B209" s="5" t="s">
        <v>10</v>
      </c>
      <c r="C209" s="5" t="s">
        <v>11</v>
      </c>
      <c r="D209" s="5" t="s">
        <v>17</v>
      </c>
      <c r="E209" s="5" t="s">
        <v>39</v>
      </c>
      <c r="F209" s="2">
        <v>305</v>
      </c>
      <c r="G209" s="3">
        <v>573.54</v>
      </c>
      <c r="H209">
        <v>140</v>
      </c>
      <c r="I209">
        <f>IF(Table1[[#This Row],[Status]]= "Sufficient",
     Table1[[#This Row],[Stock_Quantity]] - Table1[[#This Row],[Reorder_Level]],
     0)</f>
        <v>165</v>
      </c>
      <c r="J209" s="4">
        <v>45336</v>
      </c>
      <c r="K209" s="5" t="s">
        <v>14</v>
      </c>
      <c r="L209">
        <f>YEAR(Table1[[#This Row],[Last_Restock_Date]])</f>
        <v>2024</v>
      </c>
      <c r="M209" t="str">
        <f>_xlfn.CONCAT(TEXT(Table1[[#This Row],[Last_Restock_Date]],"mmm"), "-", YEAR(Table1[[#This Row],[Last_Restock_Date]]))</f>
        <v>Feb-2024</v>
      </c>
      <c r="N209">
        <f>MONTH(Table1[[#This Row],[Last_Restock_Date]])</f>
        <v>2</v>
      </c>
      <c r="O209" t="str" cm="1">
        <f t="array" ref="O209">_xlfn.SWITCH(Table1[[#This Row],[Month_Number]],
    1,"Q1",2,"Q1",3,"Q1",
    4,"Q2",5,"Q2",6,"Q2",
    7,"Q3",8,"Q3",9,"Q3",
    10,"Q4",11,"Q4",12,"Q4",
    "Invalid Month"
)</f>
        <v>Q1</v>
      </c>
      <c r="P209" t="str">
        <f>TEXT(Table1[[#This Row],[Last_Restock_Date]],"mmm")</f>
        <v>Feb</v>
      </c>
    </row>
    <row r="210" spans="1:16" x14ac:dyDescent="0.25">
      <c r="A210">
        <v>209</v>
      </c>
      <c r="B210" s="5" t="s">
        <v>23</v>
      </c>
      <c r="C210" s="5" t="s">
        <v>20</v>
      </c>
      <c r="D210" s="5" t="s">
        <v>24</v>
      </c>
      <c r="E210" s="5" t="s">
        <v>13</v>
      </c>
      <c r="F210" s="2">
        <v>306</v>
      </c>
      <c r="G210" s="3">
        <v>605.97</v>
      </c>
      <c r="H210">
        <v>63</v>
      </c>
      <c r="I210">
        <f>IF(Table1[[#This Row],[Status]]= "Sufficient",
     Table1[[#This Row],[Stock_Quantity]] - Table1[[#This Row],[Reorder_Level]],
     0)</f>
        <v>243</v>
      </c>
      <c r="J210" s="4">
        <v>45827</v>
      </c>
      <c r="K210" s="5" t="s">
        <v>14</v>
      </c>
      <c r="L210">
        <f>YEAR(Table1[[#This Row],[Last_Restock_Date]])</f>
        <v>2025</v>
      </c>
      <c r="M210" t="str">
        <f>_xlfn.CONCAT(TEXT(Table1[[#This Row],[Last_Restock_Date]],"mmm"), "-", YEAR(Table1[[#This Row],[Last_Restock_Date]]))</f>
        <v>Jun-2025</v>
      </c>
      <c r="N210">
        <f>MONTH(Table1[[#This Row],[Last_Restock_Date]])</f>
        <v>6</v>
      </c>
      <c r="O210" t="str" cm="1">
        <f t="array" ref="O210">_xlfn.SWITCH(Table1[[#This Row],[Month_Number]],
    1,"Q1",2,"Q1",3,"Q1",
    4,"Q2",5,"Q2",6,"Q2",
    7,"Q3",8,"Q3",9,"Q3",
    10,"Q4",11,"Q4",12,"Q4",
    "Invalid Month"
)</f>
        <v>Q2</v>
      </c>
      <c r="P210" t="str">
        <f>TEXT(Table1[[#This Row],[Last_Restock_Date]],"mmm")</f>
        <v>Jun</v>
      </c>
    </row>
    <row r="211" spans="1:16" x14ac:dyDescent="0.25">
      <c r="A211">
        <v>210</v>
      </c>
      <c r="B211" s="5" t="s">
        <v>35</v>
      </c>
      <c r="C211" s="5" t="s">
        <v>11</v>
      </c>
      <c r="D211" s="5" t="s">
        <v>12</v>
      </c>
      <c r="E211" s="5" t="s">
        <v>13</v>
      </c>
      <c r="F211" s="2">
        <v>232</v>
      </c>
      <c r="G211" s="3">
        <v>71.430000000000007</v>
      </c>
      <c r="H211">
        <v>124</v>
      </c>
      <c r="I211">
        <f>IF(Table1[[#This Row],[Status]]= "Sufficient",
     Table1[[#This Row],[Stock_Quantity]] - Table1[[#This Row],[Reorder_Level]],
     0)</f>
        <v>108</v>
      </c>
      <c r="J211" s="4">
        <v>44933</v>
      </c>
      <c r="K211" s="5" t="s">
        <v>14</v>
      </c>
      <c r="L211">
        <f>YEAR(Table1[[#This Row],[Last_Restock_Date]])</f>
        <v>2023</v>
      </c>
      <c r="M211" t="str">
        <f>_xlfn.CONCAT(TEXT(Table1[[#This Row],[Last_Restock_Date]],"mmm"), "-", YEAR(Table1[[#This Row],[Last_Restock_Date]]))</f>
        <v>Jan-2023</v>
      </c>
      <c r="N211">
        <f>MONTH(Table1[[#This Row],[Last_Restock_Date]])</f>
        <v>1</v>
      </c>
      <c r="O211" t="str" cm="1">
        <f t="array" ref="O211">_xlfn.SWITCH(Table1[[#This Row],[Month_Number]],
    1,"Q1",2,"Q1",3,"Q1",
    4,"Q2",5,"Q2",6,"Q2",
    7,"Q3",8,"Q3",9,"Q3",
    10,"Q4",11,"Q4",12,"Q4",
    "Invalid Month"
)</f>
        <v>Q1</v>
      </c>
      <c r="P211" t="str">
        <f>TEXT(Table1[[#This Row],[Last_Restock_Date]],"mmm")</f>
        <v>Jan</v>
      </c>
    </row>
    <row r="212" spans="1:16" x14ac:dyDescent="0.25">
      <c r="A212">
        <v>211</v>
      </c>
      <c r="B212" s="5" t="s">
        <v>29</v>
      </c>
      <c r="C212" s="5" t="s">
        <v>16</v>
      </c>
      <c r="D212" s="5" t="s">
        <v>24</v>
      </c>
      <c r="E212" s="5" t="s">
        <v>13</v>
      </c>
      <c r="F212" s="2">
        <v>480</v>
      </c>
      <c r="G212" s="3">
        <v>610.15</v>
      </c>
      <c r="H212">
        <v>72</v>
      </c>
      <c r="I212">
        <f>IF(Table1[[#This Row],[Status]]= "Sufficient",
     Table1[[#This Row],[Stock_Quantity]] - Table1[[#This Row],[Reorder_Level]],
     0)</f>
        <v>408</v>
      </c>
      <c r="J212" s="4">
        <v>45356</v>
      </c>
      <c r="K212" s="5" t="s">
        <v>14</v>
      </c>
      <c r="L212">
        <f>YEAR(Table1[[#This Row],[Last_Restock_Date]])</f>
        <v>2024</v>
      </c>
      <c r="M212" t="str">
        <f>_xlfn.CONCAT(TEXT(Table1[[#This Row],[Last_Restock_Date]],"mmm"), "-", YEAR(Table1[[#This Row],[Last_Restock_Date]]))</f>
        <v>Mar-2024</v>
      </c>
      <c r="N212">
        <f>MONTH(Table1[[#This Row],[Last_Restock_Date]])</f>
        <v>3</v>
      </c>
      <c r="O212" t="str" cm="1">
        <f t="array" ref="O212">_xlfn.SWITCH(Table1[[#This Row],[Month_Number]],
    1,"Q1",2,"Q1",3,"Q1",
    4,"Q2",5,"Q2",6,"Q2",
    7,"Q3",8,"Q3",9,"Q3",
    10,"Q4",11,"Q4",12,"Q4",
    "Invalid Month"
)</f>
        <v>Q1</v>
      </c>
      <c r="P212" t="str">
        <f>TEXT(Table1[[#This Row],[Last_Restock_Date]],"mmm")</f>
        <v>Mar</v>
      </c>
    </row>
    <row r="213" spans="1:16" x14ac:dyDescent="0.25">
      <c r="A213">
        <v>212</v>
      </c>
      <c r="B213" s="5" t="s">
        <v>19</v>
      </c>
      <c r="C213" s="5" t="s">
        <v>20</v>
      </c>
      <c r="D213" s="5" t="s">
        <v>12</v>
      </c>
      <c r="E213" s="5" t="s">
        <v>18</v>
      </c>
      <c r="F213" s="2">
        <v>125</v>
      </c>
      <c r="G213" s="3">
        <v>630.85</v>
      </c>
      <c r="H213">
        <v>50</v>
      </c>
      <c r="I213">
        <f>IF(Table1[[#This Row],[Status]]= "Sufficient",
     Table1[[#This Row],[Stock_Quantity]] - Table1[[#This Row],[Reorder_Level]],
     0)</f>
        <v>75</v>
      </c>
      <c r="J213" s="4">
        <v>45478</v>
      </c>
      <c r="K213" s="5" t="s">
        <v>14</v>
      </c>
      <c r="L213">
        <f>YEAR(Table1[[#This Row],[Last_Restock_Date]])</f>
        <v>2024</v>
      </c>
      <c r="M213" t="str">
        <f>_xlfn.CONCAT(TEXT(Table1[[#This Row],[Last_Restock_Date]],"mmm"), "-", YEAR(Table1[[#This Row],[Last_Restock_Date]]))</f>
        <v>Jul-2024</v>
      </c>
      <c r="N213">
        <f>MONTH(Table1[[#This Row],[Last_Restock_Date]])</f>
        <v>7</v>
      </c>
      <c r="O213" t="str" cm="1">
        <f t="array" ref="O213">_xlfn.SWITCH(Table1[[#This Row],[Month_Number]],
    1,"Q1",2,"Q1",3,"Q1",
    4,"Q2",5,"Q2",6,"Q2",
    7,"Q3",8,"Q3",9,"Q3",
    10,"Q4",11,"Q4",12,"Q4",
    "Invalid Month"
)</f>
        <v>Q3</v>
      </c>
      <c r="P213" t="str">
        <f>TEXT(Table1[[#This Row],[Last_Restock_Date]],"mmm")</f>
        <v>Jul</v>
      </c>
    </row>
    <row r="214" spans="1:16" x14ac:dyDescent="0.25">
      <c r="A214">
        <v>213</v>
      </c>
      <c r="B214" s="5" t="s">
        <v>49</v>
      </c>
      <c r="C214" s="5" t="s">
        <v>16</v>
      </c>
      <c r="D214" s="5" t="s">
        <v>17</v>
      </c>
      <c r="E214" s="5" t="s">
        <v>27</v>
      </c>
      <c r="F214" s="2">
        <v>11</v>
      </c>
      <c r="G214" s="3">
        <v>364.16</v>
      </c>
      <c r="H214">
        <v>52</v>
      </c>
      <c r="I214">
        <f>IF(Table1[[#This Row],[Status]]= "Sufficient",
     Table1[[#This Row],[Stock_Quantity]] - Table1[[#This Row],[Reorder_Level]],
     0)</f>
        <v>0</v>
      </c>
      <c r="J214" s="4">
        <v>45718</v>
      </c>
      <c r="K214" s="5" t="s">
        <v>28</v>
      </c>
      <c r="L214">
        <f>YEAR(Table1[[#This Row],[Last_Restock_Date]])</f>
        <v>2025</v>
      </c>
      <c r="M214" t="str">
        <f>_xlfn.CONCAT(TEXT(Table1[[#This Row],[Last_Restock_Date]],"mmm"), "-", YEAR(Table1[[#This Row],[Last_Restock_Date]]))</f>
        <v>Mar-2025</v>
      </c>
      <c r="N214">
        <f>MONTH(Table1[[#This Row],[Last_Restock_Date]])</f>
        <v>3</v>
      </c>
      <c r="O214" t="str" cm="1">
        <f t="array" ref="O214">_xlfn.SWITCH(Table1[[#This Row],[Month_Number]],
    1,"Q1",2,"Q1",3,"Q1",
    4,"Q2",5,"Q2",6,"Q2",
    7,"Q3",8,"Q3",9,"Q3",
    10,"Q4",11,"Q4",12,"Q4",
    "Invalid Month"
)</f>
        <v>Q1</v>
      </c>
      <c r="P214" t="str">
        <f>TEXT(Table1[[#This Row],[Last_Restock_Date]],"mmm")</f>
        <v>Mar</v>
      </c>
    </row>
    <row r="215" spans="1:16" x14ac:dyDescent="0.25">
      <c r="A215">
        <v>214</v>
      </c>
      <c r="B215" s="5" t="s">
        <v>43</v>
      </c>
      <c r="C215" s="5" t="s">
        <v>26</v>
      </c>
      <c r="D215" s="5" t="s">
        <v>17</v>
      </c>
      <c r="E215" s="5" t="s">
        <v>27</v>
      </c>
      <c r="F215" s="2">
        <v>422</v>
      </c>
      <c r="G215" s="3">
        <v>790.46</v>
      </c>
      <c r="H215">
        <v>125</v>
      </c>
      <c r="I215">
        <f>IF(Table1[[#This Row],[Status]]= "Sufficient",
     Table1[[#This Row],[Stock_Quantity]] - Table1[[#This Row],[Reorder_Level]],
     0)</f>
        <v>297</v>
      </c>
      <c r="J215" s="4">
        <v>45247</v>
      </c>
      <c r="K215" s="5" t="s">
        <v>14</v>
      </c>
      <c r="L215">
        <f>YEAR(Table1[[#This Row],[Last_Restock_Date]])</f>
        <v>2023</v>
      </c>
      <c r="M215" t="str">
        <f>_xlfn.CONCAT(TEXT(Table1[[#This Row],[Last_Restock_Date]],"mmm"), "-", YEAR(Table1[[#This Row],[Last_Restock_Date]]))</f>
        <v>Nov-2023</v>
      </c>
      <c r="N215">
        <f>MONTH(Table1[[#This Row],[Last_Restock_Date]])</f>
        <v>11</v>
      </c>
      <c r="O215" t="str" cm="1">
        <f t="array" ref="O215">_xlfn.SWITCH(Table1[[#This Row],[Month_Number]],
    1,"Q1",2,"Q1",3,"Q1",
    4,"Q2",5,"Q2",6,"Q2",
    7,"Q3",8,"Q3",9,"Q3",
    10,"Q4",11,"Q4",12,"Q4",
    "Invalid Month"
)</f>
        <v>Q4</v>
      </c>
      <c r="P215" t="str">
        <f>TEXT(Table1[[#This Row],[Last_Restock_Date]],"mmm")</f>
        <v>Nov</v>
      </c>
    </row>
    <row r="216" spans="1:16" x14ac:dyDescent="0.25">
      <c r="A216">
        <v>215</v>
      </c>
      <c r="B216" s="5" t="s">
        <v>35</v>
      </c>
      <c r="C216" s="5" t="s">
        <v>11</v>
      </c>
      <c r="D216" s="5" t="s">
        <v>12</v>
      </c>
      <c r="E216" s="5" t="s">
        <v>32</v>
      </c>
      <c r="F216" s="2">
        <v>233</v>
      </c>
      <c r="G216" s="3">
        <v>100.28</v>
      </c>
      <c r="H216">
        <v>75</v>
      </c>
      <c r="I216">
        <f>IF(Table1[[#This Row],[Status]]= "Sufficient",
     Table1[[#This Row],[Stock_Quantity]] - Table1[[#This Row],[Reorder_Level]],
     0)</f>
        <v>158</v>
      </c>
      <c r="J216" s="4">
        <v>45660</v>
      </c>
      <c r="K216" s="5" t="s">
        <v>14</v>
      </c>
      <c r="L216">
        <f>YEAR(Table1[[#This Row],[Last_Restock_Date]])</f>
        <v>2025</v>
      </c>
      <c r="M216" t="str">
        <f>_xlfn.CONCAT(TEXT(Table1[[#This Row],[Last_Restock_Date]],"mmm"), "-", YEAR(Table1[[#This Row],[Last_Restock_Date]]))</f>
        <v>Jan-2025</v>
      </c>
      <c r="N216">
        <f>MONTH(Table1[[#This Row],[Last_Restock_Date]])</f>
        <v>1</v>
      </c>
      <c r="O216" t="str" cm="1">
        <f t="array" ref="O216">_xlfn.SWITCH(Table1[[#This Row],[Month_Number]],
    1,"Q1",2,"Q1",3,"Q1",
    4,"Q2",5,"Q2",6,"Q2",
    7,"Q3",8,"Q3",9,"Q3",
    10,"Q4",11,"Q4",12,"Q4",
    "Invalid Month"
)</f>
        <v>Q1</v>
      </c>
      <c r="P216" t="str">
        <f>TEXT(Table1[[#This Row],[Last_Restock_Date]],"mmm")</f>
        <v>Jan</v>
      </c>
    </row>
    <row r="217" spans="1:16" x14ac:dyDescent="0.25">
      <c r="A217">
        <v>216</v>
      </c>
      <c r="B217" s="5" t="s">
        <v>47</v>
      </c>
      <c r="C217" s="5" t="s">
        <v>20</v>
      </c>
      <c r="D217" s="5" t="s">
        <v>21</v>
      </c>
      <c r="E217" s="5" t="s">
        <v>37</v>
      </c>
      <c r="F217" s="2">
        <v>372</v>
      </c>
      <c r="G217" s="3">
        <v>444.31</v>
      </c>
      <c r="H217">
        <v>104</v>
      </c>
      <c r="I217">
        <f>IF(Table1[[#This Row],[Status]]= "Sufficient",
     Table1[[#This Row],[Stock_Quantity]] - Table1[[#This Row],[Reorder_Level]],
     0)</f>
        <v>268</v>
      </c>
      <c r="J217" s="4">
        <v>45567</v>
      </c>
      <c r="K217" s="5" t="s">
        <v>14</v>
      </c>
      <c r="L217">
        <f>YEAR(Table1[[#This Row],[Last_Restock_Date]])</f>
        <v>2024</v>
      </c>
      <c r="M217" t="str">
        <f>_xlfn.CONCAT(TEXT(Table1[[#This Row],[Last_Restock_Date]],"mmm"), "-", YEAR(Table1[[#This Row],[Last_Restock_Date]]))</f>
        <v>Oct-2024</v>
      </c>
      <c r="N217">
        <f>MONTH(Table1[[#This Row],[Last_Restock_Date]])</f>
        <v>10</v>
      </c>
      <c r="O217" t="str" cm="1">
        <f t="array" ref="O217">_xlfn.SWITCH(Table1[[#This Row],[Month_Number]],
    1,"Q1",2,"Q1",3,"Q1",
    4,"Q2",5,"Q2",6,"Q2",
    7,"Q3",8,"Q3",9,"Q3",
    10,"Q4",11,"Q4",12,"Q4",
    "Invalid Month"
)</f>
        <v>Q4</v>
      </c>
      <c r="P217" t="str">
        <f>TEXT(Table1[[#This Row],[Last_Restock_Date]],"mmm")</f>
        <v>Oct</v>
      </c>
    </row>
    <row r="218" spans="1:16" x14ac:dyDescent="0.25">
      <c r="A218">
        <v>217</v>
      </c>
      <c r="B218" s="5" t="s">
        <v>53</v>
      </c>
      <c r="C218" s="5" t="s">
        <v>26</v>
      </c>
      <c r="D218" s="5" t="s">
        <v>21</v>
      </c>
      <c r="E218" s="5" t="s">
        <v>27</v>
      </c>
      <c r="F218" s="2">
        <v>283</v>
      </c>
      <c r="G218" s="3">
        <v>131.62</v>
      </c>
      <c r="H218">
        <v>123</v>
      </c>
      <c r="I218">
        <f>IF(Table1[[#This Row],[Status]]= "Sufficient",
     Table1[[#This Row],[Stock_Quantity]] - Table1[[#This Row],[Reorder_Level]],
     0)</f>
        <v>160</v>
      </c>
      <c r="J218" s="4">
        <v>45028</v>
      </c>
      <c r="K218" s="5" t="s">
        <v>14</v>
      </c>
      <c r="L218">
        <f>YEAR(Table1[[#This Row],[Last_Restock_Date]])</f>
        <v>2023</v>
      </c>
      <c r="M218" t="str">
        <f>_xlfn.CONCAT(TEXT(Table1[[#This Row],[Last_Restock_Date]],"mmm"), "-", YEAR(Table1[[#This Row],[Last_Restock_Date]]))</f>
        <v>Apr-2023</v>
      </c>
      <c r="N218">
        <f>MONTH(Table1[[#This Row],[Last_Restock_Date]])</f>
        <v>4</v>
      </c>
      <c r="O218" t="str" cm="1">
        <f t="array" ref="O218">_xlfn.SWITCH(Table1[[#This Row],[Month_Number]],
    1,"Q1",2,"Q1",3,"Q1",
    4,"Q2",5,"Q2",6,"Q2",
    7,"Q3",8,"Q3",9,"Q3",
    10,"Q4",11,"Q4",12,"Q4",
    "Invalid Month"
)</f>
        <v>Q2</v>
      </c>
      <c r="P218" t="str">
        <f>TEXT(Table1[[#This Row],[Last_Restock_Date]],"mmm")</f>
        <v>Apr</v>
      </c>
    </row>
    <row r="219" spans="1:16" x14ac:dyDescent="0.25">
      <c r="A219">
        <v>218</v>
      </c>
      <c r="B219" s="5" t="s">
        <v>45</v>
      </c>
      <c r="C219" s="5" t="s">
        <v>26</v>
      </c>
      <c r="D219" s="5" t="s">
        <v>17</v>
      </c>
      <c r="E219" s="5" t="s">
        <v>39</v>
      </c>
      <c r="F219" s="2">
        <v>269</v>
      </c>
      <c r="G219" s="3">
        <v>82.3</v>
      </c>
      <c r="H219">
        <v>84</v>
      </c>
      <c r="I219">
        <f>IF(Table1[[#This Row],[Status]]= "Sufficient",
     Table1[[#This Row],[Stock_Quantity]] - Table1[[#This Row],[Reorder_Level]],
     0)</f>
        <v>185</v>
      </c>
      <c r="J219" s="4">
        <v>45277</v>
      </c>
      <c r="K219" s="5" t="s">
        <v>14</v>
      </c>
      <c r="L219">
        <f>YEAR(Table1[[#This Row],[Last_Restock_Date]])</f>
        <v>2023</v>
      </c>
      <c r="M219" t="str">
        <f>_xlfn.CONCAT(TEXT(Table1[[#This Row],[Last_Restock_Date]],"mmm"), "-", YEAR(Table1[[#This Row],[Last_Restock_Date]]))</f>
        <v>Dec-2023</v>
      </c>
      <c r="N219">
        <f>MONTH(Table1[[#This Row],[Last_Restock_Date]])</f>
        <v>12</v>
      </c>
      <c r="O219" t="str" cm="1">
        <f t="array" ref="O219">_xlfn.SWITCH(Table1[[#This Row],[Month_Number]],
    1,"Q1",2,"Q1",3,"Q1",
    4,"Q2",5,"Q2",6,"Q2",
    7,"Q3",8,"Q3",9,"Q3",
    10,"Q4",11,"Q4",12,"Q4",
    "Invalid Month"
)</f>
        <v>Q4</v>
      </c>
      <c r="P219" t="str">
        <f>TEXT(Table1[[#This Row],[Last_Restock_Date]],"mmm")</f>
        <v>Dec</v>
      </c>
    </row>
    <row r="220" spans="1:16" x14ac:dyDescent="0.25">
      <c r="A220">
        <v>219</v>
      </c>
      <c r="B220" s="5" t="s">
        <v>38</v>
      </c>
      <c r="C220" s="5" t="s">
        <v>26</v>
      </c>
      <c r="D220" s="5" t="s">
        <v>21</v>
      </c>
      <c r="E220" s="5" t="s">
        <v>13</v>
      </c>
      <c r="F220" s="2">
        <v>275</v>
      </c>
      <c r="G220" s="3">
        <v>747.46</v>
      </c>
      <c r="H220">
        <v>58</v>
      </c>
      <c r="I220">
        <f>IF(Table1[[#This Row],[Status]]= "Sufficient",
     Table1[[#This Row],[Stock_Quantity]] - Table1[[#This Row],[Reorder_Level]],
     0)</f>
        <v>217</v>
      </c>
      <c r="J220" s="4">
        <v>45674</v>
      </c>
      <c r="K220" s="5" t="s">
        <v>14</v>
      </c>
      <c r="L220">
        <f>YEAR(Table1[[#This Row],[Last_Restock_Date]])</f>
        <v>2025</v>
      </c>
      <c r="M220" t="str">
        <f>_xlfn.CONCAT(TEXT(Table1[[#This Row],[Last_Restock_Date]],"mmm"), "-", YEAR(Table1[[#This Row],[Last_Restock_Date]]))</f>
        <v>Jan-2025</v>
      </c>
      <c r="N220">
        <f>MONTH(Table1[[#This Row],[Last_Restock_Date]])</f>
        <v>1</v>
      </c>
      <c r="O220" t="str" cm="1">
        <f t="array" ref="O220">_xlfn.SWITCH(Table1[[#This Row],[Month_Number]],
    1,"Q1",2,"Q1",3,"Q1",
    4,"Q2",5,"Q2",6,"Q2",
    7,"Q3",8,"Q3",9,"Q3",
    10,"Q4",11,"Q4",12,"Q4",
    "Invalid Month"
)</f>
        <v>Q1</v>
      </c>
      <c r="P220" t="str">
        <f>TEXT(Table1[[#This Row],[Last_Restock_Date]],"mmm")</f>
        <v>Jan</v>
      </c>
    </row>
    <row r="221" spans="1:16" x14ac:dyDescent="0.25">
      <c r="A221">
        <v>220</v>
      </c>
      <c r="B221" s="5" t="s">
        <v>46</v>
      </c>
      <c r="C221" s="5" t="s">
        <v>34</v>
      </c>
      <c r="D221" s="5" t="s">
        <v>12</v>
      </c>
      <c r="E221" s="5" t="s">
        <v>18</v>
      </c>
      <c r="F221" s="2">
        <v>459</v>
      </c>
      <c r="G221" s="3">
        <v>785.75</v>
      </c>
      <c r="H221">
        <v>115</v>
      </c>
      <c r="I221">
        <f>IF(Table1[[#This Row],[Status]]= "Sufficient",
     Table1[[#This Row],[Stock_Quantity]] - Table1[[#This Row],[Reorder_Level]],
     0)</f>
        <v>344</v>
      </c>
      <c r="J221" s="4">
        <v>45977</v>
      </c>
      <c r="K221" s="5" t="s">
        <v>14</v>
      </c>
      <c r="L221">
        <f>YEAR(Table1[[#This Row],[Last_Restock_Date]])</f>
        <v>2025</v>
      </c>
      <c r="M221" t="str">
        <f>_xlfn.CONCAT(TEXT(Table1[[#This Row],[Last_Restock_Date]],"mmm"), "-", YEAR(Table1[[#This Row],[Last_Restock_Date]]))</f>
        <v>Nov-2025</v>
      </c>
      <c r="N221">
        <f>MONTH(Table1[[#This Row],[Last_Restock_Date]])</f>
        <v>11</v>
      </c>
      <c r="O221" t="str" cm="1">
        <f t="array" ref="O221">_xlfn.SWITCH(Table1[[#This Row],[Month_Number]],
    1,"Q1",2,"Q1",3,"Q1",
    4,"Q2",5,"Q2",6,"Q2",
    7,"Q3",8,"Q3",9,"Q3",
    10,"Q4",11,"Q4",12,"Q4",
    "Invalid Month"
)</f>
        <v>Q4</v>
      </c>
      <c r="P221" t="str">
        <f>TEXT(Table1[[#This Row],[Last_Restock_Date]],"mmm")</f>
        <v>Nov</v>
      </c>
    </row>
    <row r="222" spans="1:16" x14ac:dyDescent="0.25">
      <c r="A222">
        <v>221</v>
      </c>
      <c r="B222" s="5" t="s">
        <v>33</v>
      </c>
      <c r="C222" s="5" t="s">
        <v>34</v>
      </c>
      <c r="D222" s="5" t="s">
        <v>21</v>
      </c>
      <c r="E222" s="5" t="s">
        <v>18</v>
      </c>
      <c r="F222" s="2">
        <v>453</v>
      </c>
      <c r="G222" s="3">
        <v>504.78</v>
      </c>
      <c r="H222">
        <v>119</v>
      </c>
      <c r="I222">
        <f>IF(Table1[[#This Row],[Status]]= "Sufficient",
     Table1[[#This Row],[Stock_Quantity]] - Table1[[#This Row],[Reorder_Level]],
     0)</f>
        <v>334</v>
      </c>
      <c r="J222" s="4">
        <v>45849</v>
      </c>
      <c r="K222" s="5" t="s">
        <v>14</v>
      </c>
      <c r="L222">
        <f>YEAR(Table1[[#This Row],[Last_Restock_Date]])</f>
        <v>2025</v>
      </c>
      <c r="M222" t="str">
        <f>_xlfn.CONCAT(TEXT(Table1[[#This Row],[Last_Restock_Date]],"mmm"), "-", YEAR(Table1[[#This Row],[Last_Restock_Date]]))</f>
        <v>Jul-2025</v>
      </c>
      <c r="N222">
        <f>MONTH(Table1[[#This Row],[Last_Restock_Date]])</f>
        <v>7</v>
      </c>
      <c r="O222" t="str" cm="1">
        <f t="array" ref="O222">_xlfn.SWITCH(Table1[[#This Row],[Month_Number]],
    1,"Q1",2,"Q1",3,"Q1",
    4,"Q2",5,"Q2",6,"Q2",
    7,"Q3",8,"Q3",9,"Q3",
    10,"Q4",11,"Q4",12,"Q4",
    "Invalid Month"
)</f>
        <v>Q3</v>
      </c>
      <c r="P222" t="str">
        <f>TEXT(Table1[[#This Row],[Last_Restock_Date]],"mmm")</f>
        <v>Jul</v>
      </c>
    </row>
    <row r="223" spans="1:16" x14ac:dyDescent="0.25">
      <c r="A223">
        <v>222</v>
      </c>
      <c r="B223" s="5" t="s">
        <v>46</v>
      </c>
      <c r="C223" s="5" t="s">
        <v>34</v>
      </c>
      <c r="D223" s="5" t="s">
        <v>30</v>
      </c>
      <c r="E223" s="5" t="s">
        <v>32</v>
      </c>
      <c r="F223" s="2">
        <v>393</v>
      </c>
      <c r="G223" s="3">
        <v>208.67</v>
      </c>
      <c r="H223">
        <v>94</v>
      </c>
      <c r="I223">
        <f>IF(Table1[[#This Row],[Status]]= "Sufficient",
     Table1[[#This Row],[Stock_Quantity]] - Table1[[#This Row],[Reorder_Level]],
     0)</f>
        <v>299</v>
      </c>
      <c r="J223" s="4">
        <v>45337</v>
      </c>
      <c r="K223" s="5" t="s">
        <v>14</v>
      </c>
      <c r="L223">
        <f>YEAR(Table1[[#This Row],[Last_Restock_Date]])</f>
        <v>2024</v>
      </c>
      <c r="M223" t="str">
        <f>_xlfn.CONCAT(TEXT(Table1[[#This Row],[Last_Restock_Date]],"mmm"), "-", YEAR(Table1[[#This Row],[Last_Restock_Date]]))</f>
        <v>Feb-2024</v>
      </c>
      <c r="N223">
        <f>MONTH(Table1[[#This Row],[Last_Restock_Date]])</f>
        <v>2</v>
      </c>
      <c r="O223" t="str" cm="1">
        <f t="array" ref="O223">_xlfn.SWITCH(Table1[[#This Row],[Month_Number]],
    1,"Q1",2,"Q1",3,"Q1",
    4,"Q2",5,"Q2",6,"Q2",
    7,"Q3",8,"Q3",9,"Q3",
    10,"Q4",11,"Q4",12,"Q4",
    "Invalid Month"
)</f>
        <v>Q1</v>
      </c>
      <c r="P223" t="str">
        <f>TEXT(Table1[[#This Row],[Last_Restock_Date]],"mmm")</f>
        <v>Feb</v>
      </c>
    </row>
    <row r="224" spans="1:16" x14ac:dyDescent="0.25">
      <c r="A224">
        <v>223</v>
      </c>
      <c r="B224" s="5" t="s">
        <v>38</v>
      </c>
      <c r="C224" s="5" t="s">
        <v>26</v>
      </c>
      <c r="D224" s="5" t="s">
        <v>30</v>
      </c>
      <c r="E224" s="5" t="s">
        <v>27</v>
      </c>
      <c r="F224" s="2">
        <v>303</v>
      </c>
      <c r="G224" s="3">
        <v>104.27</v>
      </c>
      <c r="H224">
        <v>136</v>
      </c>
      <c r="I224">
        <f>IF(Table1[[#This Row],[Status]]= "Sufficient",
     Table1[[#This Row],[Stock_Quantity]] - Table1[[#This Row],[Reorder_Level]],
     0)</f>
        <v>167</v>
      </c>
      <c r="J224" s="4">
        <v>45413</v>
      </c>
      <c r="K224" s="5" t="s">
        <v>14</v>
      </c>
      <c r="L224">
        <f>YEAR(Table1[[#This Row],[Last_Restock_Date]])</f>
        <v>2024</v>
      </c>
      <c r="M224" t="str">
        <f>_xlfn.CONCAT(TEXT(Table1[[#This Row],[Last_Restock_Date]],"mmm"), "-", YEAR(Table1[[#This Row],[Last_Restock_Date]]))</f>
        <v>May-2024</v>
      </c>
      <c r="N224">
        <f>MONTH(Table1[[#This Row],[Last_Restock_Date]])</f>
        <v>5</v>
      </c>
      <c r="O224" t="str" cm="1">
        <f t="array" ref="O224">_xlfn.SWITCH(Table1[[#This Row],[Month_Number]],
    1,"Q1",2,"Q1",3,"Q1",
    4,"Q2",5,"Q2",6,"Q2",
    7,"Q3",8,"Q3",9,"Q3",
    10,"Q4",11,"Q4",12,"Q4",
    "Invalid Month"
)</f>
        <v>Q2</v>
      </c>
      <c r="P224" t="str">
        <f>TEXT(Table1[[#This Row],[Last_Restock_Date]],"mmm")</f>
        <v>May</v>
      </c>
    </row>
    <row r="225" spans="1:16" x14ac:dyDescent="0.25">
      <c r="A225">
        <v>224</v>
      </c>
      <c r="B225" s="5" t="s">
        <v>52</v>
      </c>
      <c r="C225" s="5" t="s">
        <v>16</v>
      </c>
      <c r="D225" s="5" t="s">
        <v>24</v>
      </c>
      <c r="E225" s="5" t="s">
        <v>32</v>
      </c>
      <c r="F225" s="2">
        <v>16</v>
      </c>
      <c r="G225" s="3">
        <v>386.15</v>
      </c>
      <c r="H225">
        <v>67</v>
      </c>
      <c r="I225">
        <f>IF(Table1[[#This Row],[Status]]= "Sufficient",
     Table1[[#This Row],[Stock_Quantity]] - Table1[[#This Row],[Reorder_Level]],
     0)</f>
        <v>0</v>
      </c>
      <c r="J225" s="4">
        <v>45910</v>
      </c>
      <c r="K225" s="5" t="s">
        <v>28</v>
      </c>
      <c r="L225">
        <f>YEAR(Table1[[#This Row],[Last_Restock_Date]])</f>
        <v>2025</v>
      </c>
      <c r="M225" t="str">
        <f>_xlfn.CONCAT(TEXT(Table1[[#This Row],[Last_Restock_Date]],"mmm"), "-", YEAR(Table1[[#This Row],[Last_Restock_Date]]))</f>
        <v>Sep-2025</v>
      </c>
      <c r="N225">
        <f>MONTH(Table1[[#This Row],[Last_Restock_Date]])</f>
        <v>9</v>
      </c>
      <c r="O225" t="str" cm="1">
        <f t="array" ref="O225">_xlfn.SWITCH(Table1[[#This Row],[Month_Number]],
    1,"Q1",2,"Q1",3,"Q1",
    4,"Q2",5,"Q2",6,"Q2",
    7,"Q3",8,"Q3",9,"Q3",
    10,"Q4",11,"Q4",12,"Q4",
    "Invalid Month"
)</f>
        <v>Q3</v>
      </c>
      <c r="P225" t="str">
        <f>TEXT(Table1[[#This Row],[Last_Restock_Date]],"mmm")</f>
        <v>Sep</v>
      </c>
    </row>
    <row r="226" spans="1:16" x14ac:dyDescent="0.25">
      <c r="A226">
        <v>225</v>
      </c>
      <c r="B226" s="5" t="s">
        <v>10</v>
      </c>
      <c r="C226" s="5" t="s">
        <v>11</v>
      </c>
      <c r="D226" s="5" t="s">
        <v>30</v>
      </c>
      <c r="E226" s="5" t="s">
        <v>27</v>
      </c>
      <c r="F226" s="2">
        <v>178</v>
      </c>
      <c r="G226" s="3">
        <v>541.65</v>
      </c>
      <c r="H226">
        <v>130</v>
      </c>
      <c r="I226">
        <f>IF(Table1[[#This Row],[Status]]= "Sufficient",
     Table1[[#This Row],[Stock_Quantity]] - Table1[[#This Row],[Reorder_Level]],
     0)</f>
        <v>48</v>
      </c>
      <c r="J226" s="4">
        <v>45612</v>
      </c>
      <c r="K226" s="5" t="s">
        <v>14</v>
      </c>
      <c r="L226">
        <f>YEAR(Table1[[#This Row],[Last_Restock_Date]])</f>
        <v>2024</v>
      </c>
      <c r="M226" t="str">
        <f>_xlfn.CONCAT(TEXT(Table1[[#This Row],[Last_Restock_Date]],"mmm"), "-", YEAR(Table1[[#This Row],[Last_Restock_Date]]))</f>
        <v>Nov-2024</v>
      </c>
      <c r="N226">
        <f>MONTH(Table1[[#This Row],[Last_Restock_Date]])</f>
        <v>11</v>
      </c>
      <c r="O226" t="str" cm="1">
        <f t="array" ref="O226">_xlfn.SWITCH(Table1[[#This Row],[Month_Number]],
    1,"Q1",2,"Q1",3,"Q1",
    4,"Q2",5,"Q2",6,"Q2",
    7,"Q3",8,"Q3",9,"Q3",
    10,"Q4",11,"Q4",12,"Q4",
    "Invalid Month"
)</f>
        <v>Q4</v>
      </c>
      <c r="P226" t="str">
        <f>TEXT(Table1[[#This Row],[Last_Restock_Date]],"mmm")</f>
        <v>Nov</v>
      </c>
    </row>
    <row r="227" spans="1:16" x14ac:dyDescent="0.25">
      <c r="A227">
        <v>226</v>
      </c>
      <c r="B227" s="5" t="s">
        <v>50</v>
      </c>
      <c r="C227" s="5" t="s">
        <v>34</v>
      </c>
      <c r="D227" s="5" t="s">
        <v>12</v>
      </c>
      <c r="E227" s="5" t="s">
        <v>18</v>
      </c>
      <c r="F227" s="2">
        <v>60</v>
      </c>
      <c r="G227" s="3">
        <v>235.02</v>
      </c>
      <c r="H227">
        <v>96</v>
      </c>
      <c r="I227">
        <f>IF(Table1[[#This Row],[Status]]= "Sufficient",
     Table1[[#This Row],[Stock_Quantity]] - Table1[[#This Row],[Reorder_Level]],
     0)</f>
        <v>0</v>
      </c>
      <c r="J227" s="4">
        <v>45333</v>
      </c>
      <c r="K227" s="5" t="s">
        <v>28</v>
      </c>
      <c r="L227">
        <f>YEAR(Table1[[#This Row],[Last_Restock_Date]])</f>
        <v>2024</v>
      </c>
      <c r="M227" t="str">
        <f>_xlfn.CONCAT(TEXT(Table1[[#This Row],[Last_Restock_Date]],"mmm"), "-", YEAR(Table1[[#This Row],[Last_Restock_Date]]))</f>
        <v>Feb-2024</v>
      </c>
      <c r="N227">
        <f>MONTH(Table1[[#This Row],[Last_Restock_Date]])</f>
        <v>2</v>
      </c>
      <c r="O227" t="str" cm="1">
        <f t="array" ref="O227">_xlfn.SWITCH(Table1[[#This Row],[Month_Number]],
    1,"Q1",2,"Q1",3,"Q1",
    4,"Q2",5,"Q2",6,"Q2",
    7,"Q3",8,"Q3",9,"Q3",
    10,"Q4",11,"Q4",12,"Q4",
    "Invalid Month"
)</f>
        <v>Q1</v>
      </c>
      <c r="P227" t="str">
        <f>TEXT(Table1[[#This Row],[Last_Restock_Date]],"mmm")</f>
        <v>Feb</v>
      </c>
    </row>
    <row r="228" spans="1:16" x14ac:dyDescent="0.25">
      <c r="A228">
        <v>227</v>
      </c>
      <c r="B228" s="5" t="s">
        <v>35</v>
      </c>
      <c r="C228" s="5" t="s">
        <v>11</v>
      </c>
      <c r="D228" s="5" t="s">
        <v>30</v>
      </c>
      <c r="E228" s="5" t="s">
        <v>37</v>
      </c>
      <c r="F228" s="2">
        <v>35</v>
      </c>
      <c r="G228" s="3">
        <v>104.7</v>
      </c>
      <c r="H228">
        <v>77</v>
      </c>
      <c r="I228">
        <f>IF(Table1[[#This Row],[Status]]= "Sufficient",
     Table1[[#This Row],[Stock_Quantity]] - Table1[[#This Row],[Reorder_Level]],
     0)</f>
        <v>0</v>
      </c>
      <c r="J228" s="4">
        <v>44938</v>
      </c>
      <c r="K228" s="5" t="s">
        <v>28</v>
      </c>
      <c r="L228">
        <f>YEAR(Table1[[#This Row],[Last_Restock_Date]])</f>
        <v>2023</v>
      </c>
      <c r="M228" t="str">
        <f>_xlfn.CONCAT(TEXT(Table1[[#This Row],[Last_Restock_Date]],"mmm"), "-", YEAR(Table1[[#This Row],[Last_Restock_Date]]))</f>
        <v>Jan-2023</v>
      </c>
      <c r="N228">
        <f>MONTH(Table1[[#This Row],[Last_Restock_Date]])</f>
        <v>1</v>
      </c>
      <c r="O228" t="str" cm="1">
        <f t="array" ref="O228">_xlfn.SWITCH(Table1[[#This Row],[Month_Number]],
    1,"Q1",2,"Q1",3,"Q1",
    4,"Q2",5,"Q2",6,"Q2",
    7,"Q3",8,"Q3",9,"Q3",
    10,"Q4",11,"Q4",12,"Q4",
    "Invalid Month"
)</f>
        <v>Q1</v>
      </c>
      <c r="P228" t="str">
        <f>TEXT(Table1[[#This Row],[Last_Restock_Date]],"mmm")</f>
        <v>Jan</v>
      </c>
    </row>
    <row r="229" spans="1:16" x14ac:dyDescent="0.25">
      <c r="A229">
        <v>228</v>
      </c>
      <c r="B229" s="5" t="s">
        <v>15</v>
      </c>
      <c r="C229" s="5" t="s">
        <v>16</v>
      </c>
      <c r="D229" s="5" t="s">
        <v>17</v>
      </c>
      <c r="E229" s="5" t="s">
        <v>18</v>
      </c>
      <c r="F229" s="2">
        <v>454</v>
      </c>
      <c r="G229" s="3">
        <v>212.65</v>
      </c>
      <c r="H229">
        <v>130</v>
      </c>
      <c r="I229">
        <f>IF(Table1[[#This Row],[Status]]= "Sufficient",
     Table1[[#This Row],[Stock_Quantity]] - Table1[[#This Row],[Reorder_Level]],
     0)</f>
        <v>324</v>
      </c>
      <c r="J229" s="4">
        <v>45662</v>
      </c>
      <c r="K229" s="5" t="s">
        <v>14</v>
      </c>
      <c r="L229">
        <f>YEAR(Table1[[#This Row],[Last_Restock_Date]])</f>
        <v>2025</v>
      </c>
      <c r="M229" t="str">
        <f>_xlfn.CONCAT(TEXT(Table1[[#This Row],[Last_Restock_Date]],"mmm"), "-", YEAR(Table1[[#This Row],[Last_Restock_Date]]))</f>
        <v>Jan-2025</v>
      </c>
      <c r="N229">
        <f>MONTH(Table1[[#This Row],[Last_Restock_Date]])</f>
        <v>1</v>
      </c>
      <c r="O229" t="str" cm="1">
        <f t="array" ref="O229">_xlfn.SWITCH(Table1[[#This Row],[Month_Number]],
    1,"Q1",2,"Q1",3,"Q1",
    4,"Q2",5,"Q2",6,"Q2",
    7,"Q3",8,"Q3",9,"Q3",
    10,"Q4",11,"Q4",12,"Q4",
    "Invalid Month"
)</f>
        <v>Q1</v>
      </c>
      <c r="P229" t="str">
        <f>TEXT(Table1[[#This Row],[Last_Restock_Date]],"mmm")</f>
        <v>Jan</v>
      </c>
    </row>
    <row r="230" spans="1:16" x14ac:dyDescent="0.25">
      <c r="A230">
        <v>229</v>
      </c>
      <c r="B230" s="5" t="s">
        <v>40</v>
      </c>
      <c r="C230" s="5" t="s">
        <v>34</v>
      </c>
      <c r="D230" s="5" t="s">
        <v>12</v>
      </c>
      <c r="E230" s="5" t="s">
        <v>13</v>
      </c>
      <c r="F230" s="2">
        <v>343</v>
      </c>
      <c r="G230" s="3">
        <v>406.27</v>
      </c>
      <c r="H230">
        <v>139</v>
      </c>
      <c r="I230">
        <f>IF(Table1[[#This Row],[Status]]= "Sufficient",
     Table1[[#This Row],[Stock_Quantity]] - Table1[[#This Row],[Reorder_Level]],
     0)</f>
        <v>204</v>
      </c>
      <c r="J230" s="4">
        <v>45570</v>
      </c>
      <c r="K230" s="5" t="s">
        <v>14</v>
      </c>
      <c r="L230">
        <f>YEAR(Table1[[#This Row],[Last_Restock_Date]])</f>
        <v>2024</v>
      </c>
      <c r="M230" t="str">
        <f>_xlfn.CONCAT(TEXT(Table1[[#This Row],[Last_Restock_Date]],"mmm"), "-", YEAR(Table1[[#This Row],[Last_Restock_Date]]))</f>
        <v>Oct-2024</v>
      </c>
      <c r="N230">
        <f>MONTH(Table1[[#This Row],[Last_Restock_Date]])</f>
        <v>10</v>
      </c>
      <c r="O230" t="str" cm="1">
        <f t="array" ref="O230">_xlfn.SWITCH(Table1[[#This Row],[Month_Number]],
    1,"Q1",2,"Q1",3,"Q1",
    4,"Q2",5,"Q2",6,"Q2",
    7,"Q3",8,"Q3",9,"Q3",
    10,"Q4",11,"Q4",12,"Q4",
    "Invalid Month"
)</f>
        <v>Q4</v>
      </c>
      <c r="P230" t="str">
        <f>TEXT(Table1[[#This Row],[Last_Restock_Date]],"mmm")</f>
        <v>Oct</v>
      </c>
    </row>
    <row r="231" spans="1:16" x14ac:dyDescent="0.25">
      <c r="A231">
        <v>230</v>
      </c>
      <c r="B231" s="5" t="s">
        <v>43</v>
      </c>
      <c r="C231" s="5" t="s">
        <v>26</v>
      </c>
      <c r="D231" s="5" t="s">
        <v>24</v>
      </c>
      <c r="E231" s="5" t="s">
        <v>27</v>
      </c>
      <c r="F231" s="2">
        <v>12</v>
      </c>
      <c r="G231" s="3">
        <v>735.81</v>
      </c>
      <c r="H231">
        <v>138</v>
      </c>
      <c r="I231">
        <f>IF(Table1[[#This Row],[Status]]= "Sufficient",
     Table1[[#This Row],[Stock_Quantity]] - Table1[[#This Row],[Reorder_Level]],
     0)</f>
        <v>0</v>
      </c>
      <c r="J231" s="4">
        <v>45992</v>
      </c>
      <c r="K231" s="5" t="s">
        <v>28</v>
      </c>
      <c r="L231">
        <f>YEAR(Table1[[#This Row],[Last_Restock_Date]])</f>
        <v>2025</v>
      </c>
      <c r="M231" t="str">
        <f>_xlfn.CONCAT(TEXT(Table1[[#This Row],[Last_Restock_Date]],"mmm"), "-", YEAR(Table1[[#This Row],[Last_Restock_Date]]))</f>
        <v>Dec-2025</v>
      </c>
      <c r="N231">
        <f>MONTH(Table1[[#This Row],[Last_Restock_Date]])</f>
        <v>12</v>
      </c>
      <c r="O231" t="str" cm="1">
        <f t="array" ref="O231">_xlfn.SWITCH(Table1[[#This Row],[Month_Number]],
    1,"Q1",2,"Q1",3,"Q1",
    4,"Q2",5,"Q2",6,"Q2",
    7,"Q3",8,"Q3",9,"Q3",
    10,"Q4",11,"Q4",12,"Q4",
    "Invalid Month"
)</f>
        <v>Q4</v>
      </c>
      <c r="P231" t="str">
        <f>TEXT(Table1[[#This Row],[Last_Restock_Date]],"mmm")</f>
        <v>Dec</v>
      </c>
    </row>
    <row r="232" spans="1:16" x14ac:dyDescent="0.25">
      <c r="A232">
        <v>231</v>
      </c>
      <c r="B232" s="5" t="s">
        <v>31</v>
      </c>
      <c r="C232" s="5" t="s">
        <v>20</v>
      </c>
      <c r="D232" s="5" t="s">
        <v>12</v>
      </c>
      <c r="E232" s="5" t="s">
        <v>18</v>
      </c>
      <c r="F232" s="2">
        <v>24</v>
      </c>
      <c r="G232" s="3">
        <v>442.33</v>
      </c>
      <c r="H232">
        <v>72</v>
      </c>
      <c r="I232">
        <f>IF(Table1[[#This Row],[Status]]= "Sufficient",
     Table1[[#This Row],[Stock_Quantity]] - Table1[[#This Row],[Reorder_Level]],
     0)</f>
        <v>0</v>
      </c>
      <c r="J232" s="4">
        <v>45875</v>
      </c>
      <c r="K232" s="5" t="s">
        <v>28</v>
      </c>
      <c r="L232">
        <f>YEAR(Table1[[#This Row],[Last_Restock_Date]])</f>
        <v>2025</v>
      </c>
      <c r="M232" t="str">
        <f>_xlfn.CONCAT(TEXT(Table1[[#This Row],[Last_Restock_Date]],"mmm"), "-", YEAR(Table1[[#This Row],[Last_Restock_Date]]))</f>
        <v>Aug-2025</v>
      </c>
      <c r="N232">
        <f>MONTH(Table1[[#This Row],[Last_Restock_Date]])</f>
        <v>8</v>
      </c>
      <c r="O232" t="str" cm="1">
        <f t="array" ref="O232">_xlfn.SWITCH(Table1[[#This Row],[Month_Number]],
    1,"Q1",2,"Q1",3,"Q1",
    4,"Q2",5,"Q2",6,"Q2",
    7,"Q3",8,"Q3",9,"Q3",
    10,"Q4",11,"Q4",12,"Q4",
    "Invalid Month"
)</f>
        <v>Q3</v>
      </c>
      <c r="P232" t="str">
        <f>TEXT(Table1[[#This Row],[Last_Restock_Date]],"mmm")</f>
        <v>Aug</v>
      </c>
    </row>
    <row r="233" spans="1:16" x14ac:dyDescent="0.25">
      <c r="A233">
        <v>232</v>
      </c>
      <c r="B233" s="5" t="s">
        <v>38</v>
      </c>
      <c r="C233" s="5" t="s">
        <v>26</v>
      </c>
      <c r="D233" s="5" t="s">
        <v>30</v>
      </c>
      <c r="E233" s="5" t="s">
        <v>32</v>
      </c>
      <c r="F233" s="2">
        <v>388</v>
      </c>
      <c r="G233" s="3">
        <v>566.1</v>
      </c>
      <c r="H233">
        <v>98</v>
      </c>
      <c r="I233">
        <f>IF(Table1[[#This Row],[Status]]= "Sufficient",
     Table1[[#This Row],[Stock_Quantity]] - Table1[[#This Row],[Reorder_Level]],
     0)</f>
        <v>290</v>
      </c>
      <c r="J233" s="4">
        <v>45523</v>
      </c>
      <c r="K233" s="5" t="s">
        <v>14</v>
      </c>
      <c r="L233">
        <f>YEAR(Table1[[#This Row],[Last_Restock_Date]])</f>
        <v>2024</v>
      </c>
      <c r="M233" t="str">
        <f>_xlfn.CONCAT(TEXT(Table1[[#This Row],[Last_Restock_Date]],"mmm"), "-", YEAR(Table1[[#This Row],[Last_Restock_Date]]))</f>
        <v>Aug-2024</v>
      </c>
      <c r="N233">
        <f>MONTH(Table1[[#This Row],[Last_Restock_Date]])</f>
        <v>8</v>
      </c>
      <c r="O233" t="str" cm="1">
        <f t="array" ref="O233">_xlfn.SWITCH(Table1[[#This Row],[Month_Number]],
    1,"Q1",2,"Q1",3,"Q1",
    4,"Q2",5,"Q2",6,"Q2",
    7,"Q3",8,"Q3",9,"Q3",
    10,"Q4",11,"Q4",12,"Q4",
    "Invalid Month"
)</f>
        <v>Q3</v>
      </c>
      <c r="P233" t="str">
        <f>TEXT(Table1[[#This Row],[Last_Restock_Date]],"mmm")</f>
        <v>Aug</v>
      </c>
    </row>
    <row r="234" spans="1:16" x14ac:dyDescent="0.25">
      <c r="A234">
        <v>233</v>
      </c>
      <c r="B234" s="5" t="s">
        <v>25</v>
      </c>
      <c r="C234" s="5" t="s">
        <v>26</v>
      </c>
      <c r="D234" s="5" t="s">
        <v>30</v>
      </c>
      <c r="E234" s="5" t="s">
        <v>27</v>
      </c>
      <c r="F234" s="2">
        <v>201</v>
      </c>
      <c r="G234" s="3">
        <v>94.94</v>
      </c>
      <c r="H234">
        <v>86</v>
      </c>
      <c r="I234">
        <f>IF(Table1[[#This Row],[Status]]= "Sufficient",
     Table1[[#This Row],[Stock_Quantity]] - Table1[[#This Row],[Reorder_Level]],
     0)</f>
        <v>115</v>
      </c>
      <c r="J234" s="4">
        <v>45637</v>
      </c>
      <c r="K234" s="5" t="s">
        <v>14</v>
      </c>
      <c r="L234">
        <f>YEAR(Table1[[#This Row],[Last_Restock_Date]])</f>
        <v>2024</v>
      </c>
      <c r="M234" t="str">
        <f>_xlfn.CONCAT(TEXT(Table1[[#This Row],[Last_Restock_Date]],"mmm"), "-", YEAR(Table1[[#This Row],[Last_Restock_Date]]))</f>
        <v>Dec-2024</v>
      </c>
      <c r="N234">
        <f>MONTH(Table1[[#This Row],[Last_Restock_Date]])</f>
        <v>12</v>
      </c>
      <c r="O234" t="str" cm="1">
        <f t="array" ref="O234">_xlfn.SWITCH(Table1[[#This Row],[Month_Number]],
    1,"Q1",2,"Q1",3,"Q1",
    4,"Q2",5,"Q2",6,"Q2",
    7,"Q3",8,"Q3",9,"Q3",
    10,"Q4",11,"Q4",12,"Q4",
    "Invalid Month"
)</f>
        <v>Q4</v>
      </c>
      <c r="P234" t="str">
        <f>TEXT(Table1[[#This Row],[Last_Restock_Date]],"mmm")</f>
        <v>Dec</v>
      </c>
    </row>
    <row r="235" spans="1:16" x14ac:dyDescent="0.25">
      <c r="A235">
        <v>234</v>
      </c>
      <c r="B235" s="5" t="s">
        <v>50</v>
      </c>
      <c r="C235" s="5" t="s">
        <v>34</v>
      </c>
      <c r="D235" s="5" t="s">
        <v>17</v>
      </c>
      <c r="E235" s="5" t="s">
        <v>39</v>
      </c>
      <c r="F235" s="2">
        <v>435</v>
      </c>
      <c r="G235" s="3">
        <v>455.05</v>
      </c>
      <c r="H235">
        <v>126</v>
      </c>
      <c r="I235">
        <f>IF(Table1[[#This Row],[Status]]= "Sufficient",
     Table1[[#This Row],[Stock_Quantity]] - Table1[[#This Row],[Reorder_Level]],
     0)</f>
        <v>309</v>
      </c>
      <c r="J235" s="4">
        <v>45240</v>
      </c>
      <c r="K235" s="5" t="s">
        <v>14</v>
      </c>
      <c r="L235">
        <f>YEAR(Table1[[#This Row],[Last_Restock_Date]])</f>
        <v>2023</v>
      </c>
      <c r="M235" t="str">
        <f>_xlfn.CONCAT(TEXT(Table1[[#This Row],[Last_Restock_Date]],"mmm"), "-", YEAR(Table1[[#This Row],[Last_Restock_Date]]))</f>
        <v>Nov-2023</v>
      </c>
      <c r="N235">
        <f>MONTH(Table1[[#This Row],[Last_Restock_Date]])</f>
        <v>11</v>
      </c>
      <c r="O235" t="str" cm="1">
        <f t="array" ref="O235">_xlfn.SWITCH(Table1[[#This Row],[Month_Number]],
    1,"Q1",2,"Q1",3,"Q1",
    4,"Q2",5,"Q2",6,"Q2",
    7,"Q3",8,"Q3",9,"Q3",
    10,"Q4",11,"Q4",12,"Q4",
    "Invalid Month"
)</f>
        <v>Q4</v>
      </c>
      <c r="P235" t="str">
        <f>TEXT(Table1[[#This Row],[Last_Restock_Date]],"mmm")</f>
        <v>Nov</v>
      </c>
    </row>
    <row r="236" spans="1:16" x14ac:dyDescent="0.25">
      <c r="A236">
        <v>235</v>
      </c>
      <c r="B236" s="5" t="s">
        <v>51</v>
      </c>
      <c r="C236" s="5" t="s">
        <v>11</v>
      </c>
      <c r="D236" s="5" t="s">
        <v>17</v>
      </c>
      <c r="E236" s="5" t="s">
        <v>13</v>
      </c>
      <c r="F236" s="2">
        <v>152</v>
      </c>
      <c r="G236" s="3">
        <v>74.27</v>
      </c>
      <c r="H236">
        <v>69</v>
      </c>
      <c r="I236">
        <f>IF(Table1[[#This Row],[Status]]= "Sufficient",
     Table1[[#This Row],[Stock_Quantity]] - Table1[[#This Row],[Reorder_Level]],
     0)</f>
        <v>83</v>
      </c>
      <c r="J236" s="4">
        <v>45663</v>
      </c>
      <c r="K236" s="5" t="s">
        <v>14</v>
      </c>
      <c r="L236">
        <f>YEAR(Table1[[#This Row],[Last_Restock_Date]])</f>
        <v>2025</v>
      </c>
      <c r="M236" t="str">
        <f>_xlfn.CONCAT(TEXT(Table1[[#This Row],[Last_Restock_Date]],"mmm"), "-", YEAR(Table1[[#This Row],[Last_Restock_Date]]))</f>
        <v>Jan-2025</v>
      </c>
      <c r="N236">
        <f>MONTH(Table1[[#This Row],[Last_Restock_Date]])</f>
        <v>1</v>
      </c>
      <c r="O236" t="str" cm="1">
        <f t="array" ref="O236">_xlfn.SWITCH(Table1[[#This Row],[Month_Number]],
    1,"Q1",2,"Q1",3,"Q1",
    4,"Q2",5,"Q2",6,"Q2",
    7,"Q3",8,"Q3",9,"Q3",
    10,"Q4",11,"Q4",12,"Q4",
    "Invalid Month"
)</f>
        <v>Q1</v>
      </c>
      <c r="P236" t="str">
        <f>TEXT(Table1[[#This Row],[Last_Restock_Date]],"mmm")</f>
        <v>Jan</v>
      </c>
    </row>
    <row r="237" spans="1:16" x14ac:dyDescent="0.25">
      <c r="A237">
        <v>236</v>
      </c>
      <c r="B237" s="5" t="s">
        <v>36</v>
      </c>
      <c r="C237" s="5" t="s">
        <v>11</v>
      </c>
      <c r="D237" s="5" t="s">
        <v>24</v>
      </c>
      <c r="E237" s="5" t="s">
        <v>13</v>
      </c>
      <c r="F237" s="2">
        <v>121</v>
      </c>
      <c r="G237" s="3">
        <v>424.15</v>
      </c>
      <c r="H237">
        <v>73</v>
      </c>
      <c r="I237">
        <f>IF(Table1[[#This Row],[Status]]= "Sufficient",
     Table1[[#This Row],[Stock_Quantity]] - Table1[[#This Row],[Reorder_Level]],
     0)</f>
        <v>48</v>
      </c>
      <c r="J237" s="4">
        <v>45122</v>
      </c>
      <c r="K237" s="5" t="s">
        <v>14</v>
      </c>
      <c r="L237">
        <f>YEAR(Table1[[#This Row],[Last_Restock_Date]])</f>
        <v>2023</v>
      </c>
      <c r="M237" t="str">
        <f>_xlfn.CONCAT(TEXT(Table1[[#This Row],[Last_Restock_Date]],"mmm"), "-", YEAR(Table1[[#This Row],[Last_Restock_Date]]))</f>
        <v>Jul-2023</v>
      </c>
      <c r="N237">
        <f>MONTH(Table1[[#This Row],[Last_Restock_Date]])</f>
        <v>7</v>
      </c>
      <c r="O237" t="str" cm="1">
        <f t="array" ref="O237">_xlfn.SWITCH(Table1[[#This Row],[Month_Number]],
    1,"Q1",2,"Q1",3,"Q1",
    4,"Q2",5,"Q2",6,"Q2",
    7,"Q3",8,"Q3",9,"Q3",
    10,"Q4",11,"Q4",12,"Q4",
    "Invalid Month"
)</f>
        <v>Q3</v>
      </c>
      <c r="P237" t="str">
        <f>TEXT(Table1[[#This Row],[Last_Restock_Date]],"mmm")</f>
        <v>Jul</v>
      </c>
    </row>
    <row r="238" spans="1:16" x14ac:dyDescent="0.25">
      <c r="A238">
        <v>237</v>
      </c>
      <c r="B238" s="5" t="s">
        <v>46</v>
      </c>
      <c r="C238" s="5" t="s">
        <v>34</v>
      </c>
      <c r="D238" s="5" t="s">
        <v>12</v>
      </c>
      <c r="E238" s="5" t="s">
        <v>18</v>
      </c>
      <c r="F238" s="2">
        <v>23</v>
      </c>
      <c r="G238" s="3">
        <v>259.32</v>
      </c>
      <c r="H238">
        <v>106</v>
      </c>
      <c r="I238">
        <f>IF(Table1[[#This Row],[Status]]= "Sufficient",
     Table1[[#This Row],[Stock_Quantity]] - Table1[[#This Row],[Reorder_Level]],
     0)</f>
        <v>0</v>
      </c>
      <c r="J238" s="4">
        <v>45452</v>
      </c>
      <c r="K238" s="5" t="s">
        <v>28</v>
      </c>
      <c r="L238">
        <f>YEAR(Table1[[#This Row],[Last_Restock_Date]])</f>
        <v>2024</v>
      </c>
      <c r="M238" t="str">
        <f>_xlfn.CONCAT(TEXT(Table1[[#This Row],[Last_Restock_Date]],"mmm"), "-", YEAR(Table1[[#This Row],[Last_Restock_Date]]))</f>
        <v>Jun-2024</v>
      </c>
      <c r="N238">
        <f>MONTH(Table1[[#This Row],[Last_Restock_Date]])</f>
        <v>6</v>
      </c>
      <c r="O238" t="str" cm="1">
        <f t="array" ref="O238">_xlfn.SWITCH(Table1[[#This Row],[Month_Number]],
    1,"Q1",2,"Q1",3,"Q1",
    4,"Q2",5,"Q2",6,"Q2",
    7,"Q3",8,"Q3",9,"Q3",
    10,"Q4",11,"Q4",12,"Q4",
    "Invalid Month"
)</f>
        <v>Q2</v>
      </c>
      <c r="P238" t="str">
        <f>TEXT(Table1[[#This Row],[Last_Restock_Date]],"mmm")</f>
        <v>Jun</v>
      </c>
    </row>
    <row r="239" spans="1:16" x14ac:dyDescent="0.25">
      <c r="A239">
        <v>238</v>
      </c>
      <c r="B239" s="5" t="s">
        <v>52</v>
      </c>
      <c r="C239" s="5" t="s">
        <v>16</v>
      </c>
      <c r="D239" s="5" t="s">
        <v>30</v>
      </c>
      <c r="E239" s="5" t="s">
        <v>13</v>
      </c>
      <c r="F239" s="2">
        <v>439</v>
      </c>
      <c r="G239" s="3">
        <v>665.4</v>
      </c>
      <c r="H239">
        <v>118</v>
      </c>
      <c r="I239">
        <f>IF(Table1[[#This Row],[Status]]= "Sufficient",
     Table1[[#This Row],[Stock_Quantity]] - Table1[[#This Row],[Reorder_Level]],
     0)</f>
        <v>321</v>
      </c>
      <c r="J239" s="4">
        <v>45479</v>
      </c>
      <c r="K239" s="5" t="s">
        <v>14</v>
      </c>
      <c r="L239">
        <f>YEAR(Table1[[#This Row],[Last_Restock_Date]])</f>
        <v>2024</v>
      </c>
      <c r="M239" t="str">
        <f>_xlfn.CONCAT(TEXT(Table1[[#This Row],[Last_Restock_Date]],"mmm"), "-", YEAR(Table1[[#This Row],[Last_Restock_Date]]))</f>
        <v>Jul-2024</v>
      </c>
      <c r="N239">
        <f>MONTH(Table1[[#This Row],[Last_Restock_Date]])</f>
        <v>7</v>
      </c>
      <c r="O239" t="str" cm="1">
        <f t="array" ref="O239">_xlfn.SWITCH(Table1[[#This Row],[Month_Number]],
    1,"Q1",2,"Q1",3,"Q1",
    4,"Q2",5,"Q2",6,"Q2",
    7,"Q3",8,"Q3",9,"Q3",
    10,"Q4",11,"Q4",12,"Q4",
    "Invalid Month"
)</f>
        <v>Q3</v>
      </c>
      <c r="P239" t="str">
        <f>TEXT(Table1[[#This Row],[Last_Restock_Date]],"mmm")</f>
        <v>Jul</v>
      </c>
    </row>
    <row r="240" spans="1:16" x14ac:dyDescent="0.25">
      <c r="A240">
        <v>239</v>
      </c>
      <c r="B240" s="5" t="s">
        <v>36</v>
      </c>
      <c r="C240" s="5" t="s">
        <v>11</v>
      </c>
      <c r="D240" s="5" t="s">
        <v>30</v>
      </c>
      <c r="E240" s="5" t="s">
        <v>37</v>
      </c>
      <c r="F240" s="2">
        <v>110</v>
      </c>
      <c r="G240" s="3">
        <v>310.39</v>
      </c>
      <c r="H240">
        <v>139</v>
      </c>
      <c r="I240">
        <f>IF(Table1[[#This Row],[Status]]= "Sufficient",
     Table1[[#This Row],[Stock_Quantity]] - Table1[[#This Row],[Reorder_Level]],
     0)</f>
        <v>0</v>
      </c>
      <c r="J240" s="4">
        <v>45260</v>
      </c>
      <c r="K240" s="5" t="s">
        <v>28</v>
      </c>
      <c r="L240">
        <f>YEAR(Table1[[#This Row],[Last_Restock_Date]])</f>
        <v>2023</v>
      </c>
      <c r="M240" t="str">
        <f>_xlfn.CONCAT(TEXT(Table1[[#This Row],[Last_Restock_Date]],"mmm"), "-", YEAR(Table1[[#This Row],[Last_Restock_Date]]))</f>
        <v>Nov-2023</v>
      </c>
      <c r="N240">
        <f>MONTH(Table1[[#This Row],[Last_Restock_Date]])</f>
        <v>11</v>
      </c>
      <c r="O240" t="str" cm="1">
        <f t="array" ref="O240">_xlfn.SWITCH(Table1[[#This Row],[Month_Number]],
    1,"Q1",2,"Q1",3,"Q1",
    4,"Q2",5,"Q2",6,"Q2",
    7,"Q3",8,"Q3",9,"Q3",
    10,"Q4",11,"Q4",12,"Q4",
    "Invalid Month"
)</f>
        <v>Q4</v>
      </c>
      <c r="P240" t="str">
        <f>TEXT(Table1[[#This Row],[Last_Restock_Date]],"mmm")</f>
        <v>Nov</v>
      </c>
    </row>
    <row r="241" spans="1:16" x14ac:dyDescent="0.25">
      <c r="A241">
        <v>240</v>
      </c>
      <c r="B241" s="5" t="s">
        <v>42</v>
      </c>
      <c r="C241" s="5" t="s">
        <v>16</v>
      </c>
      <c r="D241" s="5" t="s">
        <v>21</v>
      </c>
      <c r="E241" s="5" t="s">
        <v>37</v>
      </c>
      <c r="F241" s="2">
        <v>499</v>
      </c>
      <c r="G241" s="3">
        <v>435.82</v>
      </c>
      <c r="H241">
        <v>74</v>
      </c>
      <c r="I241">
        <f>IF(Table1[[#This Row],[Status]]= "Sufficient",
     Table1[[#This Row],[Stock_Quantity]] - Table1[[#This Row],[Reorder_Level]],
     0)</f>
        <v>425</v>
      </c>
      <c r="J241" s="4">
        <v>45788</v>
      </c>
      <c r="K241" s="5" t="s">
        <v>14</v>
      </c>
      <c r="L241">
        <f>YEAR(Table1[[#This Row],[Last_Restock_Date]])</f>
        <v>2025</v>
      </c>
      <c r="M241" t="str">
        <f>_xlfn.CONCAT(TEXT(Table1[[#This Row],[Last_Restock_Date]],"mmm"), "-", YEAR(Table1[[#This Row],[Last_Restock_Date]]))</f>
        <v>May-2025</v>
      </c>
      <c r="N241">
        <f>MONTH(Table1[[#This Row],[Last_Restock_Date]])</f>
        <v>5</v>
      </c>
      <c r="O241" t="str" cm="1">
        <f t="array" ref="O241">_xlfn.SWITCH(Table1[[#This Row],[Month_Number]],
    1,"Q1",2,"Q1",3,"Q1",
    4,"Q2",5,"Q2",6,"Q2",
    7,"Q3",8,"Q3",9,"Q3",
    10,"Q4",11,"Q4",12,"Q4",
    "Invalid Month"
)</f>
        <v>Q2</v>
      </c>
      <c r="P241" t="str">
        <f>TEXT(Table1[[#This Row],[Last_Restock_Date]],"mmm")</f>
        <v>May</v>
      </c>
    </row>
    <row r="242" spans="1:16" x14ac:dyDescent="0.25">
      <c r="A242">
        <v>241</v>
      </c>
      <c r="B242" s="5" t="s">
        <v>46</v>
      </c>
      <c r="C242" s="5" t="s">
        <v>34</v>
      </c>
      <c r="D242" s="5" t="s">
        <v>17</v>
      </c>
      <c r="E242" s="5" t="s">
        <v>27</v>
      </c>
      <c r="F242" s="2">
        <v>272</v>
      </c>
      <c r="G242" s="3">
        <v>208.78</v>
      </c>
      <c r="H242">
        <v>64</v>
      </c>
      <c r="I242">
        <f>IF(Table1[[#This Row],[Status]]= "Sufficient",
     Table1[[#This Row],[Stock_Quantity]] - Table1[[#This Row],[Reorder_Level]],
     0)</f>
        <v>208</v>
      </c>
      <c r="J242" s="4">
        <v>45885</v>
      </c>
      <c r="K242" s="5" t="s">
        <v>14</v>
      </c>
      <c r="L242">
        <f>YEAR(Table1[[#This Row],[Last_Restock_Date]])</f>
        <v>2025</v>
      </c>
      <c r="M242" t="str">
        <f>_xlfn.CONCAT(TEXT(Table1[[#This Row],[Last_Restock_Date]],"mmm"), "-", YEAR(Table1[[#This Row],[Last_Restock_Date]]))</f>
        <v>Aug-2025</v>
      </c>
      <c r="N242">
        <f>MONTH(Table1[[#This Row],[Last_Restock_Date]])</f>
        <v>8</v>
      </c>
      <c r="O242" t="str" cm="1">
        <f t="array" ref="O242">_xlfn.SWITCH(Table1[[#This Row],[Month_Number]],
    1,"Q1",2,"Q1",3,"Q1",
    4,"Q2",5,"Q2",6,"Q2",
    7,"Q3",8,"Q3",9,"Q3",
    10,"Q4",11,"Q4",12,"Q4",
    "Invalid Month"
)</f>
        <v>Q3</v>
      </c>
      <c r="P242" t="str">
        <f>TEXT(Table1[[#This Row],[Last_Restock_Date]],"mmm")</f>
        <v>Aug</v>
      </c>
    </row>
    <row r="243" spans="1:16" x14ac:dyDescent="0.25">
      <c r="A243">
        <v>242</v>
      </c>
      <c r="B243" s="5" t="s">
        <v>10</v>
      </c>
      <c r="C243" s="5" t="s">
        <v>11</v>
      </c>
      <c r="D243" s="5" t="s">
        <v>30</v>
      </c>
      <c r="E243" s="5" t="s">
        <v>13</v>
      </c>
      <c r="F243" s="2">
        <v>136</v>
      </c>
      <c r="G243" s="3">
        <v>266.19</v>
      </c>
      <c r="H243">
        <v>139</v>
      </c>
      <c r="I243">
        <f>IF(Table1[[#This Row],[Status]]= "Sufficient",
     Table1[[#This Row],[Stock_Quantity]] - Table1[[#This Row],[Reorder_Level]],
     0)</f>
        <v>0</v>
      </c>
      <c r="J243" s="4">
        <v>45594</v>
      </c>
      <c r="K243" s="5" t="s">
        <v>28</v>
      </c>
      <c r="L243">
        <f>YEAR(Table1[[#This Row],[Last_Restock_Date]])</f>
        <v>2024</v>
      </c>
      <c r="M243" t="str">
        <f>_xlfn.CONCAT(TEXT(Table1[[#This Row],[Last_Restock_Date]],"mmm"), "-", YEAR(Table1[[#This Row],[Last_Restock_Date]]))</f>
        <v>Oct-2024</v>
      </c>
      <c r="N243">
        <f>MONTH(Table1[[#This Row],[Last_Restock_Date]])</f>
        <v>10</v>
      </c>
      <c r="O243" t="str" cm="1">
        <f t="array" ref="O243">_xlfn.SWITCH(Table1[[#This Row],[Month_Number]],
    1,"Q1",2,"Q1",3,"Q1",
    4,"Q2",5,"Q2",6,"Q2",
    7,"Q3",8,"Q3",9,"Q3",
    10,"Q4",11,"Q4",12,"Q4",
    "Invalid Month"
)</f>
        <v>Q4</v>
      </c>
      <c r="P243" t="str">
        <f>TEXT(Table1[[#This Row],[Last_Restock_Date]],"mmm")</f>
        <v>Oct</v>
      </c>
    </row>
    <row r="244" spans="1:16" x14ac:dyDescent="0.25">
      <c r="A244">
        <v>243</v>
      </c>
      <c r="B244" s="5" t="s">
        <v>42</v>
      </c>
      <c r="C244" s="5" t="s">
        <v>16</v>
      </c>
      <c r="D244" s="5" t="s">
        <v>24</v>
      </c>
      <c r="E244" s="5" t="s">
        <v>27</v>
      </c>
      <c r="F244" s="2">
        <v>356</v>
      </c>
      <c r="G244" s="3">
        <v>64.16</v>
      </c>
      <c r="H244">
        <v>52</v>
      </c>
      <c r="I244">
        <f>IF(Table1[[#This Row],[Status]]= "Sufficient",
     Table1[[#This Row],[Stock_Quantity]] - Table1[[#This Row],[Reorder_Level]],
     0)</f>
        <v>304</v>
      </c>
      <c r="J244" s="4">
        <v>45549</v>
      </c>
      <c r="K244" s="5" t="s">
        <v>14</v>
      </c>
      <c r="L244">
        <f>YEAR(Table1[[#This Row],[Last_Restock_Date]])</f>
        <v>2024</v>
      </c>
      <c r="M244" t="str">
        <f>_xlfn.CONCAT(TEXT(Table1[[#This Row],[Last_Restock_Date]],"mmm"), "-", YEAR(Table1[[#This Row],[Last_Restock_Date]]))</f>
        <v>Sep-2024</v>
      </c>
      <c r="N244">
        <f>MONTH(Table1[[#This Row],[Last_Restock_Date]])</f>
        <v>9</v>
      </c>
      <c r="O244" t="str" cm="1">
        <f t="array" ref="O244">_xlfn.SWITCH(Table1[[#This Row],[Month_Number]],
    1,"Q1",2,"Q1",3,"Q1",
    4,"Q2",5,"Q2",6,"Q2",
    7,"Q3",8,"Q3",9,"Q3",
    10,"Q4",11,"Q4",12,"Q4",
    "Invalid Month"
)</f>
        <v>Q3</v>
      </c>
      <c r="P244" t="str">
        <f>TEXT(Table1[[#This Row],[Last_Restock_Date]],"mmm")</f>
        <v>Sep</v>
      </c>
    </row>
    <row r="245" spans="1:16" x14ac:dyDescent="0.25">
      <c r="A245">
        <v>244</v>
      </c>
      <c r="B245" s="5" t="s">
        <v>54</v>
      </c>
      <c r="C245" s="5" t="s">
        <v>20</v>
      </c>
      <c r="D245" s="5" t="s">
        <v>30</v>
      </c>
      <c r="E245" s="5" t="s">
        <v>39</v>
      </c>
      <c r="F245" s="2">
        <v>429</v>
      </c>
      <c r="G245" s="3">
        <v>767.23</v>
      </c>
      <c r="H245">
        <v>108</v>
      </c>
      <c r="I245">
        <f>IF(Table1[[#This Row],[Status]]= "Sufficient",
     Table1[[#This Row],[Stock_Quantity]] - Table1[[#This Row],[Reorder_Level]],
     0)</f>
        <v>321</v>
      </c>
      <c r="J245" s="4">
        <v>45864</v>
      </c>
      <c r="K245" s="5" t="s">
        <v>14</v>
      </c>
      <c r="L245">
        <f>YEAR(Table1[[#This Row],[Last_Restock_Date]])</f>
        <v>2025</v>
      </c>
      <c r="M245" t="str">
        <f>_xlfn.CONCAT(TEXT(Table1[[#This Row],[Last_Restock_Date]],"mmm"), "-", YEAR(Table1[[#This Row],[Last_Restock_Date]]))</f>
        <v>Jul-2025</v>
      </c>
      <c r="N245">
        <f>MONTH(Table1[[#This Row],[Last_Restock_Date]])</f>
        <v>7</v>
      </c>
      <c r="O245" t="str" cm="1">
        <f t="array" ref="O245">_xlfn.SWITCH(Table1[[#This Row],[Month_Number]],
    1,"Q1",2,"Q1",3,"Q1",
    4,"Q2",5,"Q2",6,"Q2",
    7,"Q3",8,"Q3",9,"Q3",
    10,"Q4",11,"Q4",12,"Q4",
    "Invalid Month"
)</f>
        <v>Q3</v>
      </c>
      <c r="P245" t="str">
        <f>TEXT(Table1[[#This Row],[Last_Restock_Date]],"mmm")</f>
        <v>Jul</v>
      </c>
    </row>
    <row r="246" spans="1:16" x14ac:dyDescent="0.25">
      <c r="A246">
        <v>245</v>
      </c>
      <c r="B246" s="5" t="s">
        <v>36</v>
      </c>
      <c r="C246" s="5" t="s">
        <v>11</v>
      </c>
      <c r="D246" s="5" t="s">
        <v>17</v>
      </c>
      <c r="E246" s="5" t="s">
        <v>13</v>
      </c>
      <c r="F246" s="2">
        <v>170</v>
      </c>
      <c r="G246" s="3">
        <v>10.25</v>
      </c>
      <c r="H246">
        <v>133</v>
      </c>
      <c r="I246">
        <f>IF(Table1[[#This Row],[Status]]= "Sufficient",
     Table1[[#This Row],[Stock_Quantity]] - Table1[[#This Row],[Reorder_Level]],
     0)</f>
        <v>37</v>
      </c>
      <c r="J246" s="4">
        <v>45035</v>
      </c>
      <c r="K246" s="5" t="s">
        <v>14</v>
      </c>
      <c r="L246">
        <f>YEAR(Table1[[#This Row],[Last_Restock_Date]])</f>
        <v>2023</v>
      </c>
      <c r="M246" t="str">
        <f>_xlfn.CONCAT(TEXT(Table1[[#This Row],[Last_Restock_Date]],"mmm"), "-", YEAR(Table1[[#This Row],[Last_Restock_Date]]))</f>
        <v>Apr-2023</v>
      </c>
      <c r="N246">
        <f>MONTH(Table1[[#This Row],[Last_Restock_Date]])</f>
        <v>4</v>
      </c>
      <c r="O246" t="str" cm="1">
        <f t="array" ref="O246">_xlfn.SWITCH(Table1[[#This Row],[Month_Number]],
    1,"Q1",2,"Q1",3,"Q1",
    4,"Q2",5,"Q2",6,"Q2",
    7,"Q3",8,"Q3",9,"Q3",
    10,"Q4",11,"Q4",12,"Q4",
    "Invalid Month"
)</f>
        <v>Q2</v>
      </c>
      <c r="P246" t="str">
        <f>TEXT(Table1[[#This Row],[Last_Restock_Date]],"mmm")</f>
        <v>Apr</v>
      </c>
    </row>
    <row r="247" spans="1:16" x14ac:dyDescent="0.25">
      <c r="A247">
        <v>246</v>
      </c>
      <c r="B247" s="5" t="s">
        <v>10</v>
      </c>
      <c r="C247" s="5" t="s">
        <v>11</v>
      </c>
      <c r="D247" s="5" t="s">
        <v>24</v>
      </c>
      <c r="E247" s="5" t="s">
        <v>27</v>
      </c>
      <c r="F247" s="2">
        <v>461</v>
      </c>
      <c r="G247" s="3">
        <v>506.49</v>
      </c>
      <c r="H247">
        <v>95</v>
      </c>
      <c r="I247">
        <f>IF(Table1[[#This Row],[Status]]= "Sufficient",
     Table1[[#This Row],[Stock_Quantity]] - Table1[[#This Row],[Reorder_Level]],
     0)</f>
        <v>366</v>
      </c>
      <c r="J247" s="4">
        <v>45868</v>
      </c>
      <c r="K247" s="5" t="s">
        <v>14</v>
      </c>
      <c r="L247">
        <f>YEAR(Table1[[#This Row],[Last_Restock_Date]])</f>
        <v>2025</v>
      </c>
      <c r="M247" t="str">
        <f>_xlfn.CONCAT(TEXT(Table1[[#This Row],[Last_Restock_Date]],"mmm"), "-", YEAR(Table1[[#This Row],[Last_Restock_Date]]))</f>
        <v>Jul-2025</v>
      </c>
      <c r="N247">
        <f>MONTH(Table1[[#This Row],[Last_Restock_Date]])</f>
        <v>7</v>
      </c>
      <c r="O247" t="str" cm="1">
        <f t="array" ref="O247">_xlfn.SWITCH(Table1[[#This Row],[Month_Number]],
    1,"Q1",2,"Q1",3,"Q1",
    4,"Q2",5,"Q2",6,"Q2",
    7,"Q3",8,"Q3",9,"Q3",
    10,"Q4",11,"Q4",12,"Q4",
    "Invalid Month"
)</f>
        <v>Q3</v>
      </c>
      <c r="P247" t="str">
        <f>TEXT(Table1[[#This Row],[Last_Restock_Date]],"mmm")</f>
        <v>Jul</v>
      </c>
    </row>
    <row r="248" spans="1:16" x14ac:dyDescent="0.25">
      <c r="A248">
        <v>247</v>
      </c>
      <c r="B248" s="5" t="s">
        <v>31</v>
      </c>
      <c r="C248" s="5" t="s">
        <v>20</v>
      </c>
      <c r="D248" s="5" t="s">
        <v>30</v>
      </c>
      <c r="E248" s="5" t="s">
        <v>13</v>
      </c>
      <c r="F248" s="2">
        <v>101</v>
      </c>
      <c r="G248" s="3">
        <v>12.89</v>
      </c>
      <c r="H248">
        <v>86</v>
      </c>
      <c r="I248">
        <f>IF(Table1[[#This Row],[Status]]= "Sufficient",
     Table1[[#This Row],[Stock_Quantity]] - Table1[[#This Row],[Reorder_Level]],
     0)</f>
        <v>15</v>
      </c>
      <c r="J248" s="4">
        <v>45468</v>
      </c>
      <c r="K248" s="5" t="s">
        <v>14</v>
      </c>
      <c r="L248">
        <f>YEAR(Table1[[#This Row],[Last_Restock_Date]])</f>
        <v>2024</v>
      </c>
      <c r="M248" t="str">
        <f>_xlfn.CONCAT(TEXT(Table1[[#This Row],[Last_Restock_Date]],"mmm"), "-", YEAR(Table1[[#This Row],[Last_Restock_Date]]))</f>
        <v>Jun-2024</v>
      </c>
      <c r="N248">
        <f>MONTH(Table1[[#This Row],[Last_Restock_Date]])</f>
        <v>6</v>
      </c>
      <c r="O248" t="str" cm="1">
        <f t="array" ref="O248">_xlfn.SWITCH(Table1[[#This Row],[Month_Number]],
    1,"Q1",2,"Q1",3,"Q1",
    4,"Q2",5,"Q2",6,"Q2",
    7,"Q3",8,"Q3",9,"Q3",
    10,"Q4",11,"Q4",12,"Q4",
    "Invalid Month"
)</f>
        <v>Q2</v>
      </c>
      <c r="P248" t="str">
        <f>TEXT(Table1[[#This Row],[Last_Restock_Date]],"mmm")</f>
        <v>Jun</v>
      </c>
    </row>
    <row r="249" spans="1:16" x14ac:dyDescent="0.25">
      <c r="A249">
        <v>248</v>
      </c>
      <c r="B249" s="5" t="s">
        <v>23</v>
      </c>
      <c r="C249" s="5" t="s">
        <v>20</v>
      </c>
      <c r="D249" s="5" t="s">
        <v>30</v>
      </c>
      <c r="E249" s="5" t="s">
        <v>32</v>
      </c>
      <c r="F249" s="2">
        <v>270</v>
      </c>
      <c r="G249" s="3">
        <v>151.69</v>
      </c>
      <c r="H249">
        <v>54</v>
      </c>
      <c r="I249">
        <f>IF(Table1[[#This Row],[Status]]= "Sufficient",
     Table1[[#This Row],[Stock_Quantity]] - Table1[[#This Row],[Reorder_Level]],
     0)</f>
        <v>216</v>
      </c>
      <c r="J249" s="4">
        <v>45794</v>
      </c>
      <c r="K249" s="5" t="s">
        <v>14</v>
      </c>
      <c r="L249">
        <f>YEAR(Table1[[#This Row],[Last_Restock_Date]])</f>
        <v>2025</v>
      </c>
      <c r="M249" t="str">
        <f>_xlfn.CONCAT(TEXT(Table1[[#This Row],[Last_Restock_Date]],"mmm"), "-", YEAR(Table1[[#This Row],[Last_Restock_Date]]))</f>
        <v>May-2025</v>
      </c>
      <c r="N249">
        <f>MONTH(Table1[[#This Row],[Last_Restock_Date]])</f>
        <v>5</v>
      </c>
      <c r="O249" t="str" cm="1">
        <f t="array" ref="O249">_xlfn.SWITCH(Table1[[#This Row],[Month_Number]],
    1,"Q1",2,"Q1",3,"Q1",
    4,"Q2",5,"Q2",6,"Q2",
    7,"Q3",8,"Q3",9,"Q3",
    10,"Q4",11,"Q4",12,"Q4",
    "Invalid Month"
)</f>
        <v>Q2</v>
      </c>
      <c r="P249" t="str">
        <f>TEXT(Table1[[#This Row],[Last_Restock_Date]],"mmm")</f>
        <v>May</v>
      </c>
    </row>
    <row r="250" spans="1:16" x14ac:dyDescent="0.25">
      <c r="A250">
        <v>249</v>
      </c>
      <c r="B250" s="5" t="s">
        <v>31</v>
      </c>
      <c r="C250" s="5" t="s">
        <v>20</v>
      </c>
      <c r="D250" s="5" t="s">
        <v>24</v>
      </c>
      <c r="E250" s="5" t="s">
        <v>27</v>
      </c>
      <c r="F250" s="2">
        <v>293</v>
      </c>
      <c r="G250" s="3">
        <v>623.52</v>
      </c>
      <c r="H250">
        <v>66</v>
      </c>
      <c r="I250">
        <f>IF(Table1[[#This Row],[Status]]= "Sufficient",
     Table1[[#This Row],[Stock_Quantity]] - Table1[[#This Row],[Reorder_Level]],
     0)</f>
        <v>227</v>
      </c>
      <c r="J250" s="4">
        <v>45720</v>
      </c>
      <c r="K250" s="5" t="s">
        <v>14</v>
      </c>
      <c r="L250">
        <f>YEAR(Table1[[#This Row],[Last_Restock_Date]])</f>
        <v>2025</v>
      </c>
      <c r="M250" t="str">
        <f>_xlfn.CONCAT(TEXT(Table1[[#This Row],[Last_Restock_Date]],"mmm"), "-", YEAR(Table1[[#This Row],[Last_Restock_Date]]))</f>
        <v>Mar-2025</v>
      </c>
      <c r="N250">
        <f>MONTH(Table1[[#This Row],[Last_Restock_Date]])</f>
        <v>3</v>
      </c>
      <c r="O250" t="str" cm="1">
        <f t="array" ref="O250">_xlfn.SWITCH(Table1[[#This Row],[Month_Number]],
    1,"Q1",2,"Q1",3,"Q1",
    4,"Q2",5,"Q2",6,"Q2",
    7,"Q3",8,"Q3",9,"Q3",
    10,"Q4",11,"Q4",12,"Q4",
    "Invalid Month"
)</f>
        <v>Q1</v>
      </c>
      <c r="P250" t="str">
        <f>TEXT(Table1[[#This Row],[Last_Restock_Date]],"mmm")</f>
        <v>Mar</v>
      </c>
    </row>
    <row r="251" spans="1:16" x14ac:dyDescent="0.25">
      <c r="A251">
        <v>250</v>
      </c>
      <c r="B251" s="5" t="s">
        <v>43</v>
      </c>
      <c r="C251" s="5" t="s">
        <v>26</v>
      </c>
      <c r="D251" s="5" t="s">
        <v>24</v>
      </c>
      <c r="E251" s="5" t="s">
        <v>39</v>
      </c>
      <c r="F251" s="2">
        <v>139</v>
      </c>
      <c r="G251" s="3">
        <v>662.48</v>
      </c>
      <c r="H251">
        <v>143</v>
      </c>
      <c r="I251">
        <f>IF(Table1[[#This Row],[Status]]= "Sufficient",
     Table1[[#This Row],[Stock_Quantity]] - Table1[[#This Row],[Reorder_Level]],
     0)</f>
        <v>0</v>
      </c>
      <c r="J251" s="4">
        <v>45553</v>
      </c>
      <c r="K251" s="5" t="s">
        <v>28</v>
      </c>
      <c r="L251">
        <f>YEAR(Table1[[#This Row],[Last_Restock_Date]])</f>
        <v>2024</v>
      </c>
      <c r="M251" t="str">
        <f>_xlfn.CONCAT(TEXT(Table1[[#This Row],[Last_Restock_Date]],"mmm"), "-", YEAR(Table1[[#This Row],[Last_Restock_Date]]))</f>
        <v>Sep-2024</v>
      </c>
      <c r="N251">
        <f>MONTH(Table1[[#This Row],[Last_Restock_Date]])</f>
        <v>9</v>
      </c>
      <c r="O251" t="str" cm="1">
        <f t="array" ref="O251">_xlfn.SWITCH(Table1[[#This Row],[Month_Number]],
    1,"Q1",2,"Q1",3,"Q1",
    4,"Q2",5,"Q2",6,"Q2",
    7,"Q3",8,"Q3",9,"Q3",
    10,"Q4",11,"Q4",12,"Q4",
    "Invalid Month"
)</f>
        <v>Q3</v>
      </c>
      <c r="P251" t="str">
        <f>TEXT(Table1[[#This Row],[Last_Restock_Date]],"mmm")</f>
        <v>Sep</v>
      </c>
    </row>
    <row r="252" spans="1:16" x14ac:dyDescent="0.25">
      <c r="A252">
        <v>251</v>
      </c>
      <c r="B252" s="5" t="s">
        <v>40</v>
      </c>
      <c r="C252" s="5" t="s">
        <v>34</v>
      </c>
      <c r="D252" s="5" t="s">
        <v>21</v>
      </c>
      <c r="E252" s="5" t="s">
        <v>32</v>
      </c>
      <c r="F252" s="2">
        <v>303</v>
      </c>
      <c r="G252" s="3">
        <v>224.39</v>
      </c>
      <c r="H252">
        <v>73</v>
      </c>
      <c r="I252">
        <f>IF(Table1[[#This Row],[Status]]= "Sufficient",
     Table1[[#This Row],[Stock_Quantity]] - Table1[[#This Row],[Reorder_Level]],
     0)</f>
        <v>230</v>
      </c>
      <c r="J252" s="4">
        <v>45482</v>
      </c>
      <c r="K252" s="5" t="s">
        <v>14</v>
      </c>
      <c r="L252">
        <f>YEAR(Table1[[#This Row],[Last_Restock_Date]])</f>
        <v>2024</v>
      </c>
      <c r="M252" t="str">
        <f>_xlfn.CONCAT(TEXT(Table1[[#This Row],[Last_Restock_Date]],"mmm"), "-", YEAR(Table1[[#This Row],[Last_Restock_Date]]))</f>
        <v>Jul-2024</v>
      </c>
      <c r="N252">
        <f>MONTH(Table1[[#This Row],[Last_Restock_Date]])</f>
        <v>7</v>
      </c>
      <c r="O252" t="str" cm="1">
        <f t="array" ref="O252">_xlfn.SWITCH(Table1[[#This Row],[Month_Number]],
    1,"Q1",2,"Q1",3,"Q1",
    4,"Q2",5,"Q2",6,"Q2",
    7,"Q3",8,"Q3",9,"Q3",
    10,"Q4",11,"Q4",12,"Q4",
    "Invalid Month"
)</f>
        <v>Q3</v>
      </c>
      <c r="P252" t="str">
        <f>TEXT(Table1[[#This Row],[Last_Restock_Date]],"mmm")</f>
        <v>Jul</v>
      </c>
    </row>
    <row r="253" spans="1:16" x14ac:dyDescent="0.25">
      <c r="A253">
        <v>252</v>
      </c>
      <c r="B253" s="5" t="s">
        <v>36</v>
      </c>
      <c r="C253" s="5" t="s">
        <v>11</v>
      </c>
      <c r="D253" s="5" t="s">
        <v>17</v>
      </c>
      <c r="E253" s="5" t="s">
        <v>13</v>
      </c>
      <c r="F253" s="2">
        <v>346</v>
      </c>
      <c r="G253" s="3">
        <v>448.73</v>
      </c>
      <c r="H253">
        <v>110</v>
      </c>
      <c r="I253">
        <f>IF(Table1[[#This Row],[Status]]= "Sufficient",
     Table1[[#This Row],[Stock_Quantity]] - Table1[[#This Row],[Reorder_Level]],
     0)</f>
        <v>236</v>
      </c>
      <c r="J253" s="4">
        <v>45939</v>
      </c>
      <c r="K253" s="5" t="s">
        <v>14</v>
      </c>
      <c r="L253">
        <f>YEAR(Table1[[#This Row],[Last_Restock_Date]])</f>
        <v>2025</v>
      </c>
      <c r="M253" t="str">
        <f>_xlfn.CONCAT(TEXT(Table1[[#This Row],[Last_Restock_Date]],"mmm"), "-", YEAR(Table1[[#This Row],[Last_Restock_Date]]))</f>
        <v>Oct-2025</v>
      </c>
      <c r="N253">
        <f>MONTH(Table1[[#This Row],[Last_Restock_Date]])</f>
        <v>10</v>
      </c>
      <c r="O253" t="str" cm="1">
        <f t="array" ref="O253">_xlfn.SWITCH(Table1[[#This Row],[Month_Number]],
    1,"Q1",2,"Q1",3,"Q1",
    4,"Q2",5,"Q2",6,"Q2",
    7,"Q3",8,"Q3",9,"Q3",
    10,"Q4",11,"Q4",12,"Q4",
    "Invalid Month"
)</f>
        <v>Q4</v>
      </c>
      <c r="P253" t="str">
        <f>TEXT(Table1[[#This Row],[Last_Restock_Date]],"mmm")</f>
        <v>Oct</v>
      </c>
    </row>
    <row r="254" spans="1:16" x14ac:dyDescent="0.25">
      <c r="A254">
        <v>253</v>
      </c>
      <c r="B254" s="5" t="s">
        <v>19</v>
      </c>
      <c r="C254" s="5" t="s">
        <v>20</v>
      </c>
      <c r="D254" s="5" t="s">
        <v>12</v>
      </c>
      <c r="E254" s="5" t="s">
        <v>39</v>
      </c>
      <c r="F254" s="2">
        <v>95</v>
      </c>
      <c r="G254" s="3">
        <v>542.29999999999995</v>
      </c>
      <c r="H254">
        <v>77</v>
      </c>
      <c r="I254">
        <f>IF(Table1[[#This Row],[Status]]= "Sufficient",
     Table1[[#This Row],[Stock_Quantity]] - Table1[[#This Row],[Reorder_Level]],
     0)</f>
        <v>18</v>
      </c>
      <c r="J254" s="4">
        <v>45657</v>
      </c>
      <c r="K254" s="5" t="s">
        <v>14</v>
      </c>
      <c r="L254">
        <f>YEAR(Table1[[#This Row],[Last_Restock_Date]])</f>
        <v>2024</v>
      </c>
      <c r="M254" t="str">
        <f>_xlfn.CONCAT(TEXT(Table1[[#This Row],[Last_Restock_Date]],"mmm"), "-", YEAR(Table1[[#This Row],[Last_Restock_Date]]))</f>
        <v>Dec-2024</v>
      </c>
      <c r="N254">
        <f>MONTH(Table1[[#This Row],[Last_Restock_Date]])</f>
        <v>12</v>
      </c>
      <c r="O254" t="str" cm="1">
        <f t="array" ref="O254">_xlfn.SWITCH(Table1[[#This Row],[Month_Number]],
    1,"Q1",2,"Q1",3,"Q1",
    4,"Q2",5,"Q2",6,"Q2",
    7,"Q3",8,"Q3",9,"Q3",
    10,"Q4",11,"Q4",12,"Q4",
    "Invalid Month"
)</f>
        <v>Q4</v>
      </c>
      <c r="P254" t="str">
        <f>TEXT(Table1[[#This Row],[Last_Restock_Date]],"mmm")</f>
        <v>Dec</v>
      </c>
    </row>
    <row r="255" spans="1:16" x14ac:dyDescent="0.25">
      <c r="A255">
        <v>254</v>
      </c>
      <c r="B255" s="5" t="s">
        <v>47</v>
      </c>
      <c r="C255" s="5" t="s">
        <v>20</v>
      </c>
      <c r="D255" s="5" t="s">
        <v>24</v>
      </c>
      <c r="E255" s="5" t="s">
        <v>39</v>
      </c>
      <c r="F255" s="2">
        <v>281</v>
      </c>
      <c r="G255" s="3">
        <v>22.99</v>
      </c>
      <c r="H255">
        <v>75</v>
      </c>
      <c r="I255">
        <f>IF(Table1[[#This Row],[Status]]= "Sufficient",
     Table1[[#This Row],[Stock_Quantity]] - Table1[[#This Row],[Reorder_Level]],
     0)</f>
        <v>206</v>
      </c>
      <c r="J255" s="4">
        <v>45024</v>
      </c>
      <c r="K255" s="5" t="s">
        <v>14</v>
      </c>
      <c r="L255">
        <f>YEAR(Table1[[#This Row],[Last_Restock_Date]])</f>
        <v>2023</v>
      </c>
      <c r="M255" t="str">
        <f>_xlfn.CONCAT(TEXT(Table1[[#This Row],[Last_Restock_Date]],"mmm"), "-", YEAR(Table1[[#This Row],[Last_Restock_Date]]))</f>
        <v>Apr-2023</v>
      </c>
      <c r="N255">
        <f>MONTH(Table1[[#This Row],[Last_Restock_Date]])</f>
        <v>4</v>
      </c>
      <c r="O255" t="str" cm="1">
        <f t="array" ref="O255">_xlfn.SWITCH(Table1[[#This Row],[Month_Number]],
    1,"Q1",2,"Q1",3,"Q1",
    4,"Q2",5,"Q2",6,"Q2",
    7,"Q3",8,"Q3",9,"Q3",
    10,"Q4",11,"Q4",12,"Q4",
    "Invalid Month"
)</f>
        <v>Q2</v>
      </c>
      <c r="P255" t="str">
        <f>TEXT(Table1[[#This Row],[Last_Restock_Date]],"mmm")</f>
        <v>Apr</v>
      </c>
    </row>
    <row r="256" spans="1:16" x14ac:dyDescent="0.25">
      <c r="A256">
        <v>255</v>
      </c>
      <c r="B256" s="5" t="s">
        <v>47</v>
      </c>
      <c r="C256" s="5" t="s">
        <v>20</v>
      </c>
      <c r="D256" s="5" t="s">
        <v>17</v>
      </c>
      <c r="E256" s="5" t="s">
        <v>39</v>
      </c>
      <c r="F256" s="2">
        <v>381</v>
      </c>
      <c r="G256" s="3">
        <v>284.37</v>
      </c>
      <c r="H256">
        <v>146</v>
      </c>
      <c r="I256">
        <f>IF(Table1[[#This Row],[Status]]= "Sufficient",
     Table1[[#This Row],[Stock_Quantity]] - Table1[[#This Row],[Reorder_Level]],
     0)</f>
        <v>235</v>
      </c>
      <c r="J256" s="4">
        <v>45767</v>
      </c>
      <c r="K256" s="5" t="s">
        <v>14</v>
      </c>
      <c r="L256">
        <f>YEAR(Table1[[#This Row],[Last_Restock_Date]])</f>
        <v>2025</v>
      </c>
      <c r="M256" t="str">
        <f>_xlfn.CONCAT(TEXT(Table1[[#This Row],[Last_Restock_Date]],"mmm"), "-", YEAR(Table1[[#This Row],[Last_Restock_Date]]))</f>
        <v>Apr-2025</v>
      </c>
      <c r="N256">
        <f>MONTH(Table1[[#This Row],[Last_Restock_Date]])</f>
        <v>4</v>
      </c>
      <c r="O256" t="str" cm="1">
        <f t="array" ref="O256">_xlfn.SWITCH(Table1[[#This Row],[Month_Number]],
    1,"Q1",2,"Q1",3,"Q1",
    4,"Q2",5,"Q2",6,"Q2",
    7,"Q3",8,"Q3",9,"Q3",
    10,"Q4",11,"Q4",12,"Q4",
    "Invalid Month"
)</f>
        <v>Q2</v>
      </c>
      <c r="P256" t="str">
        <f>TEXT(Table1[[#This Row],[Last_Restock_Date]],"mmm")</f>
        <v>Apr</v>
      </c>
    </row>
    <row r="257" spans="1:16" x14ac:dyDescent="0.25">
      <c r="A257">
        <v>256</v>
      </c>
      <c r="B257" s="5" t="s">
        <v>41</v>
      </c>
      <c r="C257" s="5" t="s">
        <v>16</v>
      </c>
      <c r="D257" s="5" t="s">
        <v>12</v>
      </c>
      <c r="E257" s="5" t="s">
        <v>18</v>
      </c>
      <c r="F257" s="2">
        <v>112</v>
      </c>
      <c r="G257" s="3">
        <v>509.68</v>
      </c>
      <c r="H257">
        <v>95</v>
      </c>
      <c r="I257">
        <f>IF(Table1[[#This Row],[Status]]= "Sufficient",
     Table1[[#This Row],[Stock_Quantity]] - Table1[[#This Row],[Reorder_Level]],
     0)</f>
        <v>17</v>
      </c>
      <c r="J257" s="4">
        <v>44958</v>
      </c>
      <c r="K257" s="5" t="s">
        <v>14</v>
      </c>
      <c r="L257">
        <f>YEAR(Table1[[#This Row],[Last_Restock_Date]])</f>
        <v>2023</v>
      </c>
      <c r="M257" t="str">
        <f>_xlfn.CONCAT(TEXT(Table1[[#This Row],[Last_Restock_Date]],"mmm"), "-", YEAR(Table1[[#This Row],[Last_Restock_Date]]))</f>
        <v>Feb-2023</v>
      </c>
      <c r="N257">
        <f>MONTH(Table1[[#This Row],[Last_Restock_Date]])</f>
        <v>2</v>
      </c>
      <c r="O257" t="str" cm="1">
        <f t="array" ref="O257">_xlfn.SWITCH(Table1[[#This Row],[Month_Number]],
    1,"Q1",2,"Q1",3,"Q1",
    4,"Q2",5,"Q2",6,"Q2",
    7,"Q3",8,"Q3",9,"Q3",
    10,"Q4",11,"Q4",12,"Q4",
    "Invalid Month"
)</f>
        <v>Q1</v>
      </c>
      <c r="P257" t="str">
        <f>TEXT(Table1[[#This Row],[Last_Restock_Date]],"mmm")</f>
        <v>Feb</v>
      </c>
    </row>
    <row r="258" spans="1:16" x14ac:dyDescent="0.25">
      <c r="A258">
        <v>257</v>
      </c>
      <c r="B258" s="5" t="s">
        <v>36</v>
      </c>
      <c r="C258" s="5" t="s">
        <v>11</v>
      </c>
      <c r="D258" s="5" t="s">
        <v>21</v>
      </c>
      <c r="E258" s="5" t="s">
        <v>13</v>
      </c>
      <c r="F258" s="2">
        <v>194</v>
      </c>
      <c r="G258" s="3">
        <v>221.38</v>
      </c>
      <c r="H258">
        <v>88</v>
      </c>
      <c r="I258">
        <f>IF(Table1[[#This Row],[Status]]= "Sufficient",
     Table1[[#This Row],[Stock_Quantity]] - Table1[[#This Row],[Reorder_Level]],
     0)</f>
        <v>106</v>
      </c>
      <c r="J258" s="4">
        <v>45501</v>
      </c>
      <c r="K258" s="5" t="s">
        <v>14</v>
      </c>
      <c r="L258">
        <f>YEAR(Table1[[#This Row],[Last_Restock_Date]])</f>
        <v>2024</v>
      </c>
      <c r="M258" t="str">
        <f>_xlfn.CONCAT(TEXT(Table1[[#This Row],[Last_Restock_Date]],"mmm"), "-", YEAR(Table1[[#This Row],[Last_Restock_Date]]))</f>
        <v>Jul-2024</v>
      </c>
      <c r="N258">
        <f>MONTH(Table1[[#This Row],[Last_Restock_Date]])</f>
        <v>7</v>
      </c>
      <c r="O258" t="str" cm="1">
        <f t="array" ref="O258">_xlfn.SWITCH(Table1[[#This Row],[Month_Number]],
    1,"Q1",2,"Q1",3,"Q1",
    4,"Q2",5,"Q2",6,"Q2",
    7,"Q3",8,"Q3",9,"Q3",
    10,"Q4",11,"Q4",12,"Q4",
    "Invalid Month"
)</f>
        <v>Q3</v>
      </c>
      <c r="P258" t="str">
        <f>TEXT(Table1[[#This Row],[Last_Restock_Date]],"mmm")</f>
        <v>Jul</v>
      </c>
    </row>
    <row r="259" spans="1:16" x14ac:dyDescent="0.25">
      <c r="A259">
        <v>258</v>
      </c>
      <c r="B259" s="5" t="s">
        <v>47</v>
      </c>
      <c r="C259" s="5" t="s">
        <v>20</v>
      </c>
      <c r="D259" s="5" t="s">
        <v>12</v>
      </c>
      <c r="E259" s="5" t="s">
        <v>37</v>
      </c>
      <c r="F259" s="2">
        <v>4</v>
      </c>
      <c r="G259" s="3">
        <v>75.180000000000007</v>
      </c>
      <c r="H259">
        <v>57</v>
      </c>
      <c r="I259">
        <f>IF(Table1[[#This Row],[Status]]= "Sufficient",
     Table1[[#This Row],[Stock_Quantity]] - Table1[[#This Row],[Reorder_Level]],
     0)</f>
        <v>0</v>
      </c>
      <c r="J259" s="4">
        <v>45680</v>
      </c>
      <c r="K259" s="5" t="s">
        <v>28</v>
      </c>
      <c r="L259">
        <f>YEAR(Table1[[#This Row],[Last_Restock_Date]])</f>
        <v>2025</v>
      </c>
      <c r="M259" t="str">
        <f>_xlfn.CONCAT(TEXT(Table1[[#This Row],[Last_Restock_Date]],"mmm"), "-", YEAR(Table1[[#This Row],[Last_Restock_Date]]))</f>
        <v>Jan-2025</v>
      </c>
      <c r="N259">
        <f>MONTH(Table1[[#This Row],[Last_Restock_Date]])</f>
        <v>1</v>
      </c>
      <c r="O259" t="str" cm="1">
        <f t="array" ref="O259">_xlfn.SWITCH(Table1[[#This Row],[Month_Number]],
    1,"Q1",2,"Q1",3,"Q1",
    4,"Q2",5,"Q2",6,"Q2",
    7,"Q3",8,"Q3",9,"Q3",
    10,"Q4",11,"Q4",12,"Q4",
    "Invalid Month"
)</f>
        <v>Q1</v>
      </c>
      <c r="P259" t="str">
        <f>TEXT(Table1[[#This Row],[Last_Restock_Date]],"mmm")</f>
        <v>Jan</v>
      </c>
    </row>
    <row r="260" spans="1:16" x14ac:dyDescent="0.25">
      <c r="A260">
        <v>259</v>
      </c>
      <c r="B260" s="5" t="s">
        <v>43</v>
      </c>
      <c r="C260" s="5" t="s">
        <v>26</v>
      </c>
      <c r="D260" s="5" t="s">
        <v>30</v>
      </c>
      <c r="E260" s="5" t="s">
        <v>39</v>
      </c>
      <c r="F260" s="2">
        <v>290</v>
      </c>
      <c r="G260" s="3">
        <v>94.73</v>
      </c>
      <c r="H260">
        <v>132</v>
      </c>
      <c r="I260">
        <f>IF(Table1[[#This Row],[Status]]= "Sufficient",
     Table1[[#This Row],[Stock_Quantity]] - Table1[[#This Row],[Reorder_Level]],
     0)</f>
        <v>158</v>
      </c>
      <c r="J260" s="4">
        <v>45697</v>
      </c>
      <c r="K260" s="5" t="s">
        <v>14</v>
      </c>
      <c r="L260">
        <f>YEAR(Table1[[#This Row],[Last_Restock_Date]])</f>
        <v>2025</v>
      </c>
      <c r="M260" t="str">
        <f>_xlfn.CONCAT(TEXT(Table1[[#This Row],[Last_Restock_Date]],"mmm"), "-", YEAR(Table1[[#This Row],[Last_Restock_Date]]))</f>
        <v>Feb-2025</v>
      </c>
      <c r="N260">
        <f>MONTH(Table1[[#This Row],[Last_Restock_Date]])</f>
        <v>2</v>
      </c>
      <c r="O260" t="str" cm="1">
        <f t="array" ref="O260">_xlfn.SWITCH(Table1[[#This Row],[Month_Number]],
    1,"Q1",2,"Q1",3,"Q1",
    4,"Q2",5,"Q2",6,"Q2",
    7,"Q3",8,"Q3",9,"Q3",
    10,"Q4",11,"Q4",12,"Q4",
    "Invalid Month"
)</f>
        <v>Q1</v>
      </c>
      <c r="P260" t="str">
        <f>TEXT(Table1[[#This Row],[Last_Restock_Date]],"mmm")</f>
        <v>Feb</v>
      </c>
    </row>
    <row r="261" spans="1:16" x14ac:dyDescent="0.25">
      <c r="A261">
        <v>260</v>
      </c>
      <c r="B261" s="5" t="s">
        <v>25</v>
      </c>
      <c r="C261" s="5" t="s">
        <v>26</v>
      </c>
      <c r="D261" s="5" t="s">
        <v>17</v>
      </c>
      <c r="E261" s="5" t="s">
        <v>27</v>
      </c>
      <c r="F261" s="2">
        <v>390</v>
      </c>
      <c r="G261" s="3">
        <v>168.29</v>
      </c>
      <c r="H261">
        <v>149</v>
      </c>
      <c r="I261">
        <f>IF(Table1[[#This Row],[Status]]= "Sufficient",
     Table1[[#This Row],[Stock_Quantity]] - Table1[[#This Row],[Reorder_Level]],
     0)</f>
        <v>241</v>
      </c>
      <c r="J261" s="4">
        <v>45353</v>
      </c>
      <c r="K261" s="5" t="s">
        <v>14</v>
      </c>
      <c r="L261">
        <f>YEAR(Table1[[#This Row],[Last_Restock_Date]])</f>
        <v>2024</v>
      </c>
      <c r="M261" t="str">
        <f>_xlfn.CONCAT(TEXT(Table1[[#This Row],[Last_Restock_Date]],"mmm"), "-", YEAR(Table1[[#This Row],[Last_Restock_Date]]))</f>
        <v>Mar-2024</v>
      </c>
      <c r="N261">
        <f>MONTH(Table1[[#This Row],[Last_Restock_Date]])</f>
        <v>3</v>
      </c>
      <c r="O261" t="str" cm="1">
        <f t="array" ref="O261">_xlfn.SWITCH(Table1[[#This Row],[Month_Number]],
    1,"Q1",2,"Q1",3,"Q1",
    4,"Q2",5,"Q2",6,"Q2",
    7,"Q3",8,"Q3",9,"Q3",
    10,"Q4",11,"Q4",12,"Q4",
    "Invalid Month"
)</f>
        <v>Q1</v>
      </c>
      <c r="P261" t="str">
        <f>TEXT(Table1[[#This Row],[Last_Restock_Date]],"mmm")</f>
        <v>Mar</v>
      </c>
    </row>
    <row r="262" spans="1:16" x14ac:dyDescent="0.25">
      <c r="A262">
        <v>261</v>
      </c>
      <c r="B262" s="5" t="s">
        <v>49</v>
      </c>
      <c r="C262" s="5" t="s">
        <v>16</v>
      </c>
      <c r="D262" s="5" t="s">
        <v>21</v>
      </c>
      <c r="E262" s="5" t="s">
        <v>18</v>
      </c>
      <c r="F262" s="2">
        <v>316</v>
      </c>
      <c r="G262" s="3">
        <v>199.7</v>
      </c>
      <c r="H262">
        <v>60</v>
      </c>
      <c r="I262">
        <f>IF(Table1[[#This Row],[Status]]= "Sufficient",
     Table1[[#This Row],[Stock_Quantity]] - Table1[[#This Row],[Reorder_Level]],
     0)</f>
        <v>256</v>
      </c>
      <c r="J262" s="4">
        <v>45397</v>
      </c>
      <c r="K262" s="5" t="s">
        <v>14</v>
      </c>
      <c r="L262">
        <f>YEAR(Table1[[#This Row],[Last_Restock_Date]])</f>
        <v>2024</v>
      </c>
      <c r="M262" t="str">
        <f>_xlfn.CONCAT(TEXT(Table1[[#This Row],[Last_Restock_Date]],"mmm"), "-", YEAR(Table1[[#This Row],[Last_Restock_Date]]))</f>
        <v>Apr-2024</v>
      </c>
      <c r="N262">
        <f>MONTH(Table1[[#This Row],[Last_Restock_Date]])</f>
        <v>4</v>
      </c>
      <c r="O262" t="str" cm="1">
        <f t="array" ref="O262">_xlfn.SWITCH(Table1[[#This Row],[Month_Number]],
    1,"Q1",2,"Q1",3,"Q1",
    4,"Q2",5,"Q2",6,"Q2",
    7,"Q3",8,"Q3",9,"Q3",
    10,"Q4",11,"Q4",12,"Q4",
    "Invalid Month"
)</f>
        <v>Q2</v>
      </c>
      <c r="P262" t="str">
        <f>TEXT(Table1[[#This Row],[Last_Restock_Date]],"mmm")</f>
        <v>Apr</v>
      </c>
    </row>
    <row r="263" spans="1:16" x14ac:dyDescent="0.25">
      <c r="A263">
        <v>262</v>
      </c>
      <c r="B263" s="5" t="s">
        <v>45</v>
      </c>
      <c r="C263" s="5" t="s">
        <v>26</v>
      </c>
      <c r="D263" s="5" t="s">
        <v>17</v>
      </c>
      <c r="E263" s="5" t="s">
        <v>37</v>
      </c>
      <c r="F263" s="2">
        <v>399</v>
      </c>
      <c r="G263" s="3">
        <v>655.33000000000004</v>
      </c>
      <c r="H263">
        <v>50</v>
      </c>
      <c r="I263">
        <f>IF(Table1[[#This Row],[Status]]= "Sufficient",
     Table1[[#This Row],[Stock_Quantity]] - Table1[[#This Row],[Reorder_Level]],
     0)</f>
        <v>349</v>
      </c>
      <c r="J263" s="4">
        <v>45725</v>
      </c>
      <c r="K263" s="5" t="s">
        <v>14</v>
      </c>
      <c r="L263">
        <f>YEAR(Table1[[#This Row],[Last_Restock_Date]])</f>
        <v>2025</v>
      </c>
      <c r="M263" t="str">
        <f>_xlfn.CONCAT(TEXT(Table1[[#This Row],[Last_Restock_Date]],"mmm"), "-", YEAR(Table1[[#This Row],[Last_Restock_Date]]))</f>
        <v>Mar-2025</v>
      </c>
      <c r="N263">
        <f>MONTH(Table1[[#This Row],[Last_Restock_Date]])</f>
        <v>3</v>
      </c>
      <c r="O263" t="str" cm="1">
        <f t="array" ref="O263">_xlfn.SWITCH(Table1[[#This Row],[Month_Number]],
    1,"Q1",2,"Q1",3,"Q1",
    4,"Q2",5,"Q2",6,"Q2",
    7,"Q3",8,"Q3",9,"Q3",
    10,"Q4",11,"Q4",12,"Q4",
    "Invalid Month"
)</f>
        <v>Q1</v>
      </c>
      <c r="P263" t="str">
        <f>TEXT(Table1[[#This Row],[Last_Restock_Date]],"mmm")</f>
        <v>Mar</v>
      </c>
    </row>
    <row r="264" spans="1:16" x14ac:dyDescent="0.25">
      <c r="A264">
        <v>263</v>
      </c>
      <c r="B264" s="5" t="s">
        <v>40</v>
      </c>
      <c r="C264" s="5" t="s">
        <v>34</v>
      </c>
      <c r="D264" s="5" t="s">
        <v>12</v>
      </c>
      <c r="E264" s="5" t="s">
        <v>13</v>
      </c>
      <c r="F264" s="2">
        <v>417</v>
      </c>
      <c r="G264" s="3">
        <v>403.08</v>
      </c>
      <c r="H264">
        <v>147</v>
      </c>
      <c r="I264">
        <f>IF(Table1[[#This Row],[Status]]= "Sufficient",
     Table1[[#This Row],[Stock_Quantity]] - Table1[[#This Row],[Reorder_Level]],
     0)</f>
        <v>270</v>
      </c>
      <c r="J264" s="4">
        <v>45818</v>
      </c>
      <c r="K264" s="5" t="s">
        <v>14</v>
      </c>
      <c r="L264">
        <f>YEAR(Table1[[#This Row],[Last_Restock_Date]])</f>
        <v>2025</v>
      </c>
      <c r="M264" t="str">
        <f>_xlfn.CONCAT(TEXT(Table1[[#This Row],[Last_Restock_Date]],"mmm"), "-", YEAR(Table1[[#This Row],[Last_Restock_Date]]))</f>
        <v>Jun-2025</v>
      </c>
      <c r="N264">
        <f>MONTH(Table1[[#This Row],[Last_Restock_Date]])</f>
        <v>6</v>
      </c>
      <c r="O264" t="str" cm="1">
        <f t="array" ref="O264">_xlfn.SWITCH(Table1[[#This Row],[Month_Number]],
    1,"Q1",2,"Q1",3,"Q1",
    4,"Q2",5,"Q2",6,"Q2",
    7,"Q3",8,"Q3",9,"Q3",
    10,"Q4",11,"Q4",12,"Q4",
    "Invalid Month"
)</f>
        <v>Q2</v>
      </c>
      <c r="P264" t="str">
        <f>TEXT(Table1[[#This Row],[Last_Restock_Date]],"mmm")</f>
        <v>Jun</v>
      </c>
    </row>
    <row r="265" spans="1:16" x14ac:dyDescent="0.25">
      <c r="A265">
        <v>264</v>
      </c>
      <c r="B265" s="5" t="s">
        <v>45</v>
      </c>
      <c r="C265" s="5" t="s">
        <v>26</v>
      </c>
      <c r="D265" s="5" t="s">
        <v>17</v>
      </c>
      <c r="E265" s="5" t="s">
        <v>32</v>
      </c>
      <c r="F265" s="2">
        <v>242</v>
      </c>
      <c r="G265" s="3">
        <v>722.8</v>
      </c>
      <c r="H265">
        <v>125</v>
      </c>
      <c r="I265">
        <f>IF(Table1[[#This Row],[Status]]= "Sufficient",
     Table1[[#This Row],[Stock_Quantity]] - Table1[[#This Row],[Reorder_Level]],
     0)</f>
        <v>117</v>
      </c>
      <c r="J265" s="4">
        <v>46012</v>
      </c>
      <c r="K265" s="5" t="s">
        <v>14</v>
      </c>
      <c r="L265">
        <f>YEAR(Table1[[#This Row],[Last_Restock_Date]])</f>
        <v>2025</v>
      </c>
      <c r="M265" t="str">
        <f>_xlfn.CONCAT(TEXT(Table1[[#This Row],[Last_Restock_Date]],"mmm"), "-", YEAR(Table1[[#This Row],[Last_Restock_Date]]))</f>
        <v>Dec-2025</v>
      </c>
      <c r="N265">
        <f>MONTH(Table1[[#This Row],[Last_Restock_Date]])</f>
        <v>12</v>
      </c>
      <c r="O265" t="str" cm="1">
        <f t="array" ref="O265">_xlfn.SWITCH(Table1[[#This Row],[Month_Number]],
    1,"Q1",2,"Q1",3,"Q1",
    4,"Q2",5,"Q2",6,"Q2",
    7,"Q3",8,"Q3",9,"Q3",
    10,"Q4",11,"Q4",12,"Q4",
    "Invalid Month"
)</f>
        <v>Q4</v>
      </c>
      <c r="P265" t="str">
        <f>TEXT(Table1[[#This Row],[Last_Restock_Date]],"mmm")</f>
        <v>Dec</v>
      </c>
    </row>
    <row r="266" spans="1:16" x14ac:dyDescent="0.25">
      <c r="A266">
        <v>265</v>
      </c>
      <c r="B266" s="5" t="s">
        <v>54</v>
      </c>
      <c r="C266" s="5" t="s">
        <v>20</v>
      </c>
      <c r="D266" s="5" t="s">
        <v>30</v>
      </c>
      <c r="E266" s="5" t="s">
        <v>18</v>
      </c>
      <c r="F266" s="2">
        <v>200</v>
      </c>
      <c r="G266" s="3">
        <v>457.49</v>
      </c>
      <c r="H266">
        <v>52</v>
      </c>
      <c r="I266">
        <f>IF(Table1[[#This Row],[Status]]= "Sufficient",
     Table1[[#This Row],[Stock_Quantity]] - Table1[[#This Row],[Reorder_Level]],
     0)</f>
        <v>148</v>
      </c>
      <c r="J266" s="4">
        <v>45657</v>
      </c>
      <c r="K266" s="5" t="s">
        <v>14</v>
      </c>
      <c r="L266">
        <f>YEAR(Table1[[#This Row],[Last_Restock_Date]])</f>
        <v>2024</v>
      </c>
      <c r="M266" t="str">
        <f>_xlfn.CONCAT(TEXT(Table1[[#This Row],[Last_Restock_Date]],"mmm"), "-", YEAR(Table1[[#This Row],[Last_Restock_Date]]))</f>
        <v>Dec-2024</v>
      </c>
      <c r="N266">
        <f>MONTH(Table1[[#This Row],[Last_Restock_Date]])</f>
        <v>12</v>
      </c>
      <c r="O266" t="str" cm="1">
        <f t="array" ref="O266">_xlfn.SWITCH(Table1[[#This Row],[Month_Number]],
    1,"Q1",2,"Q1",3,"Q1",
    4,"Q2",5,"Q2",6,"Q2",
    7,"Q3",8,"Q3",9,"Q3",
    10,"Q4",11,"Q4",12,"Q4",
    "Invalid Month"
)</f>
        <v>Q4</v>
      </c>
      <c r="P266" t="str">
        <f>TEXT(Table1[[#This Row],[Last_Restock_Date]],"mmm")</f>
        <v>Dec</v>
      </c>
    </row>
    <row r="267" spans="1:16" x14ac:dyDescent="0.25">
      <c r="A267">
        <v>266</v>
      </c>
      <c r="B267" s="5" t="s">
        <v>54</v>
      </c>
      <c r="C267" s="5" t="s">
        <v>20</v>
      </c>
      <c r="D267" s="5" t="s">
        <v>24</v>
      </c>
      <c r="E267" s="5" t="s">
        <v>18</v>
      </c>
      <c r="F267" s="2">
        <v>126</v>
      </c>
      <c r="G267" s="3">
        <v>142.54</v>
      </c>
      <c r="H267">
        <v>52</v>
      </c>
      <c r="I267">
        <f>IF(Table1[[#This Row],[Status]]= "Sufficient",
     Table1[[#This Row],[Stock_Quantity]] - Table1[[#This Row],[Reorder_Level]],
     0)</f>
        <v>74</v>
      </c>
      <c r="J267" s="4">
        <v>45509</v>
      </c>
      <c r="K267" s="5" t="s">
        <v>14</v>
      </c>
      <c r="L267">
        <f>YEAR(Table1[[#This Row],[Last_Restock_Date]])</f>
        <v>2024</v>
      </c>
      <c r="M267" t="str">
        <f>_xlfn.CONCAT(TEXT(Table1[[#This Row],[Last_Restock_Date]],"mmm"), "-", YEAR(Table1[[#This Row],[Last_Restock_Date]]))</f>
        <v>Aug-2024</v>
      </c>
      <c r="N267">
        <f>MONTH(Table1[[#This Row],[Last_Restock_Date]])</f>
        <v>8</v>
      </c>
      <c r="O267" t="str" cm="1">
        <f t="array" ref="O267">_xlfn.SWITCH(Table1[[#This Row],[Month_Number]],
    1,"Q1",2,"Q1",3,"Q1",
    4,"Q2",5,"Q2",6,"Q2",
    7,"Q3",8,"Q3",9,"Q3",
    10,"Q4",11,"Q4",12,"Q4",
    "Invalid Month"
)</f>
        <v>Q3</v>
      </c>
      <c r="P267" t="str">
        <f>TEXT(Table1[[#This Row],[Last_Restock_Date]],"mmm")</f>
        <v>Aug</v>
      </c>
    </row>
    <row r="268" spans="1:16" x14ac:dyDescent="0.25">
      <c r="A268">
        <v>267</v>
      </c>
      <c r="B268" s="5" t="s">
        <v>23</v>
      </c>
      <c r="C268" s="5" t="s">
        <v>20</v>
      </c>
      <c r="D268" s="5" t="s">
        <v>21</v>
      </c>
      <c r="E268" s="5" t="s">
        <v>37</v>
      </c>
      <c r="F268" s="2">
        <v>252</v>
      </c>
      <c r="G268" s="3">
        <v>259.2</v>
      </c>
      <c r="H268">
        <v>138</v>
      </c>
      <c r="I268">
        <f>IF(Table1[[#This Row],[Status]]= "Sufficient",
     Table1[[#This Row],[Stock_Quantity]] - Table1[[#This Row],[Reorder_Level]],
     0)</f>
        <v>114</v>
      </c>
      <c r="J268" s="4">
        <v>45137</v>
      </c>
      <c r="K268" s="5" t="s">
        <v>14</v>
      </c>
      <c r="L268">
        <f>YEAR(Table1[[#This Row],[Last_Restock_Date]])</f>
        <v>2023</v>
      </c>
      <c r="M268" t="str">
        <f>_xlfn.CONCAT(TEXT(Table1[[#This Row],[Last_Restock_Date]],"mmm"), "-", YEAR(Table1[[#This Row],[Last_Restock_Date]]))</f>
        <v>Jul-2023</v>
      </c>
      <c r="N268">
        <f>MONTH(Table1[[#This Row],[Last_Restock_Date]])</f>
        <v>7</v>
      </c>
      <c r="O268" t="str" cm="1">
        <f t="array" ref="O268">_xlfn.SWITCH(Table1[[#This Row],[Month_Number]],
    1,"Q1",2,"Q1",3,"Q1",
    4,"Q2",5,"Q2",6,"Q2",
    7,"Q3",8,"Q3",9,"Q3",
    10,"Q4",11,"Q4",12,"Q4",
    "Invalid Month"
)</f>
        <v>Q3</v>
      </c>
      <c r="P268" t="str">
        <f>TEXT(Table1[[#This Row],[Last_Restock_Date]],"mmm")</f>
        <v>Jul</v>
      </c>
    </row>
    <row r="269" spans="1:16" x14ac:dyDescent="0.25">
      <c r="A269">
        <v>268</v>
      </c>
      <c r="B269" s="5" t="s">
        <v>40</v>
      </c>
      <c r="C269" s="5" t="s">
        <v>34</v>
      </c>
      <c r="D269" s="5" t="s">
        <v>30</v>
      </c>
      <c r="E269" s="5" t="s">
        <v>27</v>
      </c>
      <c r="F269" s="2">
        <v>225</v>
      </c>
      <c r="G269" s="3">
        <v>459.28</v>
      </c>
      <c r="H269">
        <v>61</v>
      </c>
      <c r="I269">
        <f>IF(Table1[[#This Row],[Status]]= "Sufficient",
     Table1[[#This Row],[Stock_Quantity]] - Table1[[#This Row],[Reorder_Level]],
     0)</f>
        <v>164</v>
      </c>
      <c r="J269" s="4">
        <v>45793</v>
      </c>
      <c r="K269" s="5" t="s">
        <v>14</v>
      </c>
      <c r="L269">
        <f>YEAR(Table1[[#This Row],[Last_Restock_Date]])</f>
        <v>2025</v>
      </c>
      <c r="M269" t="str">
        <f>_xlfn.CONCAT(TEXT(Table1[[#This Row],[Last_Restock_Date]],"mmm"), "-", YEAR(Table1[[#This Row],[Last_Restock_Date]]))</f>
        <v>May-2025</v>
      </c>
      <c r="N269">
        <f>MONTH(Table1[[#This Row],[Last_Restock_Date]])</f>
        <v>5</v>
      </c>
      <c r="O269" t="str" cm="1">
        <f t="array" ref="O269">_xlfn.SWITCH(Table1[[#This Row],[Month_Number]],
    1,"Q1",2,"Q1",3,"Q1",
    4,"Q2",5,"Q2",6,"Q2",
    7,"Q3",8,"Q3",9,"Q3",
    10,"Q4",11,"Q4",12,"Q4",
    "Invalid Month"
)</f>
        <v>Q2</v>
      </c>
      <c r="P269" t="str">
        <f>TEXT(Table1[[#This Row],[Last_Restock_Date]],"mmm")</f>
        <v>May</v>
      </c>
    </row>
    <row r="270" spans="1:16" x14ac:dyDescent="0.25">
      <c r="A270">
        <v>269</v>
      </c>
      <c r="B270" s="5" t="s">
        <v>25</v>
      </c>
      <c r="C270" s="5" t="s">
        <v>26</v>
      </c>
      <c r="D270" s="5" t="s">
        <v>24</v>
      </c>
      <c r="E270" s="5" t="s">
        <v>37</v>
      </c>
      <c r="F270" s="2">
        <v>134</v>
      </c>
      <c r="G270" s="3">
        <v>533.51</v>
      </c>
      <c r="H270">
        <v>130</v>
      </c>
      <c r="I270">
        <f>IF(Table1[[#This Row],[Status]]= "Sufficient",
     Table1[[#This Row],[Stock_Quantity]] - Table1[[#This Row],[Reorder_Level]],
     0)</f>
        <v>4</v>
      </c>
      <c r="J270" s="4">
        <v>45569</v>
      </c>
      <c r="K270" s="5" t="s">
        <v>14</v>
      </c>
      <c r="L270">
        <f>YEAR(Table1[[#This Row],[Last_Restock_Date]])</f>
        <v>2024</v>
      </c>
      <c r="M270" t="str">
        <f>_xlfn.CONCAT(TEXT(Table1[[#This Row],[Last_Restock_Date]],"mmm"), "-", YEAR(Table1[[#This Row],[Last_Restock_Date]]))</f>
        <v>Oct-2024</v>
      </c>
      <c r="N270">
        <f>MONTH(Table1[[#This Row],[Last_Restock_Date]])</f>
        <v>10</v>
      </c>
      <c r="O270" t="str" cm="1">
        <f t="array" ref="O270">_xlfn.SWITCH(Table1[[#This Row],[Month_Number]],
    1,"Q1",2,"Q1",3,"Q1",
    4,"Q2",5,"Q2",6,"Q2",
    7,"Q3",8,"Q3",9,"Q3",
    10,"Q4",11,"Q4",12,"Q4",
    "Invalid Month"
)</f>
        <v>Q4</v>
      </c>
      <c r="P270" t="str">
        <f>TEXT(Table1[[#This Row],[Last_Restock_Date]],"mmm")</f>
        <v>Oct</v>
      </c>
    </row>
    <row r="271" spans="1:16" x14ac:dyDescent="0.25">
      <c r="A271">
        <v>270</v>
      </c>
      <c r="B271" s="5" t="s">
        <v>51</v>
      </c>
      <c r="C271" s="5" t="s">
        <v>11</v>
      </c>
      <c r="D271" s="5" t="s">
        <v>21</v>
      </c>
      <c r="E271" s="5" t="s">
        <v>18</v>
      </c>
      <c r="F271" s="2">
        <v>12</v>
      </c>
      <c r="G271" s="3">
        <v>173.57</v>
      </c>
      <c r="H271">
        <v>130</v>
      </c>
      <c r="I271">
        <f>IF(Table1[[#This Row],[Status]]= "Sufficient",
     Table1[[#This Row],[Stock_Quantity]] - Table1[[#This Row],[Reorder_Level]],
     0)</f>
        <v>0</v>
      </c>
      <c r="J271" s="4">
        <v>45528</v>
      </c>
      <c r="K271" s="5" t="s">
        <v>28</v>
      </c>
      <c r="L271">
        <f>YEAR(Table1[[#This Row],[Last_Restock_Date]])</f>
        <v>2024</v>
      </c>
      <c r="M271" t="str">
        <f>_xlfn.CONCAT(TEXT(Table1[[#This Row],[Last_Restock_Date]],"mmm"), "-", YEAR(Table1[[#This Row],[Last_Restock_Date]]))</f>
        <v>Aug-2024</v>
      </c>
      <c r="N271">
        <f>MONTH(Table1[[#This Row],[Last_Restock_Date]])</f>
        <v>8</v>
      </c>
      <c r="O271" t="str" cm="1">
        <f t="array" ref="O271">_xlfn.SWITCH(Table1[[#This Row],[Month_Number]],
    1,"Q1",2,"Q1",3,"Q1",
    4,"Q2",5,"Q2",6,"Q2",
    7,"Q3",8,"Q3",9,"Q3",
    10,"Q4",11,"Q4",12,"Q4",
    "Invalid Month"
)</f>
        <v>Q3</v>
      </c>
      <c r="P271" t="str">
        <f>TEXT(Table1[[#This Row],[Last_Restock_Date]],"mmm")</f>
        <v>Aug</v>
      </c>
    </row>
    <row r="272" spans="1:16" x14ac:dyDescent="0.25">
      <c r="A272">
        <v>271</v>
      </c>
      <c r="B272" s="5" t="s">
        <v>25</v>
      </c>
      <c r="C272" s="5" t="s">
        <v>26</v>
      </c>
      <c r="D272" s="5" t="s">
        <v>30</v>
      </c>
      <c r="E272" s="5" t="s">
        <v>27</v>
      </c>
      <c r="F272" s="2">
        <v>37</v>
      </c>
      <c r="G272" s="3">
        <v>321.62</v>
      </c>
      <c r="H272">
        <v>99</v>
      </c>
      <c r="I272">
        <f>IF(Table1[[#This Row],[Status]]= "Sufficient",
     Table1[[#This Row],[Stock_Quantity]] - Table1[[#This Row],[Reorder_Level]],
     0)</f>
        <v>0</v>
      </c>
      <c r="J272" s="4">
        <v>45339</v>
      </c>
      <c r="K272" s="5" t="s">
        <v>28</v>
      </c>
      <c r="L272">
        <f>YEAR(Table1[[#This Row],[Last_Restock_Date]])</f>
        <v>2024</v>
      </c>
      <c r="M272" t="str">
        <f>_xlfn.CONCAT(TEXT(Table1[[#This Row],[Last_Restock_Date]],"mmm"), "-", YEAR(Table1[[#This Row],[Last_Restock_Date]]))</f>
        <v>Feb-2024</v>
      </c>
      <c r="N272">
        <f>MONTH(Table1[[#This Row],[Last_Restock_Date]])</f>
        <v>2</v>
      </c>
      <c r="O272" t="str" cm="1">
        <f t="array" ref="O272">_xlfn.SWITCH(Table1[[#This Row],[Month_Number]],
    1,"Q1",2,"Q1",3,"Q1",
    4,"Q2",5,"Q2",6,"Q2",
    7,"Q3",8,"Q3",9,"Q3",
    10,"Q4",11,"Q4",12,"Q4",
    "Invalid Month"
)</f>
        <v>Q1</v>
      </c>
      <c r="P272" t="str">
        <f>TEXT(Table1[[#This Row],[Last_Restock_Date]],"mmm")</f>
        <v>Feb</v>
      </c>
    </row>
    <row r="273" spans="1:16" x14ac:dyDescent="0.25">
      <c r="A273">
        <v>272</v>
      </c>
      <c r="B273" s="5" t="s">
        <v>29</v>
      </c>
      <c r="C273" s="5" t="s">
        <v>16</v>
      </c>
      <c r="D273" s="5" t="s">
        <v>21</v>
      </c>
      <c r="E273" s="5" t="s">
        <v>39</v>
      </c>
      <c r="F273" s="2">
        <v>348</v>
      </c>
      <c r="G273" s="3">
        <v>87.43</v>
      </c>
      <c r="H273">
        <v>120</v>
      </c>
      <c r="I273">
        <f>IF(Table1[[#This Row],[Status]]= "Sufficient",
     Table1[[#This Row],[Stock_Quantity]] - Table1[[#This Row],[Reorder_Level]],
     0)</f>
        <v>228</v>
      </c>
      <c r="J273" s="4">
        <v>45063</v>
      </c>
      <c r="K273" s="5" t="s">
        <v>14</v>
      </c>
      <c r="L273">
        <f>YEAR(Table1[[#This Row],[Last_Restock_Date]])</f>
        <v>2023</v>
      </c>
      <c r="M273" t="str">
        <f>_xlfn.CONCAT(TEXT(Table1[[#This Row],[Last_Restock_Date]],"mmm"), "-", YEAR(Table1[[#This Row],[Last_Restock_Date]]))</f>
        <v>May-2023</v>
      </c>
      <c r="N273">
        <f>MONTH(Table1[[#This Row],[Last_Restock_Date]])</f>
        <v>5</v>
      </c>
      <c r="O273" t="str" cm="1">
        <f t="array" ref="O273">_xlfn.SWITCH(Table1[[#This Row],[Month_Number]],
    1,"Q1",2,"Q1",3,"Q1",
    4,"Q2",5,"Q2",6,"Q2",
    7,"Q3",8,"Q3",9,"Q3",
    10,"Q4",11,"Q4",12,"Q4",
    "Invalid Month"
)</f>
        <v>Q2</v>
      </c>
      <c r="P273" t="str">
        <f>TEXT(Table1[[#This Row],[Last_Restock_Date]],"mmm")</f>
        <v>May</v>
      </c>
    </row>
    <row r="274" spans="1:16" x14ac:dyDescent="0.25">
      <c r="A274">
        <v>273</v>
      </c>
      <c r="B274" s="5" t="s">
        <v>43</v>
      </c>
      <c r="C274" s="5" t="s">
        <v>26</v>
      </c>
      <c r="D274" s="5" t="s">
        <v>12</v>
      </c>
      <c r="E274" s="5" t="s">
        <v>39</v>
      </c>
      <c r="F274" s="2">
        <v>217</v>
      </c>
      <c r="G274" s="3">
        <v>460.62</v>
      </c>
      <c r="H274">
        <v>94</v>
      </c>
      <c r="I274">
        <f>IF(Table1[[#This Row],[Status]]= "Sufficient",
     Table1[[#This Row],[Stock_Quantity]] - Table1[[#This Row],[Reorder_Level]],
     0)</f>
        <v>123</v>
      </c>
      <c r="J274" s="4">
        <v>45390</v>
      </c>
      <c r="K274" s="5" t="s">
        <v>14</v>
      </c>
      <c r="L274">
        <f>YEAR(Table1[[#This Row],[Last_Restock_Date]])</f>
        <v>2024</v>
      </c>
      <c r="M274" t="str">
        <f>_xlfn.CONCAT(TEXT(Table1[[#This Row],[Last_Restock_Date]],"mmm"), "-", YEAR(Table1[[#This Row],[Last_Restock_Date]]))</f>
        <v>Apr-2024</v>
      </c>
      <c r="N274">
        <f>MONTH(Table1[[#This Row],[Last_Restock_Date]])</f>
        <v>4</v>
      </c>
      <c r="O274" t="str" cm="1">
        <f t="array" ref="O274">_xlfn.SWITCH(Table1[[#This Row],[Month_Number]],
    1,"Q1",2,"Q1",3,"Q1",
    4,"Q2",5,"Q2",6,"Q2",
    7,"Q3",8,"Q3",9,"Q3",
    10,"Q4",11,"Q4",12,"Q4",
    "Invalid Month"
)</f>
        <v>Q2</v>
      </c>
      <c r="P274" t="str">
        <f>TEXT(Table1[[#This Row],[Last_Restock_Date]],"mmm")</f>
        <v>Apr</v>
      </c>
    </row>
    <row r="275" spans="1:16" x14ac:dyDescent="0.25">
      <c r="A275">
        <v>274</v>
      </c>
      <c r="B275" s="5" t="s">
        <v>10</v>
      </c>
      <c r="C275" s="5" t="s">
        <v>11</v>
      </c>
      <c r="D275" s="5" t="s">
        <v>12</v>
      </c>
      <c r="E275" s="5" t="s">
        <v>39</v>
      </c>
      <c r="F275" s="2">
        <v>215</v>
      </c>
      <c r="G275" s="3">
        <v>20.37</v>
      </c>
      <c r="H275">
        <v>125</v>
      </c>
      <c r="I275">
        <f>IF(Table1[[#This Row],[Status]]= "Sufficient",
     Table1[[#This Row],[Stock_Quantity]] - Table1[[#This Row],[Reorder_Level]],
     0)</f>
        <v>90</v>
      </c>
      <c r="J275" s="4">
        <v>45850</v>
      </c>
      <c r="K275" s="5" t="s">
        <v>14</v>
      </c>
      <c r="L275">
        <f>YEAR(Table1[[#This Row],[Last_Restock_Date]])</f>
        <v>2025</v>
      </c>
      <c r="M275" t="str">
        <f>_xlfn.CONCAT(TEXT(Table1[[#This Row],[Last_Restock_Date]],"mmm"), "-", YEAR(Table1[[#This Row],[Last_Restock_Date]]))</f>
        <v>Jul-2025</v>
      </c>
      <c r="N275">
        <f>MONTH(Table1[[#This Row],[Last_Restock_Date]])</f>
        <v>7</v>
      </c>
      <c r="O275" t="str" cm="1">
        <f t="array" ref="O275">_xlfn.SWITCH(Table1[[#This Row],[Month_Number]],
    1,"Q1",2,"Q1",3,"Q1",
    4,"Q2",5,"Q2",6,"Q2",
    7,"Q3",8,"Q3",9,"Q3",
    10,"Q4",11,"Q4",12,"Q4",
    "Invalid Month"
)</f>
        <v>Q3</v>
      </c>
      <c r="P275" t="str">
        <f>TEXT(Table1[[#This Row],[Last_Restock_Date]],"mmm")</f>
        <v>Jul</v>
      </c>
    </row>
    <row r="276" spans="1:16" x14ac:dyDescent="0.25">
      <c r="A276">
        <v>275</v>
      </c>
      <c r="B276" s="5" t="s">
        <v>53</v>
      </c>
      <c r="C276" s="5" t="s">
        <v>26</v>
      </c>
      <c r="D276" s="5" t="s">
        <v>24</v>
      </c>
      <c r="E276" s="5" t="s">
        <v>13</v>
      </c>
      <c r="F276" s="2">
        <v>407</v>
      </c>
      <c r="G276" s="3">
        <v>61.62</v>
      </c>
      <c r="H276">
        <v>58</v>
      </c>
      <c r="I276">
        <f>IF(Table1[[#This Row],[Status]]= "Sufficient",
     Table1[[#This Row],[Stock_Quantity]] - Table1[[#This Row],[Reorder_Level]],
     0)</f>
        <v>349</v>
      </c>
      <c r="J276" s="4">
        <v>45788</v>
      </c>
      <c r="K276" s="5" t="s">
        <v>14</v>
      </c>
      <c r="L276">
        <f>YEAR(Table1[[#This Row],[Last_Restock_Date]])</f>
        <v>2025</v>
      </c>
      <c r="M276" t="str">
        <f>_xlfn.CONCAT(TEXT(Table1[[#This Row],[Last_Restock_Date]],"mmm"), "-", YEAR(Table1[[#This Row],[Last_Restock_Date]]))</f>
        <v>May-2025</v>
      </c>
      <c r="N276">
        <f>MONTH(Table1[[#This Row],[Last_Restock_Date]])</f>
        <v>5</v>
      </c>
      <c r="O276" t="str" cm="1">
        <f t="array" ref="O276">_xlfn.SWITCH(Table1[[#This Row],[Month_Number]],
    1,"Q1",2,"Q1",3,"Q1",
    4,"Q2",5,"Q2",6,"Q2",
    7,"Q3",8,"Q3",9,"Q3",
    10,"Q4",11,"Q4",12,"Q4",
    "Invalid Month"
)</f>
        <v>Q2</v>
      </c>
      <c r="P276" t="str">
        <f>TEXT(Table1[[#This Row],[Last_Restock_Date]],"mmm")</f>
        <v>May</v>
      </c>
    </row>
    <row r="277" spans="1:16" x14ac:dyDescent="0.25">
      <c r="A277">
        <v>276</v>
      </c>
      <c r="B277" s="5" t="s">
        <v>22</v>
      </c>
      <c r="C277" s="5" t="s">
        <v>11</v>
      </c>
      <c r="D277" s="5" t="s">
        <v>30</v>
      </c>
      <c r="E277" s="5" t="s">
        <v>39</v>
      </c>
      <c r="F277" s="2">
        <v>19</v>
      </c>
      <c r="G277" s="3">
        <v>32.700000000000003</v>
      </c>
      <c r="H277">
        <v>54</v>
      </c>
      <c r="I277">
        <f>IF(Table1[[#This Row],[Status]]= "Sufficient",
     Table1[[#This Row],[Stock_Quantity]] - Table1[[#This Row],[Reorder_Level]],
     0)</f>
        <v>0</v>
      </c>
      <c r="J277" s="4">
        <v>45702</v>
      </c>
      <c r="K277" s="5" t="s">
        <v>28</v>
      </c>
      <c r="L277">
        <f>YEAR(Table1[[#This Row],[Last_Restock_Date]])</f>
        <v>2025</v>
      </c>
      <c r="M277" t="str">
        <f>_xlfn.CONCAT(TEXT(Table1[[#This Row],[Last_Restock_Date]],"mmm"), "-", YEAR(Table1[[#This Row],[Last_Restock_Date]]))</f>
        <v>Feb-2025</v>
      </c>
      <c r="N277">
        <f>MONTH(Table1[[#This Row],[Last_Restock_Date]])</f>
        <v>2</v>
      </c>
      <c r="O277" t="str" cm="1">
        <f t="array" ref="O277">_xlfn.SWITCH(Table1[[#This Row],[Month_Number]],
    1,"Q1",2,"Q1",3,"Q1",
    4,"Q2",5,"Q2",6,"Q2",
    7,"Q3",8,"Q3",9,"Q3",
    10,"Q4",11,"Q4",12,"Q4",
    "Invalid Month"
)</f>
        <v>Q1</v>
      </c>
      <c r="P277" t="str">
        <f>TEXT(Table1[[#This Row],[Last_Restock_Date]],"mmm")</f>
        <v>Feb</v>
      </c>
    </row>
    <row r="278" spans="1:16" x14ac:dyDescent="0.25">
      <c r="A278">
        <v>277</v>
      </c>
      <c r="B278" s="5" t="s">
        <v>41</v>
      </c>
      <c r="C278" s="5" t="s">
        <v>16</v>
      </c>
      <c r="D278" s="5" t="s">
        <v>17</v>
      </c>
      <c r="E278" s="5" t="s">
        <v>13</v>
      </c>
      <c r="F278" s="2">
        <v>130</v>
      </c>
      <c r="G278" s="3">
        <v>490.61</v>
      </c>
      <c r="H278">
        <v>120</v>
      </c>
      <c r="I278">
        <f>IF(Table1[[#This Row],[Status]]= "Sufficient",
     Table1[[#This Row],[Stock_Quantity]] - Table1[[#This Row],[Reorder_Level]],
     0)</f>
        <v>10</v>
      </c>
      <c r="J278" s="4">
        <v>45058</v>
      </c>
      <c r="K278" s="5" t="s">
        <v>14</v>
      </c>
      <c r="L278">
        <f>YEAR(Table1[[#This Row],[Last_Restock_Date]])</f>
        <v>2023</v>
      </c>
      <c r="M278" t="str">
        <f>_xlfn.CONCAT(TEXT(Table1[[#This Row],[Last_Restock_Date]],"mmm"), "-", YEAR(Table1[[#This Row],[Last_Restock_Date]]))</f>
        <v>May-2023</v>
      </c>
      <c r="N278">
        <f>MONTH(Table1[[#This Row],[Last_Restock_Date]])</f>
        <v>5</v>
      </c>
      <c r="O278" t="str" cm="1">
        <f t="array" ref="O278">_xlfn.SWITCH(Table1[[#This Row],[Month_Number]],
    1,"Q1",2,"Q1",3,"Q1",
    4,"Q2",5,"Q2",6,"Q2",
    7,"Q3",8,"Q3",9,"Q3",
    10,"Q4",11,"Q4",12,"Q4",
    "Invalid Month"
)</f>
        <v>Q2</v>
      </c>
      <c r="P278" t="str">
        <f>TEXT(Table1[[#This Row],[Last_Restock_Date]],"mmm")</f>
        <v>May</v>
      </c>
    </row>
    <row r="279" spans="1:16" x14ac:dyDescent="0.25">
      <c r="A279">
        <v>278</v>
      </c>
      <c r="B279" s="5" t="s">
        <v>44</v>
      </c>
      <c r="C279" s="5" t="s">
        <v>34</v>
      </c>
      <c r="D279" s="5" t="s">
        <v>21</v>
      </c>
      <c r="E279" s="5" t="s">
        <v>27</v>
      </c>
      <c r="F279" s="2">
        <v>370</v>
      </c>
      <c r="G279" s="3">
        <v>519.04999999999995</v>
      </c>
      <c r="H279">
        <v>145</v>
      </c>
      <c r="I279">
        <f>IF(Table1[[#This Row],[Status]]= "Sufficient",
     Table1[[#This Row],[Stock_Quantity]] - Table1[[#This Row],[Reorder_Level]],
     0)</f>
        <v>225</v>
      </c>
      <c r="J279" s="4">
        <v>45414</v>
      </c>
      <c r="K279" s="5" t="s">
        <v>14</v>
      </c>
      <c r="L279">
        <f>YEAR(Table1[[#This Row],[Last_Restock_Date]])</f>
        <v>2024</v>
      </c>
      <c r="M279" t="str">
        <f>_xlfn.CONCAT(TEXT(Table1[[#This Row],[Last_Restock_Date]],"mmm"), "-", YEAR(Table1[[#This Row],[Last_Restock_Date]]))</f>
        <v>May-2024</v>
      </c>
      <c r="N279">
        <f>MONTH(Table1[[#This Row],[Last_Restock_Date]])</f>
        <v>5</v>
      </c>
      <c r="O279" t="str" cm="1">
        <f t="array" ref="O279">_xlfn.SWITCH(Table1[[#This Row],[Month_Number]],
    1,"Q1",2,"Q1",3,"Q1",
    4,"Q2",5,"Q2",6,"Q2",
    7,"Q3",8,"Q3",9,"Q3",
    10,"Q4",11,"Q4",12,"Q4",
    "Invalid Month"
)</f>
        <v>Q2</v>
      </c>
      <c r="P279" t="str">
        <f>TEXT(Table1[[#This Row],[Last_Restock_Date]],"mmm")</f>
        <v>May</v>
      </c>
    </row>
    <row r="280" spans="1:16" x14ac:dyDescent="0.25">
      <c r="A280">
        <v>279</v>
      </c>
      <c r="B280" s="5" t="s">
        <v>19</v>
      </c>
      <c r="C280" s="5" t="s">
        <v>20</v>
      </c>
      <c r="D280" s="5" t="s">
        <v>12</v>
      </c>
      <c r="E280" s="5" t="s">
        <v>39</v>
      </c>
      <c r="F280" s="2">
        <v>296</v>
      </c>
      <c r="G280" s="3">
        <v>721.44</v>
      </c>
      <c r="H280">
        <v>138</v>
      </c>
      <c r="I280">
        <f>IF(Table1[[#This Row],[Status]]= "Sufficient",
     Table1[[#This Row],[Stock_Quantity]] - Table1[[#This Row],[Reorder_Level]],
     0)</f>
        <v>158</v>
      </c>
      <c r="J280" s="4">
        <v>45522</v>
      </c>
      <c r="K280" s="5" t="s">
        <v>14</v>
      </c>
      <c r="L280">
        <f>YEAR(Table1[[#This Row],[Last_Restock_Date]])</f>
        <v>2024</v>
      </c>
      <c r="M280" t="str">
        <f>_xlfn.CONCAT(TEXT(Table1[[#This Row],[Last_Restock_Date]],"mmm"), "-", YEAR(Table1[[#This Row],[Last_Restock_Date]]))</f>
        <v>Aug-2024</v>
      </c>
      <c r="N280">
        <f>MONTH(Table1[[#This Row],[Last_Restock_Date]])</f>
        <v>8</v>
      </c>
      <c r="O280" t="str" cm="1">
        <f t="array" ref="O280">_xlfn.SWITCH(Table1[[#This Row],[Month_Number]],
    1,"Q1",2,"Q1",3,"Q1",
    4,"Q2",5,"Q2",6,"Q2",
    7,"Q3",8,"Q3",9,"Q3",
    10,"Q4",11,"Q4",12,"Q4",
    "Invalid Month"
)</f>
        <v>Q3</v>
      </c>
      <c r="P280" t="str">
        <f>TEXT(Table1[[#This Row],[Last_Restock_Date]],"mmm")</f>
        <v>Aug</v>
      </c>
    </row>
    <row r="281" spans="1:16" x14ac:dyDescent="0.25">
      <c r="A281">
        <v>280</v>
      </c>
      <c r="B281" s="5" t="s">
        <v>44</v>
      </c>
      <c r="C281" s="5" t="s">
        <v>34</v>
      </c>
      <c r="D281" s="5" t="s">
        <v>24</v>
      </c>
      <c r="E281" s="5" t="s">
        <v>13</v>
      </c>
      <c r="F281" s="2">
        <v>291</v>
      </c>
      <c r="G281" s="3">
        <v>188.46</v>
      </c>
      <c r="H281">
        <v>130</v>
      </c>
      <c r="I281">
        <f>IF(Table1[[#This Row],[Status]]= "Sufficient",
     Table1[[#This Row],[Stock_Quantity]] - Table1[[#This Row],[Reorder_Level]],
     0)</f>
        <v>161</v>
      </c>
      <c r="J281" s="4">
        <v>46008</v>
      </c>
      <c r="K281" s="5" t="s">
        <v>14</v>
      </c>
      <c r="L281">
        <f>YEAR(Table1[[#This Row],[Last_Restock_Date]])</f>
        <v>2025</v>
      </c>
      <c r="M281" t="str">
        <f>_xlfn.CONCAT(TEXT(Table1[[#This Row],[Last_Restock_Date]],"mmm"), "-", YEAR(Table1[[#This Row],[Last_Restock_Date]]))</f>
        <v>Dec-2025</v>
      </c>
      <c r="N281">
        <f>MONTH(Table1[[#This Row],[Last_Restock_Date]])</f>
        <v>12</v>
      </c>
      <c r="O281" t="str" cm="1">
        <f t="array" ref="O281">_xlfn.SWITCH(Table1[[#This Row],[Month_Number]],
    1,"Q1",2,"Q1",3,"Q1",
    4,"Q2",5,"Q2",6,"Q2",
    7,"Q3",8,"Q3",9,"Q3",
    10,"Q4",11,"Q4",12,"Q4",
    "Invalid Month"
)</f>
        <v>Q4</v>
      </c>
      <c r="P281" t="str">
        <f>TEXT(Table1[[#This Row],[Last_Restock_Date]],"mmm")</f>
        <v>Dec</v>
      </c>
    </row>
    <row r="282" spans="1:16" x14ac:dyDescent="0.25">
      <c r="A282">
        <v>281</v>
      </c>
      <c r="B282" s="5" t="s">
        <v>33</v>
      </c>
      <c r="C282" s="5" t="s">
        <v>34</v>
      </c>
      <c r="D282" s="5" t="s">
        <v>17</v>
      </c>
      <c r="E282" s="5" t="s">
        <v>32</v>
      </c>
      <c r="F282" s="2">
        <v>53</v>
      </c>
      <c r="G282" s="3">
        <v>386.37</v>
      </c>
      <c r="H282">
        <v>84</v>
      </c>
      <c r="I282">
        <f>IF(Table1[[#This Row],[Status]]= "Sufficient",
     Table1[[#This Row],[Stock_Quantity]] - Table1[[#This Row],[Reorder_Level]],
     0)</f>
        <v>0</v>
      </c>
      <c r="J282" s="4">
        <v>45145</v>
      </c>
      <c r="K282" s="5" t="s">
        <v>28</v>
      </c>
      <c r="L282">
        <f>YEAR(Table1[[#This Row],[Last_Restock_Date]])</f>
        <v>2023</v>
      </c>
      <c r="M282" t="str">
        <f>_xlfn.CONCAT(TEXT(Table1[[#This Row],[Last_Restock_Date]],"mmm"), "-", YEAR(Table1[[#This Row],[Last_Restock_Date]]))</f>
        <v>Aug-2023</v>
      </c>
      <c r="N282">
        <f>MONTH(Table1[[#This Row],[Last_Restock_Date]])</f>
        <v>8</v>
      </c>
      <c r="O282" t="str" cm="1">
        <f t="array" ref="O282">_xlfn.SWITCH(Table1[[#This Row],[Month_Number]],
    1,"Q1",2,"Q1",3,"Q1",
    4,"Q2",5,"Q2",6,"Q2",
    7,"Q3",8,"Q3",9,"Q3",
    10,"Q4",11,"Q4",12,"Q4",
    "Invalid Month"
)</f>
        <v>Q3</v>
      </c>
      <c r="P282" t="str">
        <f>TEXT(Table1[[#This Row],[Last_Restock_Date]],"mmm")</f>
        <v>Aug</v>
      </c>
    </row>
    <row r="283" spans="1:16" x14ac:dyDescent="0.25">
      <c r="A283">
        <v>282</v>
      </c>
      <c r="B283" s="5" t="s">
        <v>41</v>
      </c>
      <c r="C283" s="5" t="s">
        <v>16</v>
      </c>
      <c r="D283" s="5" t="s">
        <v>21</v>
      </c>
      <c r="E283" s="5" t="s">
        <v>18</v>
      </c>
      <c r="F283" s="2">
        <v>460</v>
      </c>
      <c r="G283" s="3">
        <v>780.33</v>
      </c>
      <c r="H283">
        <v>114</v>
      </c>
      <c r="I283">
        <f>IF(Table1[[#This Row],[Status]]= "Sufficient",
     Table1[[#This Row],[Stock_Quantity]] - Table1[[#This Row],[Reorder_Level]],
     0)</f>
        <v>346</v>
      </c>
      <c r="J283" s="4">
        <v>45007</v>
      </c>
      <c r="K283" s="5" t="s">
        <v>14</v>
      </c>
      <c r="L283">
        <f>YEAR(Table1[[#This Row],[Last_Restock_Date]])</f>
        <v>2023</v>
      </c>
      <c r="M283" t="str">
        <f>_xlfn.CONCAT(TEXT(Table1[[#This Row],[Last_Restock_Date]],"mmm"), "-", YEAR(Table1[[#This Row],[Last_Restock_Date]]))</f>
        <v>Mar-2023</v>
      </c>
      <c r="N283">
        <f>MONTH(Table1[[#This Row],[Last_Restock_Date]])</f>
        <v>3</v>
      </c>
      <c r="O283" t="str" cm="1">
        <f t="array" ref="O283">_xlfn.SWITCH(Table1[[#This Row],[Month_Number]],
    1,"Q1",2,"Q1",3,"Q1",
    4,"Q2",5,"Q2",6,"Q2",
    7,"Q3",8,"Q3",9,"Q3",
    10,"Q4",11,"Q4",12,"Q4",
    "Invalid Month"
)</f>
        <v>Q1</v>
      </c>
      <c r="P283" t="str">
        <f>TEXT(Table1[[#This Row],[Last_Restock_Date]],"mmm")</f>
        <v>Mar</v>
      </c>
    </row>
    <row r="284" spans="1:16" x14ac:dyDescent="0.25">
      <c r="A284">
        <v>283</v>
      </c>
      <c r="B284" s="5" t="s">
        <v>35</v>
      </c>
      <c r="C284" s="5" t="s">
        <v>11</v>
      </c>
      <c r="D284" s="5" t="s">
        <v>21</v>
      </c>
      <c r="E284" s="5" t="s">
        <v>13</v>
      </c>
      <c r="F284" s="2">
        <v>326</v>
      </c>
      <c r="G284" s="3">
        <v>280.67</v>
      </c>
      <c r="H284">
        <v>64</v>
      </c>
      <c r="I284">
        <f>IF(Table1[[#This Row],[Status]]= "Sufficient",
     Table1[[#This Row],[Stock_Quantity]] - Table1[[#This Row],[Reorder_Level]],
     0)</f>
        <v>262</v>
      </c>
      <c r="J284" s="4">
        <v>45285</v>
      </c>
      <c r="K284" s="5" t="s">
        <v>14</v>
      </c>
      <c r="L284">
        <f>YEAR(Table1[[#This Row],[Last_Restock_Date]])</f>
        <v>2023</v>
      </c>
      <c r="M284" t="str">
        <f>_xlfn.CONCAT(TEXT(Table1[[#This Row],[Last_Restock_Date]],"mmm"), "-", YEAR(Table1[[#This Row],[Last_Restock_Date]]))</f>
        <v>Dec-2023</v>
      </c>
      <c r="N284">
        <f>MONTH(Table1[[#This Row],[Last_Restock_Date]])</f>
        <v>12</v>
      </c>
      <c r="O284" t="str" cm="1">
        <f t="array" ref="O284">_xlfn.SWITCH(Table1[[#This Row],[Month_Number]],
    1,"Q1",2,"Q1",3,"Q1",
    4,"Q2",5,"Q2",6,"Q2",
    7,"Q3",8,"Q3",9,"Q3",
    10,"Q4",11,"Q4",12,"Q4",
    "Invalid Month"
)</f>
        <v>Q4</v>
      </c>
      <c r="P284" t="str">
        <f>TEXT(Table1[[#This Row],[Last_Restock_Date]],"mmm")</f>
        <v>Dec</v>
      </c>
    </row>
    <row r="285" spans="1:16" x14ac:dyDescent="0.25">
      <c r="A285">
        <v>284</v>
      </c>
      <c r="B285" s="5" t="s">
        <v>36</v>
      </c>
      <c r="C285" s="5" t="s">
        <v>11</v>
      </c>
      <c r="D285" s="5" t="s">
        <v>30</v>
      </c>
      <c r="E285" s="5" t="s">
        <v>32</v>
      </c>
      <c r="F285" s="2">
        <v>47</v>
      </c>
      <c r="G285" s="3">
        <v>786.09</v>
      </c>
      <c r="H285">
        <v>141</v>
      </c>
      <c r="I285">
        <f>IF(Table1[[#This Row],[Status]]= "Sufficient",
     Table1[[#This Row],[Stock_Quantity]] - Table1[[#This Row],[Reorder_Level]],
     0)</f>
        <v>0</v>
      </c>
      <c r="J285" s="4">
        <v>45894</v>
      </c>
      <c r="K285" s="5" t="s">
        <v>28</v>
      </c>
      <c r="L285">
        <f>YEAR(Table1[[#This Row],[Last_Restock_Date]])</f>
        <v>2025</v>
      </c>
      <c r="M285" t="str">
        <f>_xlfn.CONCAT(TEXT(Table1[[#This Row],[Last_Restock_Date]],"mmm"), "-", YEAR(Table1[[#This Row],[Last_Restock_Date]]))</f>
        <v>Aug-2025</v>
      </c>
      <c r="N285">
        <f>MONTH(Table1[[#This Row],[Last_Restock_Date]])</f>
        <v>8</v>
      </c>
      <c r="O285" t="str" cm="1">
        <f t="array" ref="O285">_xlfn.SWITCH(Table1[[#This Row],[Month_Number]],
    1,"Q1",2,"Q1",3,"Q1",
    4,"Q2",5,"Q2",6,"Q2",
    7,"Q3",8,"Q3",9,"Q3",
    10,"Q4",11,"Q4",12,"Q4",
    "Invalid Month"
)</f>
        <v>Q3</v>
      </c>
      <c r="P285" t="str">
        <f>TEXT(Table1[[#This Row],[Last_Restock_Date]],"mmm")</f>
        <v>Aug</v>
      </c>
    </row>
    <row r="286" spans="1:16" x14ac:dyDescent="0.25">
      <c r="A286">
        <v>285</v>
      </c>
      <c r="B286" s="5" t="s">
        <v>50</v>
      </c>
      <c r="C286" s="5" t="s">
        <v>34</v>
      </c>
      <c r="D286" s="5" t="s">
        <v>12</v>
      </c>
      <c r="E286" s="5" t="s">
        <v>13</v>
      </c>
      <c r="F286" s="2">
        <v>456</v>
      </c>
      <c r="G286" s="3">
        <v>30.22</v>
      </c>
      <c r="H286">
        <v>143</v>
      </c>
      <c r="I286">
        <f>IF(Table1[[#This Row],[Status]]= "Sufficient",
     Table1[[#This Row],[Stock_Quantity]] - Table1[[#This Row],[Reorder_Level]],
     0)</f>
        <v>313</v>
      </c>
      <c r="J286" s="4">
        <v>45408</v>
      </c>
      <c r="K286" s="5" t="s">
        <v>14</v>
      </c>
      <c r="L286">
        <f>YEAR(Table1[[#This Row],[Last_Restock_Date]])</f>
        <v>2024</v>
      </c>
      <c r="M286" t="str">
        <f>_xlfn.CONCAT(TEXT(Table1[[#This Row],[Last_Restock_Date]],"mmm"), "-", YEAR(Table1[[#This Row],[Last_Restock_Date]]))</f>
        <v>Apr-2024</v>
      </c>
      <c r="N286">
        <f>MONTH(Table1[[#This Row],[Last_Restock_Date]])</f>
        <v>4</v>
      </c>
      <c r="O286" t="str" cm="1">
        <f t="array" ref="O286">_xlfn.SWITCH(Table1[[#This Row],[Month_Number]],
    1,"Q1",2,"Q1",3,"Q1",
    4,"Q2",5,"Q2",6,"Q2",
    7,"Q3",8,"Q3",9,"Q3",
    10,"Q4",11,"Q4",12,"Q4",
    "Invalid Month"
)</f>
        <v>Q2</v>
      </c>
      <c r="P286" t="str">
        <f>TEXT(Table1[[#This Row],[Last_Restock_Date]],"mmm")</f>
        <v>Apr</v>
      </c>
    </row>
    <row r="287" spans="1:16" x14ac:dyDescent="0.25">
      <c r="A287">
        <v>286</v>
      </c>
      <c r="B287" s="5" t="s">
        <v>43</v>
      </c>
      <c r="C287" s="5" t="s">
        <v>26</v>
      </c>
      <c r="D287" s="5" t="s">
        <v>24</v>
      </c>
      <c r="E287" s="5" t="s">
        <v>27</v>
      </c>
      <c r="F287" s="2">
        <v>252</v>
      </c>
      <c r="G287" s="3">
        <v>609.59</v>
      </c>
      <c r="H287">
        <v>50</v>
      </c>
      <c r="I287">
        <f>IF(Table1[[#This Row],[Status]]= "Sufficient",
     Table1[[#This Row],[Stock_Quantity]] - Table1[[#This Row],[Reorder_Level]],
     0)</f>
        <v>202</v>
      </c>
      <c r="J287" s="4">
        <v>45499</v>
      </c>
      <c r="K287" s="5" t="s">
        <v>14</v>
      </c>
      <c r="L287">
        <f>YEAR(Table1[[#This Row],[Last_Restock_Date]])</f>
        <v>2024</v>
      </c>
      <c r="M287" t="str">
        <f>_xlfn.CONCAT(TEXT(Table1[[#This Row],[Last_Restock_Date]],"mmm"), "-", YEAR(Table1[[#This Row],[Last_Restock_Date]]))</f>
        <v>Jul-2024</v>
      </c>
      <c r="N287">
        <f>MONTH(Table1[[#This Row],[Last_Restock_Date]])</f>
        <v>7</v>
      </c>
      <c r="O287" t="str" cm="1">
        <f t="array" ref="O287">_xlfn.SWITCH(Table1[[#This Row],[Month_Number]],
    1,"Q1",2,"Q1",3,"Q1",
    4,"Q2",5,"Q2",6,"Q2",
    7,"Q3",8,"Q3",9,"Q3",
    10,"Q4",11,"Q4",12,"Q4",
    "Invalid Month"
)</f>
        <v>Q3</v>
      </c>
      <c r="P287" t="str">
        <f>TEXT(Table1[[#This Row],[Last_Restock_Date]],"mmm")</f>
        <v>Jul</v>
      </c>
    </row>
    <row r="288" spans="1:16" x14ac:dyDescent="0.25">
      <c r="A288">
        <v>287</v>
      </c>
      <c r="B288" s="5" t="s">
        <v>33</v>
      </c>
      <c r="C288" s="5" t="s">
        <v>34</v>
      </c>
      <c r="D288" s="5" t="s">
        <v>30</v>
      </c>
      <c r="E288" s="5" t="s">
        <v>37</v>
      </c>
      <c r="F288" s="2">
        <v>377</v>
      </c>
      <c r="G288" s="3">
        <v>646.72</v>
      </c>
      <c r="H288">
        <v>71</v>
      </c>
      <c r="I288">
        <f>IF(Table1[[#This Row],[Status]]= "Sufficient",
     Table1[[#This Row],[Stock_Quantity]] - Table1[[#This Row],[Reorder_Level]],
     0)</f>
        <v>306</v>
      </c>
      <c r="J288" s="4">
        <v>45560</v>
      </c>
      <c r="K288" s="5" t="s">
        <v>14</v>
      </c>
      <c r="L288">
        <f>YEAR(Table1[[#This Row],[Last_Restock_Date]])</f>
        <v>2024</v>
      </c>
      <c r="M288" t="str">
        <f>_xlfn.CONCAT(TEXT(Table1[[#This Row],[Last_Restock_Date]],"mmm"), "-", YEAR(Table1[[#This Row],[Last_Restock_Date]]))</f>
        <v>Sep-2024</v>
      </c>
      <c r="N288">
        <f>MONTH(Table1[[#This Row],[Last_Restock_Date]])</f>
        <v>9</v>
      </c>
      <c r="O288" t="str" cm="1">
        <f t="array" ref="O288">_xlfn.SWITCH(Table1[[#This Row],[Month_Number]],
    1,"Q1",2,"Q1",3,"Q1",
    4,"Q2",5,"Q2",6,"Q2",
    7,"Q3",8,"Q3",9,"Q3",
    10,"Q4",11,"Q4",12,"Q4",
    "Invalid Month"
)</f>
        <v>Q3</v>
      </c>
      <c r="P288" t="str">
        <f>TEXT(Table1[[#This Row],[Last_Restock_Date]],"mmm")</f>
        <v>Sep</v>
      </c>
    </row>
    <row r="289" spans="1:16" x14ac:dyDescent="0.25">
      <c r="A289">
        <v>288</v>
      </c>
      <c r="B289" s="5" t="s">
        <v>41</v>
      </c>
      <c r="C289" s="5" t="s">
        <v>16</v>
      </c>
      <c r="D289" s="5" t="s">
        <v>21</v>
      </c>
      <c r="E289" s="5" t="s">
        <v>13</v>
      </c>
      <c r="F289" s="2">
        <v>29</v>
      </c>
      <c r="G289" s="3">
        <v>499</v>
      </c>
      <c r="H289">
        <v>61</v>
      </c>
      <c r="I289">
        <f>IF(Table1[[#This Row],[Status]]= "Sufficient",
     Table1[[#This Row],[Stock_Quantity]] - Table1[[#This Row],[Reorder_Level]],
     0)</f>
        <v>0</v>
      </c>
      <c r="J289" s="4">
        <v>45146</v>
      </c>
      <c r="K289" s="5" t="s">
        <v>28</v>
      </c>
      <c r="L289">
        <f>YEAR(Table1[[#This Row],[Last_Restock_Date]])</f>
        <v>2023</v>
      </c>
      <c r="M289" t="str">
        <f>_xlfn.CONCAT(TEXT(Table1[[#This Row],[Last_Restock_Date]],"mmm"), "-", YEAR(Table1[[#This Row],[Last_Restock_Date]]))</f>
        <v>Aug-2023</v>
      </c>
      <c r="N289">
        <f>MONTH(Table1[[#This Row],[Last_Restock_Date]])</f>
        <v>8</v>
      </c>
      <c r="O289" t="str" cm="1">
        <f t="array" ref="O289">_xlfn.SWITCH(Table1[[#This Row],[Month_Number]],
    1,"Q1",2,"Q1",3,"Q1",
    4,"Q2",5,"Q2",6,"Q2",
    7,"Q3",8,"Q3",9,"Q3",
    10,"Q4",11,"Q4",12,"Q4",
    "Invalid Month"
)</f>
        <v>Q3</v>
      </c>
      <c r="P289" t="str">
        <f>TEXT(Table1[[#This Row],[Last_Restock_Date]],"mmm")</f>
        <v>Aug</v>
      </c>
    </row>
    <row r="290" spans="1:16" x14ac:dyDescent="0.25">
      <c r="A290">
        <v>289</v>
      </c>
      <c r="B290" s="5" t="s">
        <v>46</v>
      </c>
      <c r="C290" s="5" t="s">
        <v>34</v>
      </c>
      <c r="D290" s="5" t="s">
        <v>24</v>
      </c>
      <c r="E290" s="5" t="s">
        <v>32</v>
      </c>
      <c r="F290" s="2">
        <v>417</v>
      </c>
      <c r="G290" s="3">
        <v>432.81</v>
      </c>
      <c r="H290">
        <v>145</v>
      </c>
      <c r="I290">
        <f>IF(Table1[[#This Row],[Status]]= "Sufficient",
     Table1[[#This Row],[Stock_Quantity]] - Table1[[#This Row],[Reorder_Level]],
     0)</f>
        <v>272</v>
      </c>
      <c r="J290" s="4">
        <v>46010</v>
      </c>
      <c r="K290" s="5" t="s">
        <v>14</v>
      </c>
      <c r="L290">
        <f>YEAR(Table1[[#This Row],[Last_Restock_Date]])</f>
        <v>2025</v>
      </c>
      <c r="M290" t="str">
        <f>_xlfn.CONCAT(TEXT(Table1[[#This Row],[Last_Restock_Date]],"mmm"), "-", YEAR(Table1[[#This Row],[Last_Restock_Date]]))</f>
        <v>Dec-2025</v>
      </c>
      <c r="N290">
        <f>MONTH(Table1[[#This Row],[Last_Restock_Date]])</f>
        <v>12</v>
      </c>
      <c r="O290" t="str" cm="1">
        <f t="array" ref="O290">_xlfn.SWITCH(Table1[[#This Row],[Month_Number]],
    1,"Q1",2,"Q1",3,"Q1",
    4,"Q2",5,"Q2",6,"Q2",
    7,"Q3",8,"Q3",9,"Q3",
    10,"Q4",11,"Q4",12,"Q4",
    "Invalid Month"
)</f>
        <v>Q4</v>
      </c>
      <c r="P290" t="str">
        <f>TEXT(Table1[[#This Row],[Last_Restock_Date]],"mmm")</f>
        <v>Dec</v>
      </c>
    </row>
    <row r="291" spans="1:16" x14ac:dyDescent="0.25">
      <c r="A291">
        <v>290</v>
      </c>
      <c r="B291" s="5" t="s">
        <v>38</v>
      </c>
      <c r="C291" s="5" t="s">
        <v>26</v>
      </c>
      <c r="D291" s="5" t="s">
        <v>30</v>
      </c>
      <c r="E291" s="5" t="s">
        <v>27</v>
      </c>
      <c r="F291" s="2">
        <v>396</v>
      </c>
      <c r="G291" s="3">
        <v>464.29</v>
      </c>
      <c r="H291">
        <v>75</v>
      </c>
      <c r="I291">
        <f>IF(Table1[[#This Row],[Status]]= "Sufficient",
     Table1[[#This Row],[Stock_Quantity]] - Table1[[#This Row],[Reorder_Level]],
     0)</f>
        <v>321</v>
      </c>
      <c r="J291" s="4">
        <v>45560</v>
      </c>
      <c r="K291" s="5" t="s">
        <v>14</v>
      </c>
      <c r="L291">
        <f>YEAR(Table1[[#This Row],[Last_Restock_Date]])</f>
        <v>2024</v>
      </c>
      <c r="M291" t="str">
        <f>_xlfn.CONCAT(TEXT(Table1[[#This Row],[Last_Restock_Date]],"mmm"), "-", YEAR(Table1[[#This Row],[Last_Restock_Date]]))</f>
        <v>Sep-2024</v>
      </c>
      <c r="N291">
        <f>MONTH(Table1[[#This Row],[Last_Restock_Date]])</f>
        <v>9</v>
      </c>
      <c r="O291" t="str" cm="1">
        <f t="array" ref="O291">_xlfn.SWITCH(Table1[[#This Row],[Month_Number]],
    1,"Q1",2,"Q1",3,"Q1",
    4,"Q2",5,"Q2",6,"Q2",
    7,"Q3",8,"Q3",9,"Q3",
    10,"Q4",11,"Q4",12,"Q4",
    "Invalid Month"
)</f>
        <v>Q3</v>
      </c>
      <c r="P291" t="str">
        <f>TEXT(Table1[[#This Row],[Last_Restock_Date]],"mmm")</f>
        <v>Sep</v>
      </c>
    </row>
    <row r="292" spans="1:16" x14ac:dyDescent="0.25">
      <c r="A292">
        <v>291</v>
      </c>
      <c r="B292" s="5" t="s">
        <v>42</v>
      </c>
      <c r="C292" s="5" t="s">
        <v>16</v>
      </c>
      <c r="D292" s="5" t="s">
        <v>17</v>
      </c>
      <c r="E292" s="5" t="s">
        <v>39</v>
      </c>
      <c r="F292" s="2">
        <v>416</v>
      </c>
      <c r="G292" s="3">
        <v>634.74</v>
      </c>
      <c r="H292">
        <v>93</v>
      </c>
      <c r="I292">
        <f>IF(Table1[[#This Row],[Status]]= "Sufficient",
     Table1[[#This Row],[Stock_Quantity]] - Table1[[#This Row],[Reorder_Level]],
     0)</f>
        <v>323</v>
      </c>
      <c r="J292" s="4">
        <v>45300</v>
      </c>
      <c r="K292" s="5" t="s">
        <v>14</v>
      </c>
      <c r="L292">
        <f>YEAR(Table1[[#This Row],[Last_Restock_Date]])</f>
        <v>2024</v>
      </c>
      <c r="M292" t="str">
        <f>_xlfn.CONCAT(TEXT(Table1[[#This Row],[Last_Restock_Date]],"mmm"), "-", YEAR(Table1[[#This Row],[Last_Restock_Date]]))</f>
        <v>Jan-2024</v>
      </c>
      <c r="N292">
        <f>MONTH(Table1[[#This Row],[Last_Restock_Date]])</f>
        <v>1</v>
      </c>
      <c r="O292" t="str" cm="1">
        <f t="array" ref="O292">_xlfn.SWITCH(Table1[[#This Row],[Month_Number]],
    1,"Q1",2,"Q1",3,"Q1",
    4,"Q2",5,"Q2",6,"Q2",
    7,"Q3",8,"Q3",9,"Q3",
    10,"Q4",11,"Q4",12,"Q4",
    "Invalid Month"
)</f>
        <v>Q1</v>
      </c>
      <c r="P292" t="str">
        <f>TEXT(Table1[[#This Row],[Last_Restock_Date]],"mmm")</f>
        <v>Jan</v>
      </c>
    </row>
    <row r="293" spans="1:16" x14ac:dyDescent="0.25">
      <c r="A293">
        <v>292</v>
      </c>
      <c r="B293" s="5" t="s">
        <v>46</v>
      </c>
      <c r="C293" s="5" t="s">
        <v>34</v>
      </c>
      <c r="D293" s="5" t="s">
        <v>30</v>
      </c>
      <c r="E293" s="5" t="s">
        <v>32</v>
      </c>
      <c r="F293" s="2">
        <v>386</v>
      </c>
      <c r="G293" s="3">
        <v>208.51</v>
      </c>
      <c r="H293">
        <v>109</v>
      </c>
      <c r="I293">
        <f>IF(Table1[[#This Row],[Status]]= "Sufficient",
     Table1[[#This Row],[Stock_Quantity]] - Table1[[#This Row],[Reorder_Level]],
     0)</f>
        <v>277</v>
      </c>
      <c r="J293" s="4">
        <v>45511</v>
      </c>
      <c r="K293" s="5" t="s">
        <v>14</v>
      </c>
      <c r="L293">
        <f>YEAR(Table1[[#This Row],[Last_Restock_Date]])</f>
        <v>2024</v>
      </c>
      <c r="M293" t="str">
        <f>_xlfn.CONCAT(TEXT(Table1[[#This Row],[Last_Restock_Date]],"mmm"), "-", YEAR(Table1[[#This Row],[Last_Restock_Date]]))</f>
        <v>Aug-2024</v>
      </c>
      <c r="N293">
        <f>MONTH(Table1[[#This Row],[Last_Restock_Date]])</f>
        <v>8</v>
      </c>
      <c r="O293" t="str" cm="1">
        <f t="array" ref="O293">_xlfn.SWITCH(Table1[[#This Row],[Month_Number]],
    1,"Q1",2,"Q1",3,"Q1",
    4,"Q2",5,"Q2",6,"Q2",
    7,"Q3",8,"Q3",9,"Q3",
    10,"Q4",11,"Q4",12,"Q4",
    "Invalid Month"
)</f>
        <v>Q3</v>
      </c>
      <c r="P293" t="str">
        <f>TEXT(Table1[[#This Row],[Last_Restock_Date]],"mmm")</f>
        <v>Aug</v>
      </c>
    </row>
    <row r="294" spans="1:16" x14ac:dyDescent="0.25">
      <c r="A294">
        <v>293</v>
      </c>
      <c r="B294" s="5" t="s">
        <v>46</v>
      </c>
      <c r="C294" s="5" t="s">
        <v>34</v>
      </c>
      <c r="D294" s="5" t="s">
        <v>12</v>
      </c>
      <c r="E294" s="5" t="s">
        <v>27</v>
      </c>
      <c r="F294" s="2">
        <v>425</v>
      </c>
      <c r="G294" s="3">
        <v>285.89</v>
      </c>
      <c r="H294">
        <v>115</v>
      </c>
      <c r="I294">
        <f>IF(Table1[[#This Row],[Status]]= "Sufficient",
     Table1[[#This Row],[Stock_Quantity]] - Table1[[#This Row],[Reorder_Level]],
     0)</f>
        <v>310</v>
      </c>
      <c r="J294" s="4">
        <v>45229</v>
      </c>
      <c r="K294" s="5" t="s">
        <v>14</v>
      </c>
      <c r="L294">
        <f>YEAR(Table1[[#This Row],[Last_Restock_Date]])</f>
        <v>2023</v>
      </c>
      <c r="M294" t="str">
        <f>_xlfn.CONCAT(TEXT(Table1[[#This Row],[Last_Restock_Date]],"mmm"), "-", YEAR(Table1[[#This Row],[Last_Restock_Date]]))</f>
        <v>Oct-2023</v>
      </c>
      <c r="N294">
        <f>MONTH(Table1[[#This Row],[Last_Restock_Date]])</f>
        <v>10</v>
      </c>
      <c r="O294" t="str" cm="1">
        <f t="array" ref="O294">_xlfn.SWITCH(Table1[[#This Row],[Month_Number]],
    1,"Q1",2,"Q1",3,"Q1",
    4,"Q2",5,"Q2",6,"Q2",
    7,"Q3",8,"Q3",9,"Q3",
    10,"Q4",11,"Q4",12,"Q4",
    "Invalid Month"
)</f>
        <v>Q4</v>
      </c>
      <c r="P294" t="str">
        <f>TEXT(Table1[[#This Row],[Last_Restock_Date]],"mmm")</f>
        <v>Oct</v>
      </c>
    </row>
    <row r="295" spans="1:16" x14ac:dyDescent="0.25">
      <c r="A295">
        <v>294</v>
      </c>
      <c r="B295" s="5" t="s">
        <v>19</v>
      </c>
      <c r="C295" s="5" t="s">
        <v>20</v>
      </c>
      <c r="D295" s="5" t="s">
        <v>24</v>
      </c>
      <c r="E295" s="5" t="s">
        <v>32</v>
      </c>
      <c r="F295" s="2">
        <v>464</v>
      </c>
      <c r="G295" s="3">
        <v>559.12</v>
      </c>
      <c r="H295">
        <v>140</v>
      </c>
      <c r="I295">
        <f>IF(Table1[[#This Row],[Status]]= "Sufficient",
     Table1[[#This Row],[Stock_Quantity]] - Table1[[#This Row],[Reorder_Level]],
     0)</f>
        <v>324</v>
      </c>
      <c r="J295" s="4">
        <v>45373</v>
      </c>
      <c r="K295" s="5" t="s">
        <v>14</v>
      </c>
      <c r="L295">
        <f>YEAR(Table1[[#This Row],[Last_Restock_Date]])</f>
        <v>2024</v>
      </c>
      <c r="M295" t="str">
        <f>_xlfn.CONCAT(TEXT(Table1[[#This Row],[Last_Restock_Date]],"mmm"), "-", YEAR(Table1[[#This Row],[Last_Restock_Date]]))</f>
        <v>Mar-2024</v>
      </c>
      <c r="N295">
        <f>MONTH(Table1[[#This Row],[Last_Restock_Date]])</f>
        <v>3</v>
      </c>
      <c r="O295" t="str" cm="1">
        <f t="array" ref="O295">_xlfn.SWITCH(Table1[[#This Row],[Month_Number]],
    1,"Q1",2,"Q1",3,"Q1",
    4,"Q2",5,"Q2",6,"Q2",
    7,"Q3",8,"Q3",9,"Q3",
    10,"Q4",11,"Q4",12,"Q4",
    "Invalid Month"
)</f>
        <v>Q1</v>
      </c>
      <c r="P295" t="str">
        <f>TEXT(Table1[[#This Row],[Last_Restock_Date]],"mmm")</f>
        <v>Mar</v>
      </c>
    </row>
    <row r="296" spans="1:16" x14ac:dyDescent="0.25">
      <c r="A296">
        <v>295</v>
      </c>
      <c r="B296" s="5" t="s">
        <v>10</v>
      </c>
      <c r="C296" s="5" t="s">
        <v>11</v>
      </c>
      <c r="D296" s="5" t="s">
        <v>12</v>
      </c>
      <c r="E296" s="5" t="s">
        <v>13</v>
      </c>
      <c r="F296" s="2">
        <v>146</v>
      </c>
      <c r="G296" s="3">
        <v>648.97</v>
      </c>
      <c r="H296">
        <v>50</v>
      </c>
      <c r="I296">
        <f>IF(Table1[[#This Row],[Status]]= "Sufficient",
     Table1[[#This Row],[Stock_Quantity]] - Table1[[#This Row],[Reorder_Level]],
     0)</f>
        <v>96</v>
      </c>
      <c r="J296" s="4">
        <v>45860</v>
      </c>
      <c r="K296" s="5" t="s">
        <v>14</v>
      </c>
      <c r="L296">
        <f>YEAR(Table1[[#This Row],[Last_Restock_Date]])</f>
        <v>2025</v>
      </c>
      <c r="M296" t="str">
        <f>_xlfn.CONCAT(TEXT(Table1[[#This Row],[Last_Restock_Date]],"mmm"), "-", YEAR(Table1[[#This Row],[Last_Restock_Date]]))</f>
        <v>Jul-2025</v>
      </c>
      <c r="N296">
        <f>MONTH(Table1[[#This Row],[Last_Restock_Date]])</f>
        <v>7</v>
      </c>
      <c r="O296" t="str" cm="1">
        <f t="array" ref="O296">_xlfn.SWITCH(Table1[[#This Row],[Month_Number]],
    1,"Q1",2,"Q1",3,"Q1",
    4,"Q2",5,"Q2",6,"Q2",
    7,"Q3",8,"Q3",9,"Q3",
    10,"Q4",11,"Q4",12,"Q4",
    "Invalid Month"
)</f>
        <v>Q3</v>
      </c>
      <c r="P296" t="str">
        <f>TEXT(Table1[[#This Row],[Last_Restock_Date]],"mmm")</f>
        <v>Jul</v>
      </c>
    </row>
    <row r="297" spans="1:16" x14ac:dyDescent="0.25">
      <c r="A297">
        <v>296</v>
      </c>
      <c r="B297" s="5" t="s">
        <v>41</v>
      </c>
      <c r="C297" s="5" t="s">
        <v>16</v>
      </c>
      <c r="D297" s="5" t="s">
        <v>24</v>
      </c>
      <c r="E297" s="5" t="s">
        <v>13</v>
      </c>
      <c r="F297" s="2">
        <v>464</v>
      </c>
      <c r="G297" s="3">
        <v>444.4</v>
      </c>
      <c r="H297">
        <v>50</v>
      </c>
      <c r="I297">
        <f>IF(Table1[[#This Row],[Status]]= "Sufficient",
     Table1[[#This Row],[Stock_Quantity]] - Table1[[#This Row],[Reorder_Level]],
     0)</f>
        <v>414</v>
      </c>
      <c r="J297" s="4">
        <v>45951</v>
      </c>
      <c r="K297" s="5" t="s">
        <v>14</v>
      </c>
      <c r="L297">
        <f>YEAR(Table1[[#This Row],[Last_Restock_Date]])</f>
        <v>2025</v>
      </c>
      <c r="M297" t="str">
        <f>_xlfn.CONCAT(TEXT(Table1[[#This Row],[Last_Restock_Date]],"mmm"), "-", YEAR(Table1[[#This Row],[Last_Restock_Date]]))</f>
        <v>Oct-2025</v>
      </c>
      <c r="N297">
        <f>MONTH(Table1[[#This Row],[Last_Restock_Date]])</f>
        <v>10</v>
      </c>
      <c r="O297" t="str" cm="1">
        <f t="array" ref="O297">_xlfn.SWITCH(Table1[[#This Row],[Month_Number]],
    1,"Q1",2,"Q1",3,"Q1",
    4,"Q2",5,"Q2",6,"Q2",
    7,"Q3",8,"Q3",9,"Q3",
    10,"Q4",11,"Q4",12,"Q4",
    "Invalid Month"
)</f>
        <v>Q4</v>
      </c>
      <c r="P297" t="str">
        <f>TEXT(Table1[[#This Row],[Last_Restock_Date]],"mmm")</f>
        <v>Oct</v>
      </c>
    </row>
    <row r="298" spans="1:16" x14ac:dyDescent="0.25">
      <c r="A298">
        <v>297</v>
      </c>
      <c r="B298" s="5" t="s">
        <v>51</v>
      </c>
      <c r="C298" s="5" t="s">
        <v>11</v>
      </c>
      <c r="D298" s="5" t="s">
        <v>21</v>
      </c>
      <c r="E298" s="5" t="s">
        <v>37</v>
      </c>
      <c r="F298" s="2">
        <v>123</v>
      </c>
      <c r="G298" s="3">
        <v>388.49</v>
      </c>
      <c r="H298">
        <v>124</v>
      </c>
      <c r="I298">
        <f>IF(Table1[[#This Row],[Status]]= "Sufficient",
     Table1[[#This Row],[Stock_Quantity]] - Table1[[#This Row],[Reorder_Level]],
     0)</f>
        <v>0</v>
      </c>
      <c r="J298" s="4">
        <v>45652</v>
      </c>
      <c r="K298" s="5" t="s">
        <v>28</v>
      </c>
      <c r="L298">
        <f>YEAR(Table1[[#This Row],[Last_Restock_Date]])</f>
        <v>2024</v>
      </c>
      <c r="M298" t="str">
        <f>_xlfn.CONCAT(TEXT(Table1[[#This Row],[Last_Restock_Date]],"mmm"), "-", YEAR(Table1[[#This Row],[Last_Restock_Date]]))</f>
        <v>Dec-2024</v>
      </c>
      <c r="N298">
        <f>MONTH(Table1[[#This Row],[Last_Restock_Date]])</f>
        <v>12</v>
      </c>
      <c r="O298" t="str" cm="1">
        <f t="array" ref="O298">_xlfn.SWITCH(Table1[[#This Row],[Month_Number]],
    1,"Q1",2,"Q1",3,"Q1",
    4,"Q2",5,"Q2",6,"Q2",
    7,"Q3",8,"Q3",9,"Q3",
    10,"Q4",11,"Q4",12,"Q4",
    "Invalid Month"
)</f>
        <v>Q4</v>
      </c>
      <c r="P298" t="str">
        <f>TEXT(Table1[[#This Row],[Last_Restock_Date]],"mmm")</f>
        <v>Dec</v>
      </c>
    </row>
    <row r="299" spans="1:16" x14ac:dyDescent="0.25">
      <c r="A299">
        <v>298</v>
      </c>
      <c r="B299" s="5" t="s">
        <v>54</v>
      </c>
      <c r="C299" s="5" t="s">
        <v>20</v>
      </c>
      <c r="D299" s="5" t="s">
        <v>12</v>
      </c>
      <c r="E299" s="5" t="s">
        <v>32</v>
      </c>
      <c r="F299" s="2">
        <v>27</v>
      </c>
      <c r="G299" s="3">
        <v>655.9</v>
      </c>
      <c r="H299">
        <v>131</v>
      </c>
      <c r="I299">
        <f>IF(Table1[[#This Row],[Status]]= "Sufficient",
     Table1[[#This Row],[Stock_Quantity]] - Table1[[#This Row],[Reorder_Level]],
     0)</f>
        <v>0</v>
      </c>
      <c r="J299" s="4">
        <v>45206</v>
      </c>
      <c r="K299" s="5" t="s">
        <v>28</v>
      </c>
      <c r="L299">
        <f>YEAR(Table1[[#This Row],[Last_Restock_Date]])</f>
        <v>2023</v>
      </c>
      <c r="M299" t="str">
        <f>_xlfn.CONCAT(TEXT(Table1[[#This Row],[Last_Restock_Date]],"mmm"), "-", YEAR(Table1[[#This Row],[Last_Restock_Date]]))</f>
        <v>Oct-2023</v>
      </c>
      <c r="N299">
        <f>MONTH(Table1[[#This Row],[Last_Restock_Date]])</f>
        <v>10</v>
      </c>
      <c r="O299" t="str" cm="1">
        <f t="array" ref="O299">_xlfn.SWITCH(Table1[[#This Row],[Month_Number]],
    1,"Q1",2,"Q1",3,"Q1",
    4,"Q2",5,"Q2",6,"Q2",
    7,"Q3",8,"Q3",9,"Q3",
    10,"Q4",11,"Q4",12,"Q4",
    "Invalid Month"
)</f>
        <v>Q4</v>
      </c>
      <c r="P299" t="str">
        <f>TEXT(Table1[[#This Row],[Last_Restock_Date]],"mmm")</f>
        <v>Oct</v>
      </c>
    </row>
    <row r="300" spans="1:16" x14ac:dyDescent="0.25">
      <c r="A300">
        <v>299</v>
      </c>
      <c r="B300" s="5" t="s">
        <v>42</v>
      </c>
      <c r="C300" s="5" t="s">
        <v>16</v>
      </c>
      <c r="D300" s="5" t="s">
        <v>24</v>
      </c>
      <c r="E300" s="5" t="s">
        <v>27</v>
      </c>
      <c r="F300" s="2">
        <v>480</v>
      </c>
      <c r="G300" s="3">
        <v>92.3</v>
      </c>
      <c r="H300">
        <v>51</v>
      </c>
      <c r="I300">
        <f>IF(Table1[[#This Row],[Status]]= "Sufficient",
     Table1[[#This Row],[Stock_Quantity]] - Table1[[#This Row],[Reorder_Level]],
     0)</f>
        <v>429</v>
      </c>
      <c r="J300" s="4">
        <v>45023</v>
      </c>
      <c r="K300" s="5" t="s">
        <v>14</v>
      </c>
      <c r="L300">
        <f>YEAR(Table1[[#This Row],[Last_Restock_Date]])</f>
        <v>2023</v>
      </c>
      <c r="M300" t="str">
        <f>_xlfn.CONCAT(TEXT(Table1[[#This Row],[Last_Restock_Date]],"mmm"), "-", YEAR(Table1[[#This Row],[Last_Restock_Date]]))</f>
        <v>Apr-2023</v>
      </c>
      <c r="N300">
        <f>MONTH(Table1[[#This Row],[Last_Restock_Date]])</f>
        <v>4</v>
      </c>
      <c r="O300" t="str" cm="1">
        <f t="array" ref="O300">_xlfn.SWITCH(Table1[[#This Row],[Month_Number]],
    1,"Q1",2,"Q1",3,"Q1",
    4,"Q2",5,"Q2",6,"Q2",
    7,"Q3",8,"Q3",9,"Q3",
    10,"Q4",11,"Q4",12,"Q4",
    "Invalid Month"
)</f>
        <v>Q2</v>
      </c>
      <c r="P300" t="str">
        <f>TEXT(Table1[[#This Row],[Last_Restock_Date]],"mmm")</f>
        <v>Apr</v>
      </c>
    </row>
    <row r="301" spans="1:16" x14ac:dyDescent="0.25">
      <c r="A301">
        <v>300</v>
      </c>
      <c r="B301" s="5" t="s">
        <v>36</v>
      </c>
      <c r="C301" s="5" t="s">
        <v>11</v>
      </c>
      <c r="D301" s="5" t="s">
        <v>12</v>
      </c>
      <c r="E301" s="5" t="s">
        <v>37</v>
      </c>
      <c r="F301" s="2">
        <v>279</v>
      </c>
      <c r="G301" s="3">
        <v>598.86</v>
      </c>
      <c r="H301">
        <v>87</v>
      </c>
      <c r="I301">
        <f>IF(Table1[[#This Row],[Status]]= "Sufficient",
     Table1[[#This Row],[Stock_Quantity]] - Table1[[#This Row],[Reorder_Level]],
     0)</f>
        <v>192</v>
      </c>
      <c r="J301" s="4">
        <v>45051</v>
      </c>
      <c r="K301" s="5" t="s">
        <v>14</v>
      </c>
      <c r="L301">
        <f>YEAR(Table1[[#This Row],[Last_Restock_Date]])</f>
        <v>2023</v>
      </c>
      <c r="M301" t="str">
        <f>_xlfn.CONCAT(TEXT(Table1[[#This Row],[Last_Restock_Date]],"mmm"), "-", YEAR(Table1[[#This Row],[Last_Restock_Date]]))</f>
        <v>May-2023</v>
      </c>
      <c r="N301">
        <f>MONTH(Table1[[#This Row],[Last_Restock_Date]])</f>
        <v>5</v>
      </c>
      <c r="O301" t="str" cm="1">
        <f t="array" ref="O301">_xlfn.SWITCH(Table1[[#This Row],[Month_Number]],
    1,"Q1",2,"Q1",3,"Q1",
    4,"Q2",5,"Q2",6,"Q2",
    7,"Q3",8,"Q3",9,"Q3",
    10,"Q4",11,"Q4",12,"Q4",
    "Invalid Month"
)</f>
        <v>Q2</v>
      </c>
      <c r="P301" t="str">
        <f>TEXT(Table1[[#This Row],[Last_Restock_Date]],"mmm")</f>
        <v>May</v>
      </c>
    </row>
    <row r="302" spans="1:16" x14ac:dyDescent="0.25">
      <c r="A302">
        <v>301</v>
      </c>
      <c r="B302" s="5" t="s">
        <v>48</v>
      </c>
      <c r="C302" s="5" t="s">
        <v>20</v>
      </c>
      <c r="D302" s="5" t="s">
        <v>21</v>
      </c>
      <c r="E302" s="5" t="s">
        <v>27</v>
      </c>
      <c r="F302" s="2">
        <v>72</v>
      </c>
      <c r="G302" s="3">
        <v>149.78</v>
      </c>
      <c r="H302">
        <v>88</v>
      </c>
      <c r="I302">
        <f>IF(Table1[[#This Row],[Status]]= "Sufficient",
     Table1[[#This Row],[Stock_Quantity]] - Table1[[#This Row],[Reorder_Level]],
     0)</f>
        <v>0</v>
      </c>
      <c r="J302" s="4">
        <v>45834</v>
      </c>
      <c r="K302" s="5" t="s">
        <v>28</v>
      </c>
      <c r="L302">
        <f>YEAR(Table1[[#This Row],[Last_Restock_Date]])</f>
        <v>2025</v>
      </c>
      <c r="M302" t="str">
        <f>_xlfn.CONCAT(TEXT(Table1[[#This Row],[Last_Restock_Date]],"mmm"), "-", YEAR(Table1[[#This Row],[Last_Restock_Date]]))</f>
        <v>Jun-2025</v>
      </c>
      <c r="N302">
        <f>MONTH(Table1[[#This Row],[Last_Restock_Date]])</f>
        <v>6</v>
      </c>
      <c r="O302" t="str" cm="1">
        <f t="array" ref="O302">_xlfn.SWITCH(Table1[[#This Row],[Month_Number]],
    1,"Q1",2,"Q1",3,"Q1",
    4,"Q2",5,"Q2",6,"Q2",
    7,"Q3",8,"Q3",9,"Q3",
    10,"Q4",11,"Q4",12,"Q4",
    "Invalid Month"
)</f>
        <v>Q2</v>
      </c>
      <c r="P302" t="str">
        <f>TEXT(Table1[[#This Row],[Last_Restock_Date]],"mmm")</f>
        <v>Jun</v>
      </c>
    </row>
    <row r="303" spans="1:16" x14ac:dyDescent="0.25">
      <c r="A303">
        <v>302</v>
      </c>
      <c r="B303" s="5" t="s">
        <v>45</v>
      </c>
      <c r="C303" s="5" t="s">
        <v>26</v>
      </c>
      <c r="D303" s="5" t="s">
        <v>30</v>
      </c>
      <c r="E303" s="5" t="s">
        <v>13</v>
      </c>
      <c r="F303" s="2">
        <v>345</v>
      </c>
      <c r="G303" s="3">
        <v>686.16</v>
      </c>
      <c r="H303">
        <v>82</v>
      </c>
      <c r="I303">
        <f>IF(Table1[[#This Row],[Status]]= "Sufficient",
     Table1[[#This Row],[Stock_Quantity]] - Table1[[#This Row],[Reorder_Level]],
     0)</f>
        <v>263</v>
      </c>
      <c r="J303" s="4">
        <v>45297</v>
      </c>
      <c r="K303" s="5" t="s">
        <v>14</v>
      </c>
      <c r="L303">
        <f>YEAR(Table1[[#This Row],[Last_Restock_Date]])</f>
        <v>2024</v>
      </c>
      <c r="M303" t="str">
        <f>_xlfn.CONCAT(TEXT(Table1[[#This Row],[Last_Restock_Date]],"mmm"), "-", YEAR(Table1[[#This Row],[Last_Restock_Date]]))</f>
        <v>Jan-2024</v>
      </c>
      <c r="N303">
        <f>MONTH(Table1[[#This Row],[Last_Restock_Date]])</f>
        <v>1</v>
      </c>
      <c r="O303" t="str" cm="1">
        <f t="array" ref="O303">_xlfn.SWITCH(Table1[[#This Row],[Month_Number]],
    1,"Q1",2,"Q1",3,"Q1",
    4,"Q2",5,"Q2",6,"Q2",
    7,"Q3",8,"Q3",9,"Q3",
    10,"Q4",11,"Q4",12,"Q4",
    "Invalid Month"
)</f>
        <v>Q1</v>
      </c>
      <c r="P303" t="str">
        <f>TEXT(Table1[[#This Row],[Last_Restock_Date]],"mmm")</f>
        <v>Jan</v>
      </c>
    </row>
    <row r="304" spans="1:16" x14ac:dyDescent="0.25">
      <c r="A304">
        <v>303</v>
      </c>
      <c r="B304" s="5" t="s">
        <v>29</v>
      </c>
      <c r="C304" s="5" t="s">
        <v>16</v>
      </c>
      <c r="D304" s="5" t="s">
        <v>30</v>
      </c>
      <c r="E304" s="5" t="s">
        <v>18</v>
      </c>
      <c r="F304" s="2">
        <v>77</v>
      </c>
      <c r="G304" s="3">
        <v>224.4</v>
      </c>
      <c r="H304">
        <v>130</v>
      </c>
      <c r="I304">
        <f>IF(Table1[[#This Row],[Status]]= "Sufficient",
     Table1[[#This Row],[Stock_Quantity]] - Table1[[#This Row],[Reorder_Level]],
     0)</f>
        <v>0</v>
      </c>
      <c r="J304" s="4">
        <v>45617</v>
      </c>
      <c r="K304" s="5" t="s">
        <v>28</v>
      </c>
      <c r="L304">
        <f>YEAR(Table1[[#This Row],[Last_Restock_Date]])</f>
        <v>2024</v>
      </c>
      <c r="M304" t="str">
        <f>_xlfn.CONCAT(TEXT(Table1[[#This Row],[Last_Restock_Date]],"mmm"), "-", YEAR(Table1[[#This Row],[Last_Restock_Date]]))</f>
        <v>Nov-2024</v>
      </c>
      <c r="N304">
        <f>MONTH(Table1[[#This Row],[Last_Restock_Date]])</f>
        <v>11</v>
      </c>
      <c r="O304" t="str" cm="1">
        <f t="array" ref="O304">_xlfn.SWITCH(Table1[[#This Row],[Month_Number]],
    1,"Q1",2,"Q1",3,"Q1",
    4,"Q2",5,"Q2",6,"Q2",
    7,"Q3",8,"Q3",9,"Q3",
    10,"Q4",11,"Q4",12,"Q4",
    "Invalid Month"
)</f>
        <v>Q4</v>
      </c>
      <c r="P304" t="str">
        <f>TEXT(Table1[[#This Row],[Last_Restock_Date]],"mmm")</f>
        <v>Nov</v>
      </c>
    </row>
    <row r="305" spans="1:16" x14ac:dyDescent="0.25">
      <c r="A305">
        <v>304</v>
      </c>
      <c r="B305" s="5" t="s">
        <v>15</v>
      </c>
      <c r="C305" s="5" t="s">
        <v>16</v>
      </c>
      <c r="D305" s="5" t="s">
        <v>17</v>
      </c>
      <c r="E305" s="5" t="s">
        <v>18</v>
      </c>
      <c r="F305" s="2">
        <v>476</v>
      </c>
      <c r="G305" s="3">
        <v>502.3</v>
      </c>
      <c r="H305">
        <v>104</v>
      </c>
      <c r="I305">
        <f>IF(Table1[[#This Row],[Status]]= "Sufficient",
     Table1[[#This Row],[Stock_Quantity]] - Table1[[#This Row],[Reorder_Level]],
     0)</f>
        <v>372</v>
      </c>
      <c r="J305" s="4">
        <v>45211</v>
      </c>
      <c r="K305" s="5" t="s">
        <v>14</v>
      </c>
      <c r="L305">
        <f>YEAR(Table1[[#This Row],[Last_Restock_Date]])</f>
        <v>2023</v>
      </c>
      <c r="M305" t="str">
        <f>_xlfn.CONCAT(TEXT(Table1[[#This Row],[Last_Restock_Date]],"mmm"), "-", YEAR(Table1[[#This Row],[Last_Restock_Date]]))</f>
        <v>Oct-2023</v>
      </c>
      <c r="N305">
        <f>MONTH(Table1[[#This Row],[Last_Restock_Date]])</f>
        <v>10</v>
      </c>
      <c r="O305" t="str" cm="1">
        <f t="array" ref="O305">_xlfn.SWITCH(Table1[[#This Row],[Month_Number]],
    1,"Q1",2,"Q1",3,"Q1",
    4,"Q2",5,"Q2",6,"Q2",
    7,"Q3",8,"Q3",9,"Q3",
    10,"Q4",11,"Q4",12,"Q4",
    "Invalid Month"
)</f>
        <v>Q4</v>
      </c>
      <c r="P305" t="str">
        <f>TEXT(Table1[[#This Row],[Last_Restock_Date]],"mmm")</f>
        <v>Oct</v>
      </c>
    </row>
    <row r="306" spans="1:16" x14ac:dyDescent="0.25">
      <c r="A306">
        <v>305</v>
      </c>
      <c r="B306" s="5" t="s">
        <v>23</v>
      </c>
      <c r="C306" s="5" t="s">
        <v>20</v>
      </c>
      <c r="D306" s="5" t="s">
        <v>24</v>
      </c>
      <c r="E306" s="5" t="s">
        <v>27</v>
      </c>
      <c r="F306" s="2">
        <v>332</v>
      </c>
      <c r="G306" s="3">
        <v>491.47</v>
      </c>
      <c r="H306">
        <v>95</v>
      </c>
      <c r="I306">
        <f>IF(Table1[[#This Row],[Status]]= "Sufficient",
     Table1[[#This Row],[Stock_Quantity]] - Table1[[#This Row],[Reorder_Level]],
     0)</f>
        <v>237</v>
      </c>
      <c r="J306" s="4">
        <v>45875</v>
      </c>
      <c r="K306" s="5" t="s">
        <v>14</v>
      </c>
      <c r="L306">
        <f>YEAR(Table1[[#This Row],[Last_Restock_Date]])</f>
        <v>2025</v>
      </c>
      <c r="M306" t="str">
        <f>_xlfn.CONCAT(TEXT(Table1[[#This Row],[Last_Restock_Date]],"mmm"), "-", YEAR(Table1[[#This Row],[Last_Restock_Date]]))</f>
        <v>Aug-2025</v>
      </c>
      <c r="N306">
        <f>MONTH(Table1[[#This Row],[Last_Restock_Date]])</f>
        <v>8</v>
      </c>
      <c r="O306" t="str" cm="1">
        <f t="array" ref="O306">_xlfn.SWITCH(Table1[[#This Row],[Month_Number]],
    1,"Q1",2,"Q1",3,"Q1",
    4,"Q2",5,"Q2",6,"Q2",
    7,"Q3",8,"Q3",9,"Q3",
    10,"Q4",11,"Q4",12,"Q4",
    "Invalid Month"
)</f>
        <v>Q3</v>
      </c>
      <c r="P306" t="str">
        <f>TEXT(Table1[[#This Row],[Last_Restock_Date]],"mmm")</f>
        <v>Aug</v>
      </c>
    </row>
    <row r="307" spans="1:16" x14ac:dyDescent="0.25">
      <c r="A307">
        <v>306</v>
      </c>
      <c r="B307" s="5" t="s">
        <v>33</v>
      </c>
      <c r="C307" s="5" t="s">
        <v>34</v>
      </c>
      <c r="D307" s="5" t="s">
        <v>21</v>
      </c>
      <c r="E307" s="5" t="s">
        <v>37</v>
      </c>
      <c r="F307" s="2">
        <v>113</v>
      </c>
      <c r="G307" s="3">
        <v>310.58</v>
      </c>
      <c r="H307">
        <v>71</v>
      </c>
      <c r="I307">
        <f>IF(Table1[[#This Row],[Status]]= "Sufficient",
     Table1[[#This Row],[Stock_Quantity]] - Table1[[#This Row],[Reorder_Level]],
     0)</f>
        <v>42</v>
      </c>
      <c r="J307" s="4">
        <v>45948</v>
      </c>
      <c r="K307" s="5" t="s">
        <v>14</v>
      </c>
      <c r="L307">
        <f>YEAR(Table1[[#This Row],[Last_Restock_Date]])</f>
        <v>2025</v>
      </c>
      <c r="M307" t="str">
        <f>_xlfn.CONCAT(TEXT(Table1[[#This Row],[Last_Restock_Date]],"mmm"), "-", YEAR(Table1[[#This Row],[Last_Restock_Date]]))</f>
        <v>Oct-2025</v>
      </c>
      <c r="N307">
        <f>MONTH(Table1[[#This Row],[Last_Restock_Date]])</f>
        <v>10</v>
      </c>
      <c r="O307" t="str" cm="1">
        <f t="array" ref="O307">_xlfn.SWITCH(Table1[[#This Row],[Month_Number]],
    1,"Q1",2,"Q1",3,"Q1",
    4,"Q2",5,"Q2",6,"Q2",
    7,"Q3",8,"Q3",9,"Q3",
    10,"Q4",11,"Q4",12,"Q4",
    "Invalid Month"
)</f>
        <v>Q4</v>
      </c>
      <c r="P307" t="str">
        <f>TEXT(Table1[[#This Row],[Last_Restock_Date]],"mmm")</f>
        <v>Oct</v>
      </c>
    </row>
    <row r="308" spans="1:16" x14ac:dyDescent="0.25">
      <c r="A308">
        <v>307</v>
      </c>
      <c r="B308" s="5" t="s">
        <v>19</v>
      </c>
      <c r="C308" s="5" t="s">
        <v>20</v>
      </c>
      <c r="D308" s="5" t="s">
        <v>24</v>
      </c>
      <c r="E308" s="5" t="s">
        <v>32</v>
      </c>
      <c r="F308" s="2">
        <v>265</v>
      </c>
      <c r="G308" s="3">
        <v>165.34</v>
      </c>
      <c r="H308">
        <v>148</v>
      </c>
      <c r="I308">
        <f>IF(Table1[[#This Row],[Status]]= "Sufficient",
     Table1[[#This Row],[Stock_Quantity]] - Table1[[#This Row],[Reorder_Level]],
     0)</f>
        <v>117</v>
      </c>
      <c r="J308" s="4">
        <v>45282</v>
      </c>
      <c r="K308" s="5" t="s">
        <v>14</v>
      </c>
      <c r="L308">
        <f>YEAR(Table1[[#This Row],[Last_Restock_Date]])</f>
        <v>2023</v>
      </c>
      <c r="M308" t="str">
        <f>_xlfn.CONCAT(TEXT(Table1[[#This Row],[Last_Restock_Date]],"mmm"), "-", YEAR(Table1[[#This Row],[Last_Restock_Date]]))</f>
        <v>Dec-2023</v>
      </c>
      <c r="N308">
        <f>MONTH(Table1[[#This Row],[Last_Restock_Date]])</f>
        <v>12</v>
      </c>
      <c r="O308" t="str" cm="1">
        <f t="array" ref="O308">_xlfn.SWITCH(Table1[[#This Row],[Month_Number]],
    1,"Q1",2,"Q1",3,"Q1",
    4,"Q2",5,"Q2",6,"Q2",
    7,"Q3",8,"Q3",9,"Q3",
    10,"Q4",11,"Q4",12,"Q4",
    "Invalid Month"
)</f>
        <v>Q4</v>
      </c>
      <c r="P308" t="str">
        <f>TEXT(Table1[[#This Row],[Last_Restock_Date]],"mmm")</f>
        <v>Dec</v>
      </c>
    </row>
    <row r="309" spans="1:16" x14ac:dyDescent="0.25">
      <c r="A309">
        <v>308</v>
      </c>
      <c r="B309" s="5" t="s">
        <v>41</v>
      </c>
      <c r="C309" s="5" t="s">
        <v>16</v>
      </c>
      <c r="D309" s="5" t="s">
        <v>12</v>
      </c>
      <c r="E309" s="5" t="s">
        <v>18</v>
      </c>
      <c r="F309" s="2">
        <v>446</v>
      </c>
      <c r="G309" s="3">
        <v>528.9</v>
      </c>
      <c r="H309">
        <v>145</v>
      </c>
      <c r="I309">
        <f>IF(Table1[[#This Row],[Status]]= "Sufficient",
     Table1[[#This Row],[Stock_Quantity]] - Table1[[#This Row],[Reorder_Level]],
     0)</f>
        <v>301</v>
      </c>
      <c r="J309" s="4">
        <v>45533</v>
      </c>
      <c r="K309" s="5" t="s">
        <v>14</v>
      </c>
      <c r="L309">
        <f>YEAR(Table1[[#This Row],[Last_Restock_Date]])</f>
        <v>2024</v>
      </c>
      <c r="M309" t="str">
        <f>_xlfn.CONCAT(TEXT(Table1[[#This Row],[Last_Restock_Date]],"mmm"), "-", YEAR(Table1[[#This Row],[Last_Restock_Date]]))</f>
        <v>Aug-2024</v>
      </c>
      <c r="N309">
        <f>MONTH(Table1[[#This Row],[Last_Restock_Date]])</f>
        <v>8</v>
      </c>
      <c r="O309" t="str" cm="1">
        <f t="array" ref="O309">_xlfn.SWITCH(Table1[[#This Row],[Month_Number]],
    1,"Q1",2,"Q1",3,"Q1",
    4,"Q2",5,"Q2",6,"Q2",
    7,"Q3",8,"Q3",9,"Q3",
    10,"Q4",11,"Q4",12,"Q4",
    "Invalid Month"
)</f>
        <v>Q3</v>
      </c>
      <c r="P309" t="str">
        <f>TEXT(Table1[[#This Row],[Last_Restock_Date]],"mmm")</f>
        <v>Aug</v>
      </c>
    </row>
    <row r="310" spans="1:16" x14ac:dyDescent="0.25">
      <c r="A310">
        <v>309</v>
      </c>
      <c r="B310" s="5" t="s">
        <v>46</v>
      </c>
      <c r="C310" s="5" t="s">
        <v>34</v>
      </c>
      <c r="D310" s="5" t="s">
        <v>30</v>
      </c>
      <c r="E310" s="5" t="s">
        <v>37</v>
      </c>
      <c r="F310" s="2">
        <v>110</v>
      </c>
      <c r="G310" s="3">
        <v>500.85</v>
      </c>
      <c r="H310">
        <v>74</v>
      </c>
      <c r="I310">
        <f>IF(Table1[[#This Row],[Status]]= "Sufficient",
     Table1[[#This Row],[Stock_Quantity]] - Table1[[#This Row],[Reorder_Level]],
     0)</f>
        <v>36</v>
      </c>
      <c r="J310" s="4">
        <v>45737</v>
      </c>
      <c r="K310" s="5" t="s">
        <v>14</v>
      </c>
      <c r="L310">
        <f>YEAR(Table1[[#This Row],[Last_Restock_Date]])</f>
        <v>2025</v>
      </c>
      <c r="M310" t="str">
        <f>_xlfn.CONCAT(TEXT(Table1[[#This Row],[Last_Restock_Date]],"mmm"), "-", YEAR(Table1[[#This Row],[Last_Restock_Date]]))</f>
        <v>Mar-2025</v>
      </c>
      <c r="N310">
        <f>MONTH(Table1[[#This Row],[Last_Restock_Date]])</f>
        <v>3</v>
      </c>
      <c r="O310" t="str" cm="1">
        <f t="array" ref="O310">_xlfn.SWITCH(Table1[[#This Row],[Month_Number]],
    1,"Q1",2,"Q1",3,"Q1",
    4,"Q2",5,"Q2",6,"Q2",
    7,"Q3",8,"Q3",9,"Q3",
    10,"Q4",11,"Q4",12,"Q4",
    "Invalid Month"
)</f>
        <v>Q1</v>
      </c>
      <c r="P310" t="str">
        <f>TEXT(Table1[[#This Row],[Last_Restock_Date]],"mmm")</f>
        <v>Mar</v>
      </c>
    </row>
    <row r="311" spans="1:16" x14ac:dyDescent="0.25">
      <c r="A311">
        <v>310</v>
      </c>
      <c r="B311" s="5" t="s">
        <v>54</v>
      </c>
      <c r="C311" s="5" t="s">
        <v>20</v>
      </c>
      <c r="D311" s="5" t="s">
        <v>24</v>
      </c>
      <c r="E311" s="5" t="s">
        <v>13</v>
      </c>
      <c r="F311" s="2">
        <v>295</v>
      </c>
      <c r="G311" s="3">
        <v>425.87</v>
      </c>
      <c r="H311">
        <v>87</v>
      </c>
      <c r="I311">
        <f>IF(Table1[[#This Row],[Status]]= "Sufficient",
     Table1[[#This Row],[Stock_Quantity]] - Table1[[#This Row],[Reorder_Level]],
     0)</f>
        <v>208</v>
      </c>
      <c r="J311" s="4">
        <v>45614</v>
      </c>
      <c r="K311" s="5" t="s">
        <v>14</v>
      </c>
      <c r="L311">
        <f>YEAR(Table1[[#This Row],[Last_Restock_Date]])</f>
        <v>2024</v>
      </c>
      <c r="M311" t="str">
        <f>_xlfn.CONCAT(TEXT(Table1[[#This Row],[Last_Restock_Date]],"mmm"), "-", YEAR(Table1[[#This Row],[Last_Restock_Date]]))</f>
        <v>Nov-2024</v>
      </c>
      <c r="N311">
        <f>MONTH(Table1[[#This Row],[Last_Restock_Date]])</f>
        <v>11</v>
      </c>
      <c r="O311" t="str" cm="1">
        <f t="array" ref="O311">_xlfn.SWITCH(Table1[[#This Row],[Month_Number]],
    1,"Q1",2,"Q1",3,"Q1",
    4,"Q2",5,"Q2",6,"Q2",
    7,"Q3",8,"Q3",9,"Q3",
    10,"Q4",11,"Q4",12,"Q4",
    "Invalid Month"
)</f>
        <v>Q4</v>
      </c>
      <c r="P311" t="str">
        <f>TEXT(Table1[[#This Row],[Last_Restock_Date]],"mmm")</f>
        <v>Nov</v>
      </c>
    </row>
    <row r="312" spans="1:16" x14ac:dyDescent="0.25">
      <c r="A312">
        <v>311</v>
      </c>
      <c r="B312" s="5" t="s">
        <v>47</v>
      </c>
      <c r="C312" s="5" t="s">
        <v>20</v>
      </c>
      <c r="D312" s="5" t="s">
        <v>24</v>
      </c>
      <c r="E312" s="5" t="s">
        <v>27</v>
      </c>
      <c r="F312" s="2">
        <v>440</v>
      </c>
      <c r="G312" s="3">
        <v>491.99</v>
      </c>
      <c r="H312">
        <v>126</v>
      </c>
      <c r="I312">
        <f>IF(Table1[[#This Row],[Status]]= "Sufficient",
     Table1[[#This Row],[Stock_Quantity]] - Table1[[#This Row],[Reorder_Level]],
     0)</f>
        <v>314</v>
      </c>
      <c r="J312" s="4">
        <v>45256</v>
      </c>
      <c r="K312" s="5" t="s">
        <v>14</v>
      </c>
      <c r="L312">
        <f>YEAR(Table1[[#This Row],[Last_Restock_Date]])</f>
        <v>2023</v>
      </c>
      <c r="M312" t="str">
        <f>_xlfn.CONCAT(TEXT(Table1[[#This Row],[Last_Restock_Date]],"mmm"), "-", YEAR(Table1[[#This Row],[Last_Restock_Date]]))</f>
        <v>Nov-2023</v>
      </c>
      <c r="N312">
        <f>MONTH(Table1[[#This Row],[Last_Restock_Date]])</f>
        <v>11</v>
      </c>
      <c r="O312" t="str" cm="1">
        <f t="array" ref="O312">_xlfn.SWITCH(Table1[[#This Row],[Month_Number]],
    1,"Q1",2,"Q1",3,"Q1",
    4,"Q2",5,"Q2",6,"Q2",
    7,"Q3",8,"Q3",9,"Q3",
    10,"Q4",11,"Q4",12,"Q4",
    "Invalid Month"
)</f>
        <v>Q4</v>
      </c>
      <c r="P312" t="str">
        <f>TEXT(Table1[[#This Row],[Last_Restock_Date]],"mmm")</f>
        <v>Nov</v>
      </c>
    </row>
    <row r="313" spans="1:16" x14ac:dyDescent="0.25">
      <c r="A313">
        <v>312</v>
      </c>
      <c r="B313" s="5" t="s">
        <v>35</v>
      </c>
      <c r="C313" s="5" t="s">
        <v>11</v>
      </c>
      <c r="D313" s="5" t="s">
        <v>21</v>
      </c>
      <c r="E313" s="5" t="s">
        <v>37</v>
      </c>
      <c r="F313" s="2">
        <v>42</v>
      </c>
      <c r="G313" s="3">
        <v>515.54</v>
      </c>
      <c r="H313">
        <v>69</v>
      </c>
      <c r="I313">
        <f>IF(Table1[[#This Row],[Status]]= "Sufficient",
     Table1[[#This Row],[Stock_Quantity]] - Table1[[#This Row],[Reorder_Level]],
     0)</f>
        <v>0</v>
      </c>
      <c r="J313" s="4">
        <v>44937</v>
      </c>
      <c r="K313" s="5" t="s">
        <v>28</v>
      </c>
      <c r="L313">
        <f>YEAR(Table1[[#This Row],[Last_Restock_Date]])</f>
        <v>2023</v>
      </c>
      <c r="M313" t="str">
        <f>_xlfn.CONCAT(TEXT(Table1[[#This Row],[Last_Restock_Date]],"mmm"), "-", YEAR(Table1[[#This Row],[Last_Restock_Date]]))</f>
        <v>Jan-2023</v>
      </c>
      <c r="N313">
        <f>MONTH(Table1[[#This Row],[Last_Restock_Date]])</f>
        <v>1</v>
      </c>
      <c r="O313" t="str" cm="1">
        <f t="array" ref="O313">_xlfn.SWITCH(Table1[[#This Row],[Month_Number]],
    1,"Q1",2,"Q1",3,"Q1",
    4,"Q2",5,"Q2",6,"Q2",
    7,"Q3",8,"Q3",9,"Q3",
    10,"Q4",11,"Q4",12,"Q4",
    "Invalid Month"
)</f>
        <v>Q1</v>
      </c>
      <c r="P313" t="str">
        <f>TEXT(Table1[[#This Row],[Last_Restock_Date]],"mmm")</f>
        <v>Jan</v>
      </c>
    </row>
    <row r="314" spans="1:16" x14ac:dyDescent="0.25">
      <c r="A314">
        <v>313</v>
      </c>
      <c r="B314" s="5" t="s">
        <v>44</v>
      </c>
      <c r="C314" s="5" t="s">
        <v>34</v>
      </c>
      <c r="D314" s="5" t="s">
        <v>24</v>
      </c>
      <c r="E314" s="5" t="s">
        <v>37</v>
      </c>
      <c r="F314" s="2">
        <v>256</v>
      </c>
      <c r="G314" s="3">
        <v>720.75</v>
      </c>
      <c r="H314">
        <v>52</v>
      </c>
      <c r="I314">
        <f>IF(Table1[[#This Row],[Status]]= "Sufficient",
     Table1[[#This Row],[Stock_Quantity]] - Table1[[#This Row],[Reorder_Level]],
     0)</f>
        <v>204</v>
      </c>
      <c r="J314" s="4">
        <v>45214</v>
      </c>
      <c r="K314" s="5" t="s">
        <v>14</v>
      </c>
      <c r="L314">
        <f>YEAR(Table1[[#This Row],[Last_Restock_Date]])</f>
        <v>2023</v>
      </c>
      <c r="M314" t="str">
        <f>_xlfn.CONCAT(TEXT(Table1[[#This Row],[Last_Restock_Date]],"mmm"), "-", YEAR(Table1[[#This Row],[Last_Restock_Date]]))</f>
        <v>Oct-2023</v>
      </c>
      <c r="N314">
        <f>MONTH(Table1[[#This Row],[Last_Restock_Date]])</f>
        <v>10</v>
      </c>
      <c r="O314" t="str" cm="1">
        <f t="array" ref="O314">_xlfn.SWITCH(Table1[[#This Row],[Month_Number]],
    1,"Q1",2,"Q1",3,"Q1",
    4,"Q2",5,"Q2",6,"Q2",
    7,"Q3",8,"Q3",9,"Q3",
    10,"Q4",11,"Q4",12,"Q4",
    "Invalid Month"
)</f>
        <v>Q4</v>
      </c>
      <c r="P314" t="str">
        <f>TEXT(Table1[[#This Row],[Last_Restock_Date]],"mmm")</f>
        <v>Oct</v>
      </c>
    </row>
    <row r="315" spans="1:16" x14ac:dyDescent="0.25">
      <c r="A315">
        <v>314</v>
      </c>
      <c r="B315" s="5" t="s">
        <v>23</v>
      </c>
      <c r="C315" s="5" t="s">
        <v>20</v>
      </c>
      <c r="D315" s="5" t="s">
        <v>24</v>
      </c>
      <c r="E315" s="5" t="s">
        <v>18</v>
      </c>
      <c r="F315" s="2">
        <v>9</v>
      </c>
      <c r="G315" s="3">
        <v>683.74</v>
      </c>
      <c r="H315">
        <v>111</v>
      </c>
      <c r="I315">
        <f>IF(Table1[[#This Row],[Status]]= "Sufficient",
     Table1[[#This Row],[Stock_Quantity]] - Table1[[#This Row],[Reorder_Level]],
     0)</f>
        <v>0</v>
      </c>
      <c r="J315" s="4">
        <v>45171</v>
      </c>
      <c r="K315" s="5" t="s">
        <v>28</v>
      </c>
      <c r="L315">
        <f>YEAR(Table1[[#This Row],[Last_Restock_Date]])</f>
        <v>2023</v>
      </c>
      <c r="M315" t="str">
        <f>_xlfn.CONCAT(TEXT(Table1[[#This Row],[Last_Restock_Date]],"mmm"), "-", YEAR(Table1[[#This Row],[Last_Restock_Date]]))</f>
        <v>Sep-2023</v>
      </c>
      <c r="N315">
        <f>MONTH(Table1[[#This Row],[Last_Restock_Date]])</f>
        <v>9</v>
      </c>
      <c r="O315" t="str" cm="1">
        <f t="array" ref="O315">_xlfn.SWITCH(Table1[[#This Row],[Month_Number]],
    1,"Q1",2,"Q1",3,"Q1",
    4,"Q2",5,"Q2",6,"Q2",
    7,"Q3",8,"Q3",9,"Q3",
    10,"Q4",11,"Q4",12,"Q4",
    "Invalid Month"
)</f>
        <v>Q3</v>
      </c>
      <c r="P315" t="str">
        <f>TEXT(Table1[[#This Row],[Last_Restock_Date]],"mmm")</f>
        <v>Sep</v>
      </c>
    </row>
    <row r="316" spans="1:16" x14ac:dyDescent="0.25">
      <c r="A316">
        <v>315</v>
      </c>
      <c r="B316" s="5" t="s">
        <v>22</v>
      </c>
      <c r="C316" s="5" t="s">
        <v>11</v>
      </c>
      <c r="D316" s="5" t="s">
        <v>21</v>
      </c>
      <c r="E316" s="5" t="s">
        <v>39</v>
      </c>
      <c r="F316" s="2">
        <v>333</v>
      </c>
      <c r="G316" s="3">
        <v>709.29</v>
      </c>
      <c r="H316">
        <v>124</v>
      </c>
      <c r="I316">
        <f>IF(Table1[[#This Row],[Status]]= "Sufficient",
     Table1[[#This Row],[Stock_Quantity]] - Table1[[#This Row],[Reorder_Level]],
     0)</f>
        <v>209</v>
      </c>
      <c r="J316" s="4">
        <v>45273</v>
      </c>
      <c r="K316" s="5" t="s">
        <v>14</v>
      </c>
      <c r="L316">
        <f>YEAR(Table1[[#This Row],[Last_Restock_Date]])</f>
        <v>2023</v>
      </c>
      <c r="M316" t="str">
        <f>_xlfn.CONCAT(TEXT(Table1[[#This Row],[Last_Restock_Date]],"mmm"), "-", YEAR(Table1[[#This Row],[Last_Restock_Date]]))</f>
        <v>Dec-2023</v>
      </c>
      <c r="N316">
        <f>MONTH(Table1[[#This Row],[Last_Restock_Date]])</f>
        <v>12</v>
      </c>
      <c r="O316" t="str" cm="1">
        <f t="array" ref="O316">_xlfn.SWITCH(Table1[[#This Row],[Month_Number]],
    1,"Q1",2,"Q1",3,"Q1",
    4,"Q2",5,"Q2",6,"Q2",
    7,"Q3",8,"Q3",9,"Q3",
    10,"Q4",11,"Q4",12,"Q4",
    "Invalid Month"
)</f>
        <v>Q4</v>
      </c>
      <c r="P316" t="str">
        <f>TEXT(Table1[[#This Row],[Last_Restock_Date]],"mmm")</f>
        <v>Dec</v>
      </c>
    </row>
    <row r="317" spans="1:16" x14ac:dyDescent="0.25">
      <c r="A317">
        <v>316</v>
      </c>
      <c r="B317" s="5" t="s">
        <v>42</v>
      </c>
      <c r="C317" s="5" t="s">
        <v>16</v>
      </c>
      <c r="D317" s="5" t="s">
        <v>12</v>
      </c>
      <c r="E317" s="5" t="s">
        <v>32</v>
      </c>
      <c r="F317" s="2">
        <v>133</v>
      </c>
      <c r="G317" s="3">
        <v>646.46</v>
      </c>
      <c r="H317">
        <v>88</v>
      </c>
      <c r="I317">
        <f>IF(Table1[[#This Row],[Status]]= "Sufficient",
     Table1[[#This Row],[Stock_Quantity]] - Table1[[#This Row],[Reorder_Level]],
     0)</f>
        <v>45</v>
      </c>
      <c r="J317" s="4">
        <v>45434</v>
      </c>
      <c r="K317" s="5" t="s">
        <v>14</v>
      </c>
      <c r="L317">
        <f>YEAR(Table1[[#This Row],[Last_Restock_Date]])</f>
        <v>2024</v>
      </c>
      <c r="M317" t="str">
        <f>_xlfn.CONCAT(TEXT(Table1[[#This Row],[Last_Restock_Date]],"mmm"), "-", YEAR(Table1[[#This Row],[Last_Restock_Date]]))</f>
        <v>May-2024</v>
      </c>
      <c r="N317">
        <f>MONTH(Table1[[#This Row],[Last_Restock_Date]])</f>
        <v>5</v>
      </c>
      <c r="O317" t="str" cm="1">
        <f t="array" ref="O317">_xlfn.SWITCH(Table1[[#This Row],[Month_Number]],
    1,"Q1",2,"Q1",3,"Q1",
    4,"Q2",5,"Q2",6,"Q2",
    7,"Q3",8,"Q3",9,"Q3",
    10,"Q4",11,"Q4",12,"Q4",
    "Invalid Month"
)</f>
        <v>Q2</v>
      </c>
      <c r="P317" t="str">
        <f>TEXT(Table1[[#This Row],[Last_Restock_Date]],"mmm")</f>
        <v>May</v>
      </c>
    </row>
    <row r="318" spans="1:16" x14ac:dyDescent="0.25">
      <c r="A318">
        <v>317</v>
      </c>
      <c r="B318" s="5" t="s">
        <v>43</v>
      </c>
      <c r="C318" s="5" t="s">
        <v>26</v>
      </c>
      <c r="D318" s="5" t="s">
        <v>17</v>
      </c>
      <c r="E318" s="5" t="s">
        <v>18</v>
      </c>
      <c r="F318" s="2">
        <v>424</v>
      </c>
      <c r="G318" s="3">
        <v>664.23</v>
      </c>
      <c r="H318">
        <v>90</v>
      </c>
      <c r="I318">
        <f>IF(Table1[[#This Row],[Status]]= "Sufficient",
     Table1[[#This Row],[Stock_Quantity]] - Table1[[#This Row],[Reorder_Level]],
     0)</f>
        <v>334</v>
      </c>
      <c r="J318" s="4">
        <v>44996</v>
      </c>
      <c r="K318" s="5" t="s">
        <v>14</v>
      </c>
      <c r="L318">
        <f>YEAR(Table1[[#This Row],[Last_Restock_Date]])</f>
        <v>2023</v>
      </c>
      <c r="M318" t="str">
        <f>_xlfn.CONCAT(TEXT(Table1[[#This Row],[Last_Restock_Date]],"mmm"), "-", YEAR(Table1[[#This Row],[Last_Restock_Date]]))</f>
        <v>Mar-2023</v>
      </c>
      <c r="N318">
        <f>MONTH(Table1[[#This Row],[Last_Restock_Date]])</f>
        <v>3</v>
      </c>
      <c r="O318" t="str" cm="1">
        <f t="array" ref="O318">_xlfn.SWITCH(Table1[[#This Row],[Month_Number]],
    1,"Q1",2,"Q1",3,"Q1",
    4,"Q2",5,"Q2",6,"Q2",
    7,"Q3",8,"Q3",9,"Q3",
    10,"Q4",11,"Q4",12,"Q4",
    "Invalid Month"
)</f>
        <v>Q1</v>
      </c>
      <c r="P318" t="str">
        <f>TEXT(Table1[[#This Row],[Last_Restock_Date]],"mmm")</f>
        <v>Mar</v>
      </c>
    </row>
    <row r="319" spans="1:16" x14ac:dyDescent="0.25">
      <c r="A319">
        <v>318</v>
      </c>
      <c r="B319" s="5" t="s">
        <v>29</v>
      </c>
      <c r="C319" s="5" t="s">
        <v>16</v>
      </c>
      <c r="D319" s="5" t="s">
        <v>21</v>
      </c>
      <c r="E319" s="5" t="s">
        <v>32</v>
      </c>
      <c r="F319" s="2">
        <v>291</v>
      </c>
      <c r="G319" s="3">
        <v>506.45</v>
      </c>
      <c r="H319">
        <v>82</v>
      </c>
      <c r="I319">
        <f>IF(Table1[[#This Row],[Status]]= "Sufficient",
     Table1[[#This Row],[Stock_Quantity]] - Table1[[#This Row],[Reorder_Level]],
     0)</f>
        <v>209</v>
      </c>
      <c r="J319" s="4">
        <v>45083</v>
      </c>
      <c r="K319" s="5" t="s">
        <v>14</v>
      </c>
      <c r="L319">
        <f>YEAR(Table1[[#This Row],[Last_Restock_Date]])</f>
        <v>2023</v>
      </c>
      <c r="M319" t="str">
        <f>_xlfn.CONCAT(TEXT(Table1[[#This Row],[Last_Restock_Date]],"mmm"), "-", YEAR(Table1[[#This Row],[Last_Restock_Date]]))</f>
        <v>Jun-2023</v>
      </c>
      <c r="N319">
        <f>MONTH(Table1[[#This Row],[Last_Restock_Date]])</f>
        <v>6</v>
      </c>
      <c r="O319" t="str" cm="1">
        <f t="array" ref="O319">_xlfn.SWITCH(Table1[[#This Row],[Month_Number]],
    1,"Q1",2,"Q1",3,"Q1",
    4,"Q2",5,"Q2",6,"Q2",
    7,"Q3",8,"Q3",9,"Q3",
    10,"Q4",11,"Q4",12,"Q4",
    "Invalid Month"
)</f>
        <v>Q2</v>
      </c>
      <c r="P319" t="str">
        <f>TEXT(Table1[[#This Row],[Last_Restock_Date]],"mmm")</f>
        <v>Jun</v>
      </c>
    </row>
    <row r="320" spans="1:16" x14ac:dyDescent="0.25">
      <c r="A320">
        <v>319</v>
      </c>
      <c r="B320" s="5" t="s">
        <v>33</v>
      </c>
      <c r="C320" s="5" t="s">
        <v>34</v>
      </c>
      <c r="D320" s="5" t="s">
        <v>17</v>
      </c>
      <c r="E320" s="5" t="s">
        <v>32</v>
      </c>
      <c r="F320" s="2">
        <v>277</v>
      </c>
      <c r="G320" s="3">
        <v>449.29</v>
      </c>
      <c r="H320">
        <v>83</v>
      </c>
      <c r="I320">
        <f>IF(Table1[[#This Row],[Status]]= "Sufficient",
     Table1[[#This Row],[Stock_Quantity]] - Table1[[#This Row],[Reorder_Level]],
     0)</f>
        <v>194</v>
      </c>
      <c r="J320" s="4">
        <v>44972</v>
      </c>
      <c r="K320" s="5" t="s">
        <v>14</v>
      </c>
      <c r="L320">
        <f>YEAR(Table1[[#This Row],[Last_Restock_Date]])</f>
        <v>2023</v>
      </c>
      <c r="M320" t="str">
        <f>_xlfn.CONCAT(TEXT(Table1[[#This Row],[Last_Restock_Date]],"mmm"), "-", YEAR(Table1[[#This Row],[Last_Restock_Date]]))</f>
        <v>Feb-2023</v>
      </c>
      <c r="N320">
        <f>MONTH(Table1[[#This Row],[Last_Restock_Date]])</f>
        <v>2</v>
      </c>
      <c r="O320" t="str" cm="1">
        <f t="array" ref="O320">_xlfn.SWITCH(Table1[[#This Row],[Month_Number]],
    1,"Q1",2,"Q1",3,"Q1",
    4,"Q2",5,"Q2",6,"Q2",
    7,"Q3",8,"Q3",9,"Q3",
    10,"Q4",11,"Q4",12,"Q4",
    "Invalid Month"
)</f>
        <v>Q1</v>
      </c>
      <c r="P320" t="str">
        <f>TEXT(Table1[[#This Row],[Last_Restock_Date]],"mmm")</f>
        <v>Feb</v>
      </c>
    </row>
    <row r="321" spans="1:16" x14ac:dyDescent="0.25">
      <c r="A321">
        <v>320</v>
      </c>
      <c r="B321" s="5" t="s">
        <v>31</v>
      </c>
      <c r="C321" s="5" t="s">
        <v>20</v>
      </c>
      <c r="D321" s="5" t="s">
        <v>12</v>
      </c>
      <c r="E321" s="5" t="s">
        <v>37</v>
      </c>
      <c r="F321" s="2">
        <v>228</v>
      </c>
      <c r="G321" s="3">
        <v>75.52</v>
      </c>
      <c r="H321">
        <v>119</v>
      </c>
      <c r="I321">
        <f>IF(Table1[[#This Row],[Status]]= "Sufficient",
     Table1[[#This Row],[Stock_Quantity]] - Table1[[#This Row],[Reorder_Level]],
     0)</f>
        <v>109</v>
      </c>
      <c r="J321" s="4">
        <v>45627</v>
      </c>
      <c r="K321" s="5" t="s">
        <v>14</v>
      </c>
      <c r="L321">
        <f>YEAR(Table1[[#This Row],[Last_Restock_Date]])</f>
        <v>2024</v>
      </c>
      <c r="M321" t="str">
        <f>_xlfn.CONCAT(TEXT(Table1[[#This Row],[Last_Restock_Date]],"mmm"), "-", YEAR(Table1[[#This Row],[Last_Restock_Date]]))</f>
        <v>Dec-2024</v>
      </c>
      <c r="N321">
        <f>MONTH(Table1[[#This Row],[Last_Restock_Date]])</f>
        <v>12</v>
      </c>
      <c r="O321" t="str" cm="1">
        <f t="array" ref="O321">_xlfn.SWITCH(Table1[[#This Row],[Month_Number]],
    1,"Q1",2,"Q1",3,"Q1",
    4,"Q2",5,"Q2",6,"Q2",
    7,"Q3",8,"Q3",9,"Q3",
    10,"Q4",11,"Q4",12,"Q4",
    "Invalid Month"
)</f>
        <v>Q4</v>
      </c>
      <c r="P321" t="str">
        <f>TEXT(Table1[[#This Row],[Last_Restock_Date]],"mmm")</f>
        <v>Dec</v>
      </c>
    </row>
    <row r="322" spans="1:16" x14ac:dyDescent="0.25">
      <c r="A322">
        <v>321</v>
      </c>
      <c r="B322" s="5" t="s">
        <v>54</v>
      </c>
      <c r="C322" s="5" t="s">
        <v>20</v>
      </c>
      <c r="D322" s="5" t="s">
        <v>12</v>
      </c>
      <c r="E322" s="5" t="s">
        <v>32</v>
      </c>
      <c r="F322" s="2">
        <v>255</v>
      </c>
      <c r="G322" s="3">
        <v>418.56</v>
      </c>
      <c r="H322">
        <v>142</v>
      </c>
      <c r="I322">
        <f>IF(Table1[[#This Row],[Status]]= "Sufficient",
     Table1[[#This Row],[Stock_Quantity]] - Table1[[#This Row],[Reorder_Level]],
     0)</f>
        <v>113</v>
      </c>
      <c r="J322" s="4">
        <v>45735</v>
      </c>
      <c r="K322" s="5" t="s">
        <v>14</v>
      </c>
      <c r="L322">
        <f>YEAR(Table1[[#This Row],[Last_Restock_Date]])</f>
        <v>2025</v>
      </c>
      <c r="M322" t="str">
        <f>_xlfn.CONCAT(TEXT(Table1[[#This Row],[Last_Restock_Date]],"mmm"), "-", YEAR(Table1[[#This Row],[Last_Restock_Date]]))</f>
        <v>Mar-2025</v>
      </c>
      <c r="N322">
        <f>MONTH(Table1[[#This Row],[Last_Restock_Date]])</f>
        <v>3</v>
      </c>
      <c r="O322" t="str" cm="1">
        <f t="array" ref="O322">_xlfn.SWITCH(Table1[[#This Row],[Month_Number]],
    1,"Q1",2,"Q1",3,"Q1",
    4,"Q2",5,"Q2",6,"Q2",
    7,"Q3",8,"Q3",9,"Q3",
    10,"Q4",11,"Q4",12,"Q4",
    "Invalid Month"
)</f>
        <v>Q1</v>
      </c>
      <c r="P322" t="str">
        <f>TEXT(Table1[[#This Row],[Last_Restock_Date]],"mmm")</f>
        <v>Mar</v>
      </c>
    </row>
    <row r="323" spans="1:16" x14ac:dyDescent="0.25">
      <c r="A323">
        <v>322</v>
      </c>
      <c r="B323" s="5" t="s">
        <v>23</v>
      </c>
      <c r="C323" s="5" t="s">
        <v>20</v>
      </c>
      <c r="D323" s="5" t="s">
        <v>12</v>
      </c>
      <c r="E323" s="5" t="s">
        <v>39</v>
      </c>
      <c r="F323" s="2">
        <v>491</v>
      </c>
      <c r="G323" s="3">
        <v>394.72</v>
      </c>
      <c r="H323">
        <v>71</v>
      </c>
      <c r="I323">
        <f>IF(Table1[[#This Row],[Status]]= "Sufficient",
     Table1[[#This Row],[Stock_Quantity]] - Table1[[#This Row],[Reorder_Level]],
     0)</f>
        <v>420</v>
      </c>
      <c r="J323" s="4">
        <v>45382</v>
      </c>
      <c r="K323" s="5" t="s">
        <v>14</v>
      </c>
      <c r="L323">
        <f>YEAR(Table1[[#This Row],[Last_Restock_Date]])</f>
        <v>2024</v>
      </c>
      <c r="M323" t="str">
        <f>_xlfn.CONCAT(TEXT(Table1[[#This Row],[Last_Restock_Date]],"mmm"), "-", YEAR(Table1[[#This Row],[Last_Restock_Date]]))</f>
        <v>Mar-2024</v>
      </c>
      <c r="N323">
        <f>MONTH(Table1[[#This Row],[Last_Restock_Date]])</f>
        <v>3</v>
      </c>
      <c r="O323" t="str" cm="1">
        <f t="array" ref="O323">_xlfn.SWITCH(Table1[[#This Row],[Month_Number]],
    1,"Q1",2,"Q1",3,"Q1",
    4,"Q2",5,"Q2",6,"Q2",
    7,"Q3",8,"Q3",9,"Q3",
    10,"Q4",11,"Q4",12,"Q4",
    "Invalid Month"
)</f>
        <v>Q1</v>
      </c>
      <c r="P323" t="str">
        <f>TEXT(Table1[[#This Row],[Last_Restock_Date]],"mmm")</f>
        <v>Mar</v>
      </c>
    </row>
    <row r="324" spans="1:16" x14ac:dyDescent="0.25">
      <c r="A324">
        <v>323</v>
      </c>
      <c r="B324" s="5" t="s">
        <v>31</v>
      </c>
      <c r="C324" s="5" t="s">
        <v>20</v>
      </c>
      <c r="D324" s="5" t="s">
        <v>17</v>
      </c>
      <c r="E324" s="5" t="s">
        <v>13</v>
      </c>
      <c r="F324" s="2">
        <v>256</v>
      </c>
      <c r="G324" s="3">
        <v>472.22</v>
      </c>
      <c r="H324">
        <v>128</v>
      </c>
      <c r="I324">
        <f>IF(Table1[[#This Row],[Status]]= "Sufficient",
     Table1[[#This Row],[Stock_Quantity]] - Table1[[#This Row],[Reorder_Level]],
     0)</f>
        <v>128</v>
      </c>
      <c r="J324" s="4">
        <v>45963</v>
      </c>
      <c r="K324" s="5" t="s">
        <v>14</v>
      </c>
      <c r="L324">
        <f>YEAR(Table1[[#This Row],[Last_Restock_Date]])</f>
        <v>2025</v>
      </c>
      <c r="M324" t="str">
        <f>_xlfn.CONCAT(TEXT(Table1[[#This Row],[Last_Restock_Date]],"mmm"), "-", YEAR(Table1[[#This Row],[Last_Restock_Date]]))</f>
        <v>Nov-2025</v>
      </c>
      <c r="N324">
        <f>MONTH(Table1[[#This Row],[Last_Restock_Date]])</f>
        <v>11</v>
      </c>
      <c r="O324" t="str" cm="1">
        <f t="array" ref="O324">_xlfn.SWITCH(Table1[[#This Row],[Month_Number]],
    1,"Q1",2,"Q1",3,"Q1",
    4,"Q2",5,"Q2",6,"Q2",
    7,"Q3",8,"Q3",9,"Q3",
    10,"Q4",11,"Q4",12,"Q4",
    "Invalid Month"
)</f>
        <v>Q4</v>
      </c>
      <c r="P324" t="str">
        <f>TEXT(Table1[[#This Row],[Last_Restock_Date]],"mmm")</f>
        <v>Nov</v>
      </c>
    </row>
    <row r="325" spans="1:16" x14ac:dyDescent="0.25">
      <c r="A325">
        <v>324</v>
      </c>
      <c r="B325" s="5" t="s">
        <v>52</v>
      </c>
      <c r="C325" s="5" t="s">
        <v>16</v>
      </c>
      <c r="D325" s="5" t="s">
        <v>17</v>
      </c>
      <c r="E325" s="5" t="s">
        <v>32</v>
      </c>
      <c r="F325" s="2">
        <v>494</v>
      </c>
      <c r="G325" s="3">
        <v>610.77</v>
      </c>
      <c r="H325">
        <v>96</v>
      </c>
      <c r="I325">
        <f>IF(Table1[[#This Row],[Status]]= "Sufficient",
     Table1[[#This Row],[Stock_Quantity]] - Table1[[#This Row],[Reorder_Level]],
     0)</f>
        <v>398</v>
      </c>
      <c r="J325" s="4">
        <v>45438</v>
      </c>
      <c r="K325" s="5" t="s">
        <v>14</v>
      </c>
      <c r="L325">
        <f>YEAR(Table1[[#This Row],[Last_Restock_Date]])</f>
        <v>2024</v>
      </c>
      <c r="M325" t="str">
        <f>_xlfn.CONCAT(TEXT(Table1[[#This Row],[Last_Restock_Date]],"mmm"), "-", YEAR(Table1[[#This Row],[Last_Restock_Date]]))</f>
        <v>May-2024</v>
      </c>
      <c r="N325">
        <f>MONTH(Table1[[#This Row],[Last_Restock_Date]])</f>
        <v>5</v>
      </c>
      <c r="O325" t="str" cm="1">
        <f t="array" ref="O325">_xlfn.SWITCH(Table1[[#This Row],[Month_Number]],
    1,"Q1",2,"Q1",3,"Q1",
    4,"Q2",5,"Q2",6,"Q2",
    7,"Q3",8,"Q3",9,"Q3",
    10,"Q4",11,"Q4",12,"Q4",
    "Invalid Month"
)</f>
        <v>Q2</v>
      </c>
      <c r="P325" t="str">
        <f>TEXT(Table1[[#This Row],[Last_Restock_Date]],"mmm")</f>
        <v>May</v>
      </c>
    </row>
    <row r="326" spans="1:16" x14ac:dyDescent="0.25">
      <c r="A326">
        <v>325</v>
      </c>
      <c r="B326" s="5" t="s">
        <v>44</v>
      </c>
      <c r="C326" s="5" t="s">
        <v>34</v>
      </c>
      <c r="D326" s="5" t="s">
        <v>12</v>
      </c>
      <c r="E326" s="5" t="s">
        <v>13</v>
      </c>
      <c r="F326" s="2">
        <v>442</v>
      </c>
      <c r="G326" s="3">
        <v>686.38</v>
      </c>
      <c r="H326">
        <v>90</v>
      </c>
      <c r="I326">
        <f>IF(Table1[[#This Row],[Status]]= "Sufficient",
     Table1[[#This Row],[Stock_Quantity]] - Table1[[#This Row],[Reorder_Level]],
     0)</f>
        <v>352</v>
      </c>
      <c r="J326" s="4">
        <v>45000</v>
      </c>
      <c r="K326" s="5" t="s">
        <v>14</v>
      </c>
      <c r="L326">
        <f>YEAR(Table1[[#This Row],[Last_Restock_Date]])</f>
        <v>2023</v>
      </c>
      <c r="M326" t="str">
        <f>_xlfn.CONCAT(TEXT(Table1[[#This Row],[Last_Restock_Date]],"mmm"), "-", YEAR(Table1[[#This Row],[Last_Restock_Date]]))</f>
        <v>Mar-2023</v>
      </c>
      <c r="N326">
        <f>MONTH(Table1[[#This Row],[Last_Restock_Date]])</f>
        <v>3</v>
      </c>
      <c r="O326" t="str" cm="1">
        <f t="array" ref="O326">_xlfn.SWITCH(Table1[[#This Row],[Month_Number]],
    1,"Q1",2,"Q1",3,"Q1",
    4,"Q2",5,"Q2",6,"Q2",
    7,"Q3",8,"Q3",9,"Q3",
    10,"Q4",11,"Q4",12,"Q4",
    "Invalid Month"
)</f>
        <v>Q1</v>
      </c>
      <c r="P326" t="str">
        <f>TEXT(Table1[[#This Row],[Last_Restock_Date]],"mmm")</f>
        <v>Mar</v>
      </c>
    </row>
    <row r="327" spans="1:16" x14ac:dyDescent="0.25">
      <c r="A327">
        <v>326</v>
      </c>
      <c r="B327" s="5" t="s">
        <v>35</v>
      </c>
      <c r="C327" s="5" t="s">
        <v>11</v>
      </c>
      <c r="D327" s="5" t="s">
        <v>24</v>
      </c>
      <c r="E327" s="5" t="s">
        <v>32</v>
      </c>
      <c r="F327" s="2">
        <v>144</v>
      </c>
      <c r="G327" s="3">
        <v>596.21</v>
      </c>
      <c r="H327">
        <v>51</v>
      </c>
      <c r="I327">
        <f>IF(Table1[[#This Row],[Status]]= "Sufficient",
     Table1[[#This Row],[Stock_Quantity]] - Table1[[#This Row],[Reorder_Level]],
     0)</f>
        <v>93</v>
      </c>
      <c r="J327" s="4">
        <v>45457</v>
      </c>
      <c r="K327" s="5" t="s">
        <v>14</v>
      </c>
      <c r="L327">
        <f>YEAR(Table1[[#This Row],[Last_Restock_Date]])</f>
        <v>2024</v>
      </c>
      <c r="M327" t="str">
        <f>_xlfn.CONCAT(TEXT(Table1[[#This Row],[Last_Restock_Date]],"mmm"), "-", YEAR(Table1[[#This Row],[Last_Restock_Date]]))</f>
        <v>Jun-2024</v>
      </c>
      <c r="N327">
        <f>MONTH(Table1[[#This Row],[Last_Restock_Date]])</f>
        <v>6</v>
      </c>
      <c r="O327" t="str" cm="1">
        <f t="array" ref="O327">_xlfn.SWITCH(Table1[[#This Row],[Month_Number]],
    1,"Q1",2,"Q1",3,"Q1",
    4,"Q2",5,"Q2",6,"Q2",
    7,"Q3",8,"Q3",9,"Q3",
    10,"Q4",11,"Q4",12,"Q4",
    "Invalid Month"
)</f>
        <v>Q2</v>
      </c>
      <c r="P327" t="str">
        <f>TEXT(Table1[[#This Row],[Last_Restock_Date]],"mmm")</f>
        <v>Jun</v>
      </c>
    </row>
    <row r="328" spans="1:16" x14ac:dyDescent="0.25">
      <c r="A328">
        <v>327</v>
      </c>
      <c r="B328" s="5" t="s">
        <v>45</v>
      </c>
      <c r="C328" s="5" t="s">
        <v>26</v>
      </c>
      <c r="D328" s="5" t="s">
        <v>21</v>
      </c>
      <c r="E328" s="5" t="s">
        <v>13</v>
      </c>
      <c r="F328" s="2">
        <v>415</v>
      </c>
      <c r="G328" s="3">
        <v>639.26</v>
      </c>
      <c r="H328">
        <v>98</v>
      </c>
      <c r="I328">
        <f>IF(Table1[[#This Row],[Status]]= "Sufficient",
     Table1[[#This Row],[Stock_Quantity]] - Table1[[#This Row],[Reorder_Level]],
     0)</f>
        <v>317</v>
      </c>
      <c r="J328" s="4">
        <v>45988</v>
      </c>
      <c r="K328" s="5" t="s">
        <v>14</v>
      </c>
      <c r="L328">
        <f>YEAR(Table1[[#This Row],[Last_Restock_Date]])</f>
        <v>2025</v>
      </c>
      <c r="M328" t="str">
        <f>_xlfn.CONCAT(TEXT(Table1[[#This Row],[Last_Restock_Date]],"mmm"), "-", YEAR(Table1[[#This Row],[Last_Restock_Date]]))</f>
        <v>Nov-2025</v>
      </c>
      <c r="N328">
        <f>MONTH(Table1[[#This Row],[Last_Restock_Date]])</f>
        <v>11</v>
      </c>
      <c r="O328" t="str" cm="1">
        <f t="array" ref="O328">_xlfn.SWITCH(Table1[[#This Row],[Month_Number]],
    1,"Q1",2,"Q1",3,"Q1",
    4,"Q2",5,"Q2",6,"Q2",
    7,"Q3",8,"Q3",9,"Q3",
    10,"Q4",11,"Q4",12,"Q4",
    "Invalid Month"
)</f>
        <v>Q4</v>
      </c>
      <c r="P328" t="str">
        <f>TEXT(Table1[[#This Row],[Last_Restock_Date]],"mmm")</f>
        <v>Nov</v>
      </c>
    </row>
    <row r="329" spans="1:16" x14ac:dyDescent="0.25">
      <c r="A329">
        <v>328</v>
      </c>
      <c r="B329" s="5" t="s">
        <v>19</v>
      </c>
      <c r="C329" s="5" t="s">
        <v>20</v>
      </c>
      <c r="D329" s="5" t="s">
        <v>12</v>
      </c>
      <c r="E329" s="5" t="s">
        <v>37</v>
      </c>
      <c r="F329" s="2">
        <v>428</v>
      </c>
      <c r="G329" s="3">
        <v>299.01</v>
      </c>
      <c r="H329">
        <v>55</v>
      </c>
      <c r="I329">
        <f>IF(Table1[[#This Row],[Status]]= "Sufficient",
     Table1[[#This Row],[Stock_Quantity]] - Table1[[#This Row],[Reorder_Level]],
     0)</f>
        <v>373</v>
      </c>
      <c r="J329" s="4">
        <v>45001</v>
      </c>
      <c r="K329" s="5" t="s">
        <v>14</v>
      </c>
      <c r="L329">
        <f>YEAR(Table1[[#This Row],[Last_Restock_Date]])</f>
        <v>2023</v>
      </c>
      <c r="M329" t="str">
        <f>_xlfn.CONCAT(TEXT(Table1[[#This Row],[Last_Restock_Date]],"mmm"), "-", YEAR(Table1[[#This Row],[Last_Restock_Date]]))</f>
        <v>Mar-2023</v>
      </c>
      <c r="N329">
        <f>MONTH(Table1[[#This Row],[Last_Restock_Date]])</f>
        <v>3</v>
      </c>
      <c r="O329" t="str" cm="1">
        <f t="array" ref="O329">_xlfn.SWITCH(Table1[[#This Row],[Month_Number]],
    1,"Q1",2,"Q1",3,"Q1",
    4,"Q2",5,"Q2",6,"Q2",
    7,"Q3",8,"Q3",9,"Q3",
    10,"Q4",11,"Q4",12,"Q4",
    "Invalid Month"
)</f>
        <v>Q1</v>
      </c>
      <c r="P329" t="str">
        <f>TEXT(Table1[[#This Row],[Last_Restock_Date]],"mmm")</f>
        <v>Mar</v>
      </c>
    </row>
    <row r="330" spans="1:16" x14ac:dyDescent="0.25">
      <c r="A330">
        <v>329</v>
      </c>
      <c r="B330" s="5" t="s">
        <v>53</v>
      </c>
      <c r="C330" s="5" t="s">
        <v>26</v>
      </c>
      <c r="D330" s="5" t="s">
        <v>30</v>
      </c>
      <c r="E330" s="5" t="s">
        <v>32</v>
      </c>
      <c r="F330" s="2">
        <v>52</v>
      </c>
      <c r="G330" s="3">
        <v>110.13</v>
      </c>
      <c r="H330">
        <v>111</v>
      </c>
      <c r="I330">
        <f>IF(Table1[[#This Row],[Status]]= "Sufficient",
     Table1[[#This Row],[Stock_Quantity]] - Table1[[#This Row],[Reorder_Level]],
     0)</f>
        <v>0</v>
      </c>
      <c r="J330" s="4">
        <v>45600</v>
      </c>
      <c r="K330" s="5" t="s">
        <v>28</v>
      </c>
      <c r="L330">
        <f>YEAR(Table1[[#This Row],[Last_Restock_Date]])</f>
        <v>2024</v>
      </c>
      <c r="M330" t="str">
        <f>_xlfn.CONCAT(TEXT(Table1[[#This Row],[Last_Restock_Date]],"mmm"), "-", YEAR(Table1[[#This Row],[Last_Restock_Date]]))</f>
        <v>Nov-2024</v>
      </c>
      <c r="N330">
        <f>MONTH(Table1[[#This Row],[Last_Restock_Date]])</f>
        <v>11</v>
      </c>
      <c r="O330" t="str" cm="1">
        <f t="array" ref="O330">_xlfn.SWITCH(Table1[[#This Row],[Month_Number]],
    1,"Q1",2,"Q1",3,"Q1",
    4,"Q2",5,"Q2",6,"Q2",
    7,"Q3",8,"Q3",9,"Q3",
    10,"Q4",11,"Q4",12,"Q4",
    "Invalid Month"
)</f>
        <v>Q4</v>
      </c>
      <c r="P330" t="str">
        <f>TEXT(Table1[[#This Row],[Last_Restock_Date]],"mmm")</f>
        <v>Nov</v>
      </c>
    </row>
    <row r="331" spans="1:16" x14ac:dyDescent="0.25">
      <c r="A331">
        <v>330</v>
      </c>
      <c r="B331" s="5" t="s">
        <v>46</v>
      </c>
      <c r="C331" s="5" t="s">
        <v>34</v>
      </c>
      <c r="D331" s="5" t="s">
        <v>17</v>
      </c>
      <c r="E331" s="5" t="s">
        <v>27</v>
      </c>
      <c r="F331" s="2">
        <v>212</v>
      </c>
      <c r="G331" s="3">
        <v>225.79</v>
      </c>
      <c r="H331">
        <v>147</v>
      </c>
      <c r="I331">
        <f>IF(Table1[[#This Row],[Status]]= "Sufficient",
     Table1[[#This Row],[Stock_Quantity]] - Table1[[#This Row],[Reorder_Level]],
     0)</f>
        <v>65</v>
      </c>
      <c r="J331" s="4">
        <v>45102</v>
      </c>
      <c r="K331" s="5" t="s">
        <v>14</v>
      </c>
      <c r="L331">
        <f>YEAR(Table1[[#This Row],[Last_Restock_Date]])</f>
        <v>2023</v>
      </c>
      <c r="M331" t="str">
        <f>_xlfn.CONCAT(TEXT(Table1[[#This Row],[Last_Restock_Date]],"mmm"), "-", YEAR(Table1[[#This Row],[Last_Restock_Date]]))</f>
        <v>Jun-2023</v>
      </c>
      <c r="N331">
        <f>MONTH(Table1[[#This Row],[Last_Restock_Date]])</f>
        <v>6</v>
      </c>
      <c r="O331" t="str" cm="1">
        <f t="array" ref="O331">_xlfn.SWITCH(Table1[[#This Row],[Month_Number]],
    1,"Q1",2,"Q1",3,"Q1",
    4,"Q2",5,"Q2",6,"Q2",
    7,"Q3",8,"Q3",9,"Q3",
    10,"Q4",11,"Q4",12,"Q4",
    "Invalid Month"
)</f>
        <v>Q2</v>
      </c>
      <c r="P331" t="str">
        <f>TEXT(Table1[[#This Row],[Last_Restock_Date]],"mmm")</f>
        <v>Jun</v>
      </c>
    </row>
    <row r="332" spans="1:16" x14ac:dyDescent="0.25">
      <c r="A332">
        <v>331</v>
      </c>
      <c r="B332" s="5" t="s">
        <v>41</v>
      </c>
      <c r="C332" s="5" t="s">
        <v>16</v>
      </c>
      <c r="D332" s="5" t="s">
        <v>30</v>
      </c>
      <c r="E332" s="5" t="s">
        <v>27</v>
      </c>
      <c r="F332" s="2">
        <v>247</v>
      </c>
      <c r="G332" s="3">
        <v>490.73</v>
      </c>
      <c r="H332">
        <v>140</v>
      </c>
      <c r="I332">
        <f>IF(Table1[[#This Row],[Status]]= "Sufficient",
     Table1[[#This Row],[Stock_Quantity]] - Table1[[#This Row],[Reorder_Level]],
     0)</f>
        <v>107</v>
      </c>
      <c r="J332" s="4">
        <v>44936</v>
      </c>
      <c r="K332" s="5" t="s">
        <v>14</v>
      </c>
      <c r="L332">
        <f>YEAR(Table1[[#This Row],[Last_Restock_Date]])</f>
        <v>2023</v>
      </c>
      <c r="M332" t="str">
        <f>_xlfn.CONCAT(TEXT(Table1[[#This Row],[Last_Restock_Date]],"mmm"), "-", YEAR(Table1[[#This Row],[Last_Restock_Date]]))</f>
        <v>Jan-2023</v>
      </c>
      <c r="N332">
        <f>MONTH(Table1[[#This Row],[Last_Restock_Date]])</f>
        <v>1</v>
      </c>
      <c r="O332" t="str" cm="1">
        <f t="array" ref="O332">_xlfn.SWITCH(Table1[[#This Row],[Month_Number]],
    1,"Q1",2,"Q1",3,"Q1",
    4,"Q2",5,"Q2",6,"Q2",
    7,"Q3",8,"Q3",9,"Q3",
    10,"Q4",11,"Q4",12,"Q4",
    "Invalid Month"
)</f>
        <v>Q1</v>
      </c>
      <c r="P332" t="str">
        <f>TEXT(Table1[[#This Row],[Last_Restock_Date]],"mmm")</f>
        <v>Jan</v>
      </c>
    </row>
    <row r="333" spans="1:16" x14ac:dyDescent="0.25">
      <c r="A333">
        <v>332</v>
      </c>
      <c r="B333" s="5" t="s">
        <v>48</v>
      </c>
      <c r="C333" s="5" t="s">
        <v>20</v>
      </c>
      <c r="D333" s="5" t="s">
        <v>17</v>
      </c>
      <c r="E333" s="5" t="s">
        <v>13</v>
      </c>
      <c r="F333" s="2">
        <v>361</v>
      </c>
      <c r="G333" s="3">
        <v>514.17999999999995</v>
      </c>
      <c r="H333">
        <v>82</v>
      </c>
      <c r="I333">
        <f>IF(Table1[[#This Row],[Status]]= "Sufficient",
     Table1[[#This Row],[Stock_Quantity]] - Table1[[#This Row],[Reorder_Level]],
     0)</f>
        <v>279</v>
      </c>
      <c r="J333" s="4">
        <v>46009</v>
      </c>
      <c r="K333" s="5" t="s">
        <v>14</v>
      </c>
      <c r="L333">
        <f>YEAR(Table1[[#This Row],[Last_Restock_Date]])</f>
        <v>2025</v>
      </c>
      <c r="M333" t="str">
        <f>_xlfn.CONCAT(TEXT(Table1[[#This Row],[Last_Restock_Date]],"mmm"), "-", YEAR(Table1[[#This Row],[Last_Restock_Date]]))</f>
        <v>Dec-2025</v>
      </c>
      <c r="N333">
        <f>MONTH(Table1[[#This Row],[Last_Restock_Date]])</f>
        <v>12</v>
      </c>
      <c r="O333" t="str" cm="1">
        <f t="array" ref="O333">_xlfn.SWITCH(Table1[[#This Row],[Month_Number]],
    1,"Q1",2,"Q1",3,"Q1",
    4,"Q2",5,"Q2",6,"Q2",
    7,"Q3",8,"Q3",9,"Q3",
    10,"Q4",11,"Q4",12,"Q4",
    "Invalid Month"
)</f>
        <v>Q4</v>
      </c>
      <c r="P333" t="str">
        <f>TEXT(Table1[[#This Row],[Last_Restock_Date]],"mmm")</f>
        <v>Dec</v>
      </c>
    </row>
    <row r="334" spans="1:16" x14ac:dyDescent="0.25">
      <c r="A334">
        <v>333</v>
      </c>
      <c r="B334" s="5" t="s">
        <v>29</v>
      </c>
      <c r="C334" s="5" t="s">
        <v>16</v>
      </c>
      <c r="D334" s="5" t="s">
        <v>17</v>
      </c>
      <c r="E334" s="5" t="s">
        <v>18</v>
      </c>
      <c r="F334" s="2">
        <v>426</v>
      </c>
      <c r="G334" s="3">
        <v>578.26</v>
      </c>
      <c r="H334">
        <v>83</v>
      </c>
      <c r="I334">
        <f>IF(Table1[[#This Row],[Status]]= "Sufficient",
     Table1[[#This Row],[Stock_Quantity]] - Table1[[#This Row],[Reorder_Level]],
     0)</f>
        <v>343</v>
      </c>
      <c r="J334" s="4">
        <v>45995</v>
      </c>
      <c r="K334" s="5" t="s">
        <v>14</v>
      </c>
      <c r="L334">
        <f>YEAR(Table1[[#This Row],[Last_Restock_Date]])</f>
        <v>2025</v>
      </c>
      <c r="M334" t="str">
        <f>_xlfn.CONCAT(TEXT(Table1[[#This Row],[Last_Restock_Date]],"mmm"), "-", YEAR(Table1[[#This Row],[Last_Restock_Date]]))</f>
        <v>Dec-2025</v>
      </c>
      <c r="N334">
        <f>MONTH(Table1[[#This Row],[Last_Restock_Date]])</f>
        <v>12</v>
      </c>
      <c r="O334" t="str" cm="1">
        <f t="array" ref="O334">_xlfn.SWITCH(Table1[[#This Row],[Month_Number]],
    1,"Q1",2,"Q1",3,"Q1",
    4,"Q2",5,"Q2",6,"Q2",
    7,"Q3",8,"Q3",9,"Q3",
    10,"Q4",11,"Q4",12,"Q4",
    "Invalid Month"
)</f>
        <v>Q4</v>
      </c>
      <c r="P334" t="str">
        <f>TEXT(Table1[[#This Row],[Last_Restock_Date]],"mmm")</f>
        <v>Dec</v>
      </c>
    </row>
    <row r="335" spans="1:16" x14ac:dyDescent="0.25">
      <c r="A335">
        <v>334</v>
      </c>
      <c r="B335" s="5" t="s">
        <v>53</v>
      </c>
      <c r="C335" s="5" t="s">
        <v>26</v>
      </c>
      <c r="D335" s="5" t="s">
        <v>17</v>
      </c>
      <c r="E335" s="5" t="s">
        <v>13</v>
      </c>
      <c r="F335" s="2">
        <v>371</v>
      </c>
      <c r="G335" s="3">
        <v>757.63</v>
      </c>
      <c r="H335">
        <v>85</v>
      </c>
      <c r="I335">
        <f>IF(Table1[[#This Row],[Status]]= "Sufficient",
     Table1[[#This Row],[Stock_Quantity]] - Table1[[#This Row],[Reorder_Level]],
     0)</f>
        <v>286</v>
      </c>
      <c r="J335" s="4">
        <v>45540</v>
      </c>
      <c r="K335" s="5" t="s">
        <v>14</v>
      </c>
      <c r="L335">
        <f>YEAR(Table1[[#This Row],[Last_Restock_Date]])</f>
        <v>2024</v>
      </c>
      <c r="M335" t="str">
        <f>_xlfn.CONCAT(TEXT(Table1[[#This Row],[Last_Restock_Date]],"mmm"), "-", YEAR(Table1[[#This Row],[Last_Restock_Date]]))</f>
        <v>Sep-2024</v>
      </c>
      <c r="N335">
        <f>MONTH(Table1[[#This Row],[Last_Restock_Date]])</f>
        <v>9</v>
      </c>
      <c r="O335" t="str" cm="1">
        <f t="array" ref="O335">_xlfn.SWITCH(Table1[[#This Row],[Month_Number]],
    1,"Q1",2,"Q1",3,"Q1",
    4,"Q2",5,"Q2",6,"Q2",
    7,"Q3",8,"Q3",9,"Q3",
    10,"Q4",11,"Q4",12,"Q4",
    "Invalid Month"
)</f>
        <v>Q3</v>
      </c>
      <c r="P335" t="str">
        <f>TEXT(Table1[[#This Row],[Last_Restock_Date]],"mmm")</f>
        <v>Sep</v>
      </c>
    </row>
    <row r="336" spans="1:16" x14ac:dyDescent="0.25">
      <c r="A336">
        <v>335</v>
      </c>
      <c r="B336" s="5" t="s">
        <v>48</v>
      </c>
      <c r="C336" s="5" t="s">
        <v>20</v>
      </c>
      <c r="D336" s="5" t="s">
        <v>30</v>
      </c>
      <c r="E336" s="5" t="s">
        <v>37</v>
      </c>
      <c r="F336" s="2">
        <v>488</v>
      </c>
      <c r="G336" s="3">
        <v>131.22</v>
      </c>
      <c r="H336">
        <v>80</v>
      </c>
      <c r="I336">
        <f>IF(Table1[[#This Row],[Status]]= "Sufficient",
     Table1[[#This Row],[Stock_Quantity]] - Table1[[#This Row],[Reorder_Level]],
     0)</f>
        <v>408</v>
      </c>
      <c r="J336" s="4">
        <v>45964</v>
      </c>
      <c r="K336" s="5" t="s">
        <v>14</v>
      </c>
      <c r="L336">
        <f>YEAR(Table1[[#This Row],[Last_Restock_Date]])</f>
        <v>2025</v>
      </c>
      <c r="M336" t="str">
        <f>_xlfn.CONCAT(TEXT(Table1[[#This Row],[Last_Restock_Date]],"mmm"), "-", YEAR(Table1[[#This Row],[Last_Restock_Date]]))</f>
        <v>Nov-2025</v>
      </c>
      <c r="N336">
        <f>MONTH(Table1[[#This Row],[Last_Restock_Date]])</f>
        <v>11</v>
      </c>
      <c r="O336" t="str" cm="1">
        <f t="array" ref="O336">_xlfn.SWITCH(Table1[[#This Row],[Month_Number]],
    1,"Q1",2,"Q1",3,"Q1",
    4,"Q2",5,"Q2",6,"Q2",
    7,"Q3",8,"Q3",9,"Q3",
    10,"Q4",11,"Q4",12,"Q4",
    "Invalid Month"
)</f>
        <v>Q4</v>
      </c>
      <c r="P336" t="str">
        <f>TEXT(Table1[[#This Row],[Last_Restock_Date]],"mmm")</f>
        <v>Nov</v>
      </c>
    </row>
    <row r="337" spans="1:16" x14ac:dyDescent="0.25">
      <c r="A337">
        <v>336</v>
      </c>
      <c r="B337" s="5" t="s">
        <v>35</v>
      </c>
      <c r="C337" s="5" t="s">
        <v>11</v>
      </c>
      <c r="D337" s="5" t="s">
        <v>24</v>
      </c>
      <c r="E337" s="5" t="s">
        <v>27</v>
      </c>
      <c r="F337" s="2">
        <v>456</v>
      </c>
      <c r="G337" s="3">
        <v>434.4</v>
      </c>
      <c r="H337">
        <v>132</v>
      </c>
      <c r="I337">
        <f>IF(Table1[[#This Row],[Status]]= "Sufficient",
     Table1[[#This Row],[Stock_Quantity]] - Table1[[#This Row],[Reorder_Level]],
     0)</f>
        <v>324</v>
      </c>
      <c r="J337" s="4">
        <v>45129</v>
      </c>
      <c r="K337" s="5" t="s">
        <v>14</v>
      </c>
      <c r="L337">
        <f>YEAR(Table1[[#This Row],[Last_Restock_Date]])</f>
        <v>2023</v>
      </c>
      <c r="M337" t="str">
        <f>_xlfn.CONCAT(TEXT(Table1[[#This Row],[Last_Restock_Date]],"mmm"), "-", YEAR(Table1[[#This Row],[Last_Restock_Date]]))</f>
        <v>Jul-2023</v>
      </c>
      <c r="N337">
        <f>MONTH(Table1[[#This Row],[Last_Restock_Date]])</f>
        <v>7</v>
      </c>
      <c r="O337" t="str" cm="1">
        <f t="array" ref="O337">_xlfn.SWITCH(Table1[[#This Row],[Month_Number]],
    1,"Q1",2,"Q1",3,"Q1",
    4,"Q2",5,"Q2",6,"Q2",
    7,"Q3",8,"Q3",9,"Q3",
    10,"Q4",11,"Q4",12,"Q4",
    "Invalid Month"
)</f>
        <v>Q3</v>
      </c>
      <c r="P337" t="str">
        <f>TEXT(Table1[[#This Row],[Last_Restock_Date]],"mmm")</f>
        <v>Jul</v>
      </c>
    </row>
    <row r="338" spans="1:16" x14ac:dyDescent="0.25">
      <c r="A338">
        <v>337</v>
      </c>
      <c r="B338" s="5" t="s">
        <v>49</v>
      </c>
      <c r="C338" s="5" t="s">
        <v>16</v>
      </c>
      <c r="D338" s="5" t="s">
        <v>12</v>
      </c>
      <c r="E338" s="5" t="s">
        <v>39</v>
      </c>
      <c r="F338" s="2">
        <v>31</v>
      </c>
      <c r="G338" s="3">
        <v>149.76</v>
      </c>
      <c r="H338">
        <v>88</v>
      </c>
      <c r="I338">
        <f>IF(Table1[[#This Row],[Status]]= "Sufficient",
     Table1[[#This Row],[Stock_Quantity]] - Table1[[#This Row],[Reorder_Level]],
     0)</f>
        <v>0</v>
      </c>
      <c r="J338" s="4">
        <v>45537</v>
      </c>
      <c r="K338" s="5" t="s">
        <v>28</v>
      </c>
      <c r="L338">
        <f>YEAR(Table1[[#This Row],[Last_Restock_Date]])</f>
        <v>2024</v>
      </c>
      <c r="M338" t="str">
        <f>_xlfn.CONCAT(TEXT(Table1[[#This Row],[Last_Restock_Date]],"mmm"), "-", YEAR(Table1[[#This Row],[Last_Restock_Date]]))</f>
        <v>Sep-2024</v>
      </c>
      <c r="N338">
        <f>MONTH(Table1[[#This Row],[Last_Restock_Date]])</f>
        <v>9</v>
      </c>
      <c r="O338" t="str" cm="1">
        <f t="array" ref="O338">_xlfn.SWITCH(Table1[[#This Row],[Month_Number]],
    1,"Q1",2,"Q1",3,"Q1",
    4,"Q2",5,"Q2",6,"Q2",
    7,"Q3",8,"Q3",9,"Q3",
    10,"Q4",11,"Q4",12,"Q4",
    "Invalid Month"
)</f>
        <v>Q3</v>
      </c>
      <c r="P338" t="str">
        <f>TEXT(Table1[[#This Row],[Last_Restock_Date]],"mmm")</f>
        <v>Sep</v>
      </c>
    </row>
    <row r="339" spans="1:16" x14ac:dyDescent="0.25">
      <c r="A339">
        <v>338</v>
      </c>
      <c r="B339" s="5" t="s">
        <v>23</v>
      </c>
      <c r="C339" s="5" t="s">
        <v>20</v>
      </c>
      <c r="D339" s="5" t="s">
        <v>12</v>
      </c>
      <c r="E339" s="5" t="s">
        <v>27</v>
      </c>
      <c r="F339" s="2">
        <v>317</v>
      </c>
      <c r="G339" s="3">
        <v>328.18</v>
      </c>
      <c r="H339">
        <v>128</v>
      </c>
      <c r="I339">
        <f>IF(Table1[[#This Row],[Status]]= "Sufficient",
     Table1[[#This Row],[Stock_Quantity]] - Table1[[#This Row],[Reorder_Level]],
     0)</f>
        <v>189</v>
      </c>
      <c r="J339" s="4">
        <v>45980</v>
      </c>
      <c r="K339" s="5" t="s">
        <v>14</v>
      </c>
      <c r="L339">
        <f>YEAR(Table1[[#This Row],[Last_Restock_Date]])</f>
        <v>2025</v>
      </c>
      <c r="M339" t="str">
        <f>_xlfn.CONCAT(TEXT(Table1[[#This Row],[Last_Restock_Date]],"mmm"), "-", YEAR(Table1[[#This Row],[Last_Restock_Date]]))</f>
        <v>Nov-2025</v>
      </c>
      <c r="N339">
        <f>MONTH(Table1[[#This Row],[Last_Restock_Date]])</f>
        <v>11</v>
      </c>
      <c r="O339" t="str" cm="1">
        <f t="array" ref="O339">_xlfn.SWITCH(Table1[[#This Row],[Month_Number]],
    1,"Q1",2,"Q1",3,"Q1",
    4,"Q2",5,"Q2",6,"Q2",
    7,"Q3",8,"Q3",9,"Q3",
    10,"Q4",11,"Q4",12,"Q4",
    "Invalid Month"
)</f>
        <v>Q4</v>
      </c>
      <c r="P339" t="str">
        <f>TEXT(Table1[[#This Row],[Last_Restock_Date]],"mmm")</f>
        <v>Nov</v>
      </c>
    </row>
    <row r="340" spans="1:16" x14ac:dyDescent="0.25">
      <c r="A340">
        <v>339</v>
      </c>
      <c r="B340" s="5" t="s">
        <v>23</v>
      </c>
      <c r="C340" s="5" t="s">
        <v>20</v>
      </c>
      <c r="D340" s="5" t="s">
        <v>21</v>
      </c>
      <c r="E340" s="5" t="s">
        <v>27</v>
      </c>
      <c r="F340" s="2">
        <v>90</v>
      </c>
      <c r="G340" s="3">
        <v>272.26</v>
      </c>
      <c r="H340">
        <v>131</v>
      </c>
      <c r="I340">
        <f>IF(Table1[[#This Row],[Status]]= "Sufficient",
     Table1[[#This Row],[Stock_Quantity]] - Table1[[#This Row],[Reorder_Level]],
     0)</f>
        <v>0</v>
      </c>
      <c r="J340" s="4">
        <v>45552</v>
      </c>
      <c r="K340" s="5" t="s">
        <v>28</v>
      </c>
      <c r="L340">
        <f>YEAR(Table1[[#This Row],[Last_Restock_Date]])</f>
        <v>2024</v>
      </c>
      <c r="M340" t="str">
        <f>_xlfn.CONCAT(TEXT(Table1[[#This Row],[Last_Restock_Date]],"mmm"), "-", YEAR(Table1[[#This Row],[Last_Restock_Date]]))</f>
        <v>Sep-2024</v>
      </c>
      <c r="N340">
        <f>MONTH(Table1[[#This Row],[Last_Restock_Date]])</f>
        <v>9</v>
      </c>
      <c r="O340" t="str" cm="1">
        <f t="array" ref="O340">_xlfn.SWITCH(Table1[[#This Row],[Month_Number]],
    1,"Q1",2,"Q1",3,"Q1",
    4,"Q2",5,"Q2",6,"Q2",
    7,"Q3",8,"Q3",9,"Q3",
    10,"Q4",11,"Q4",12,"Q4",
    "Invalid Month"
)</f>
        <v>Q3</v>
      </c>
      <c r="P340" t="str">
        <f>TEXT(Table1[[#This Row],[Last_Restock_Date]],"mmm")</f>
        <v>Sep</v>
      </c>
    </row>
    <row r="341" spans="1:16" x14ac:dyDescent="0.25">
      <c r="A341">
        <v>340</v>
      </c>
      <c r="B341" s="5" t="s">
        <v>54</v>
      </c>
      <c r="C341" s="5" t="s">
        <v>20</v>
      </c>
      <c r="D341" s="5" t="s">
        <v>17</v>
      </c>
      <c r="E341" s="5" t="s">
        <v>18</v>
      </c>
      <c r="F341" s="2">
        <v>98</v>
      </c>
      <c r="G341" s="3">
        <v>555.34</v>
      </c>
      <c r="H341">
        <v>120</v>
      </c>
      <c r="I341">
        <f>IF(Table1[[#This Row],[Status]]= "Sufficient",
     Table1[[#This Row],[Stock_Quantity]] - Table1[[#This Row],[Reorder_Level]],
     0)</f>
        <v>0</v>
      </c>
      <c r="J341" s="4">
        <v>45729</v>
      </c>
      <c r="K341" s="5" t="s">
        <v>28</v>
      </c>
      <c r="L341">
        <f>YEAR(Table1[[#This Row],[Last_Restock_Date]])</f>
        <v>2025</v>
      </c>
      <c r="M341" t="str">
        <f>_xlfn.CONCAT(TEXT(Table1[[#This Row],[Last_Restock_Date]],"mmm"), "-", YEAR(Table1[[#This Row],[Last_Restock_Date]]))</f>
        <v>Mar-2025</v>
      </c>
      <c r="N341">
        <f>MONTH(Table1[[#This Row],[Last_Restock_Date]])</f>
        <v>3</v>
      </c>
      <c r="O341" t="str" cm="1">
        <f t="array" ref="O341">_xlfn.SWITCH(Table1[[#This Row],[Month_Number]],
    1,"Q1",2,"Q1",3,"Q1",
    4,"Q2",5,"Q2",6,"Q2",
    7,"Q3",8,"Q3",9,"Q3",
    10,"Q4",11,"Q4",12,"Q4",
    "Invalid Month"
)</f>
        <v>Q1</v>
      </c>
      <c r="P341" t="str">
        <f>TEXT(Table1[[#This Row],[Last_Restock_Date]],"mmm")</f>
        <v>Mar</v>
      </c>
    </row>
    <row r="342" spans="1:16" x14ac:dyDescent="0.25">
      <c r="A342">
        <v>341</v>
      </c>
      <c r="B342" s="5" t="s">
        <v>22</v>
      </c>
      <c r="C342" s="5" t="s">
        <v>11</v>
      </c>
      <c r="D342" s="5" t="s">
        <v>12</v>
      </c>
      <c r="E342" s="5" t="s">
        <v>13</v>
      </c>
      <c r="F342" s="2">
        <v>45</v>
      </c>
      <c r="G342" s="3">
        <v>62.18</v>
      </c>
      <c r="H342">
        <v>99</v>
      </c>
      <c r="I342">
        <f>IF(Table1[[#This Row],[Status]]= "Sufficient",
     Table1[[#This Row],[Stock_Quantity]] - Table1[[#This Row],[Reorder_Level]],
     0)</f>
        <v>0</v>
      </c>
      <c r="J342" s="4">
        <v>45897</v>
      </c>
      <c r="K342" s="5" t="s">
        <v>28</v>
      </c>
      <c r="L342">
        <f>YEAR(Table1[[#This Row],[Last_Restock_Date]])</f>
        <v>2025</v>
      </c>
      <c r="M342" t="str">
        <f>_xlfn.CONCAT(TEXT(Table1[[#This Row],[Last_Restock_Date]],"mmm"), "-", YEAR(Table1[[#This Row],[Last_Restock_Date]]))</f>
        <v>Aug-2025</v>
      </c>
      <c r="N342">
        <f>MONTH(Table1[[#This Row],[Last_Restock_Date]])</f>
        <v>8</v>
      </c>
      <c r="O342" t="str" cm="1">
        <f t="array" ref="O342">_xlfn.SWITCH(Table1[[#This Row],[Month_Number]],
    1,"Q1",2,"Q1",3,"Q1",
    4,"Q2",5,"Q2",6,"Q2",
    7,"Q3",8,"Q3",9,"Q3",
    10,"Q4",11,"Q4",12,"Q4",
    "Invalid Month"
)</f>
        <v>Q3</v>
      </c>
      <c r="P342" t="str">
        <f>TEXT(Table1[[#This Row],[Last_Restock_Date]],"mmm")</f>
        <v>Aug</v>
      </c>
    </row>
    <row r="343" spans="1:16" x14ac:dyDescent="0.25">
      <c r="A343">
        <v>342</v>
      </c>
      <c r="B343" s="5" t="s">
        <v>25</v>
      </c>
      <c r="C343" s="5" t="s">
        <v>26</v>
      </c>
      <c r="D343" s="5" t="s">
        <v>30</v>
      </c>
      <c r="E343" s="5" t="s">
        <v>27</v>
      </c>
      <c r="F343" s="2">
        <v>405</v>
      </c>
      <c r="G343" s="3">
        <v>771.32</v>
      </c>
      <c r="H343">
        <v>84</v>
      </c>
      <c r="I343">
        <f>IF(Table1[[#This Row],[Status]]= "Sufficient",
     Table1[[#This Row],[Stock_Quantity]] - Table1[[#This Row],[Reorder_Level]],
     0)</f>
        <v>321</v>
      </c>
      <c r="J343" s="4">
        <v>45743</v>
      </c>
      <c r="K343" s="5" t="s">
        <v>14</v>
      </c>
      <c r="L343">
        <f>YEAR(Table1[[#This Row],[Last_Restock_Date]])</f>
        <v>2025</v>
      </c>
      <c r="M343" t="str">
        <f>_xlfn.CONCAT(TEXT(Table1[[#This Row],[Last_Restock_Date]],"mmm"), "-", YEAR(Table1[[#This Row],[Last_Restock_Date]]))</f>
        <v>Mar-2025</v>
      </c>
      <c r="N343">
        <f>MONTH(Table1[[#This Row],[Last_Restock_Date]])</f>
        <v>3</v>
      </c>
      <c r="O343" t="str" cm="1">
        <f t="array" ref="O343">_xlfn.SWITCH(Table1[[#This Row],[Month_Number]],
    1,"Q1",2,"Q1",3,"Q1",
    4,"Q2",5,"Q2",6,"Q2",
    7,"Q3",8,"Q3",9,"Q3",
    10,"Q4",11,"Q4",12,"Q4",
    "Invalid Month"
)</f>
        <v>Q1</v>
      </c>
      <c r="P343" t="str">
        <f>TEXT(Table1[[#This Row],[Last_Restock_Date]],"mmm")</f>
        <v>Mar</v>
      </c>
    </row>
    <row r="344" spans="1:16" x14ac:dyDescent="0.25">
      <c r="A344">
        <v>343</v>
      </c>
      <c r="B344" s="5" t="s">
        <v>50</v>
      </c>
      <c r="C344" s="5" t="s">
        <v>34</v>
      </c>
      <c r="D344" s="5" t="s">
        <v>17</v>
      </c>
      <c r="E344" s="5" t="s">
        <v>32</v>
      </c>
      <c r="F344" s="2">
        <v>9</v>
      </c>
      <c r="G344" s="3">
        <v>51.24</v>
      </c>
      <c r="H344">
        <v>129</v>
      </c>
      <c r="I344">
        <f>IF(Table1[[#This Row],[Status]]= "Sufficient",
     Table1[[#This Row],[Stock_Quantity]] - Table1[[#This Row],[Reorder_Level]],
     0)</f>
        <v>0</v>
      </c>
      <c r="J344" s="4">
        <v>45775</v>
      </c>
      <c r="K344" s="5" t="s">
        <v>28</v>
      </c>
      <c r="L344">
        <f>YEAR(Table1[[#This Row],[Last_Restock_Date]])</f>
        <v>2025</v>
      </c>
      <c r="M344" t="str">
        <f>_xlfn.CONCAT(TEXT(Table1[[#This Row],[Last_Restock_Date]],"mmm"), "-", YEAR(Table1[[#This Row],[Last_Restock_Date]]))</f>
        <v>Apr-2025</v>
      </c>
      <c r="N344">
        <f>MONTH(Table1[[#This Row],[Last_Restock_Date]])</f>
        <v>4</v>
      </c>
      <c r="O344" t="str" cm="1">
        <f t="array" ref="O344">_xlfn.SWITCH(Table1[[#This Row],[Month_Number]],
    1,"Q1",2,"Q1",3,"Q1",
    4,"Q2",5,"Q2",6,"Q2",
    7,"Q3",8,"Q3",9,"Q3",
    10,"Q4",11,"Q4",12,"Q4",
    "Invalid Month"
)</f>
        <v>Q2</v>
      </c>
      <c r="P344" t="str">
        <f>TEXT(Table1[[#This Row],[Last_Restock_Date]],"mmm")</f>
        <v>Apr</v>
      </c>
    </row>
    <row r="345" spans="1:16" x14ac:dyDescent="0.25">
      <c r="A345">
        <v>344</v>
      </c>
      <c r="B345" s="5" t="s">
        <v>19</v>
      </c>
      <c r="C345" s="5" t="s">
        <v>20</v>
      </c>
      <c r="D345" s="5" t="s">
        <v>17</v>
      </c>
      <c r="E345" s="5" t="s">
        <v>32</v>
      </c>
      <c r="F345" s="2">
        <v>132</v>
      </c>
      <c r="G345" s="3">
        <v>286.99</v>
      </c>
      <c r="H345">
        <v>112</v>
      </c>
      <c r="I345">
        <f>IF(Table1[[#This Row],[Status]]= "Sufficient",
     Table1[[#This Row],[Stock_Quantity]] - Table1[[#This Row],[Reorder_Level]],
     0)</f>
        <v>20</v>
      </c>
      <c r="J345" s="4">
        <v>45024</v>
      </c>
      <c r="K345" s="5" t="s">
        <v>14</v>
      </c>
      <c r="L345">
        <f>YEAR(Table1[[#This Row],[Last_Restock_Date]])</f>
        <v>2023</v>
      </c>
      <c r="M345" t="str">
        <f>_xlfn.CONCAT(TEXT(Table1[[#This Row],[Last_Restock_Date]],"mmm"), "-", YEAR(Table1[[#This Row],[Last_Restock_Date]]))</f>
        <v>Apr-2023</v>
      </c>
      <c r="N345">
        <f>MONTH(Table1[[#This Row],[Last_Restock_Date]])</f>
        <v>4</v>
      </c>
      <c r="O345" t="str" cm="1">
        <f t="array" ref="O345">_xlfn.SWITCH(Table1[[#This Row],[Month_Number]],
    1,"Q1",2,"Q1",3,"Q1",
    4,"Q2",5,"Q2",6,"Q2",
    7,"Q3",8,"Q3",9,"Q3",
    10,"Q4",11,"Q4",12,"Q4",
    "Invalid Month"
)</f>
        <v>Q2</v>
      </c>
      <c r="P345" t="str">
        <f>TEXT(Table1[[#This Row],[Last_Restock_Date]],"mmm")</f>
        <v>Apr</v>
      </c>
    </row>
    <row r="346" spans="1:16" x14ac:dyDescent="0.25">
      <c r="A346">
        <v>345</v>
      </c>
      <c r="B346" s="5" t="s">
        <v>45</v>
      </c>
      <c r="C346" s="5" t="s">
        <v>26</v>
      </c>
      <c r="D346" s="5" t="s">
        <v>12</v>
      </c>
      <c r="E346" s="5" t="s">
        <v>18</v>
      </c>
      <c r="F346" s="2">
        <v>42</v>
      </c>
      <c r="G346" s="3">
        <v>636.97</v>
      </c>
      <c r="H346">
        <v>106</v>
      </c>
      <c r="I346">
        <f>IF(Table1[[#This Row],[Status]]= "Sufficient",
     Table1[[#This Row],[Stock_Quantity]] - Table1[[#This Row],[Reorder_Level]],
     0)</f>
        <v>0</v>
      </c>
      <c r="J346" s="4">
        <v>45971</v>
      </c>
      <c r="K346" s="5" t="s">
        <v>28</v>
      </c>
      <c r="L346">
        <f>YEAR(Table1[[#This Row],[Last_Restock_Date]])</f>
        <v>2025</v>
      </c>
      <c r="M346" t="str">
        <f>_xlfn.CONCAT(TEXT(Table1[[#This Row],[Last_Restock_Date]],"mmm"), "-", YEAR(Table1[[#This Row],[Last_Restock_Date]]))</f>
        <v>Nov-2025</v>
      </c>
      <c r="N346">
        <f>MONTH(Table1[[#This Row],[Last_Restock_Date]])</f>
        <v>11</v>
      </c>
      <c r="O346" t="str" cm="1">
        <f t="array" ref="O346">_xlfn.SWITCH(Table1[[#This Row],[Month_Number]],
    1,"Q1",2,"Q1",3,"Q1",
    4,"Q2",5,"Q2",6,"Q2",
    7,"Q3",8,"Q3",9,"Q3",
    10,"Q4",11,"Q4",12,"Q4",
    "Invalid Month"
)</f>
        <v>Q4</v>
      </c>
      <c r="P346" t="str">
        <f>TEXT(Table1[[#This Row],[Last_Restock_Date]],"mmm")</f>
        <v>Nov</v>
      </c>
    </row>
    <row r="347" spans="1:16" x14ac:dyDescent="0.25">
      <c r="A347">
        <v>346</v>
      </c>
      <c r="B347" s="5" t="s">
        <v>36</v>
      </c>
      <c r="C347" s="5" t="s">
        <v>11</v>
      </c>
      <c r="D347" s="5" t="s">
        <v>17</v>
      </c>
      <c r="E347" s="5" t="s">
        <v>32</v>
      </c>
      <c r="F347" s="2">
        <v>51</v>
      </c>
      <c r="G347" s="3">
        <v>495.74</v>
      </c>
      <c r="H347">
        <v>123</v>
      </c>
      <c r="I347">
        <f>IF(Table1[[#This Row],[Status]]= "Sufficient",
     Table1[[#This Row],[Stock_Quantity]] - Table1[[#This Row],[Reorder_Level]],
     0)</f>
        <v>0</v>
      </c>
      <c r="J347" s="4">
        <v>45020</v>
      </c>
      <c r="K347" s="5" t="s">
        <v>28</v>
      </c>
      <c r="L347">
        <f>YEAR(Table1[[#This Row],[Last_Restock_Date]])</f>
        <v>2023</v>
      </c>
      <c r="M347" t="str">
        <f>_xlfn.CONCAT(TEXT(Table1[[#This Row],[Last_Restock_Date]],"mmm"), "-", YEAR(Table1[[#This Row],[Last_Restock_Date]]))</f>
        <v>Apr-2023</v>
      </c>
      <c r="N347">
        <f>MONTH(Table1[[#This Row],[Last_Restock_Date]])</f>
        <v>4</v>
      </c>
      <c r="O347" t="str" cm="1">
        <f t="array" ref="O347">_xlfn.SWITCH(Table1[[#This Row],[Month_Number]],
    1,"Q1",2,"Q1",3,"Q1",
    4,"Q2",5,"Q2",6,"Q2",
    7,"Q3",8,"Q3",9,"Q3",
    10,"Q4",11,"Q4",12,"Q4",
    "Invalid Month"
)</f>
        <v>Q2</v>
      </c>
      <c r="P347" t="str">
        <f>TEXT(Table1[[#This Row],[Last_Restock_Date]],"mmm")</f>
        <v>Apr</v>
      </c>
    </row>
    <row r="348" spans="1:16" x14ac:dyDescent="0.25">
      <c r="A348">
        <v>347</v>
      </c>
      <c r="B348" s="5" t="s">
        <v>25</v>
      </c>
      <c r="C348" s="5" t="s">
        <v>26</v>
      </c>
      <c r="D348" s="5" t="s">
        <v>30</v>
      </c>
      <c r="E348" s="5" t="s">
        <v>32</v>
      </c>
      <c r="F348" s="2">
        <v>368</v>
      </c>
      <c r="G348" s="3">
        <v>310.43</v>
      </c>
      <c r="H348">
        <v>51</v>
      </c>
      <c r="I348">
        <f>IF(Table1[[#This Row],[Status]]= "Sufficient",
     Table1[[#This Row],[Stock_Quantity]] - Table1[[#This Row],[Reorder_Level]],
     0)</f>
        <v>317</v>
      </c>
      <c r="J348" s="4">
        <v>45138</v>
      </c>
      <c r="K348" s="5" t="s">
        <v>14</v>
      </c>
      <c r="L348">
        <f>YEAR(Table1[[#This Row],[Last_Restock_Date]])</f>
        <v>2023</v>
      </c>
      <c r="M348" t="str">
        <f>_xlfn.CONCAT(TEXT(Table1[[#This Row],[Last_Restock_Date]],"mmm"), "-", YEAR(Table1[[#This Row],[Last_Restock_Date]]))</f>
        <v>Jul-2023</v>
      </c>
      <c r="N348">
        <f>MONTH(Table1[[#This Row],[Last_Restock_Date]])</f>
        <v>7</v>
      </c>
      <c r="O348" t="str" cm="1">
        <f t="array" ref="O348">_xlfn.SWITCH(Table1[[#This Row],[Month_Number]],
    1,"Q1",2,"Q1",3,"Q1",
    4,"Q2",5,"Q2",6,"Q2",
    7,"Q3",8,"Q3",9,"Q3",
    10,"Q4",11,"Q4",12,"Q4",
    "Invalid Month"
)</f>
        <v>Q3</v>
      </c>
      <c r="P348" t="str">
        <f>TEXT(Table1[[#This Row],[Last_Restock_Date]],"mmm")</f>
        <v>Jul</v>
      </c>
    </row>
    <row r="349" spans="1:16" x14ac:dyDescent="0.25">
      <c r="A349">
        <v>348</v>
      </c>
      <c r="B349" s="5" t="s">
        <v>42</v>
      </c>
      <c r="C349" s="5" t="s">
        <v>16</v>
      </c>
      <c r="D349" s="5" t="s">
        <v>12</v>
      </c>
      <c r="E349" s="5" t="s">
        <v>39</v>
      </c>
      <c r="F349" s="2">
        <v>220</v>
      </c>
      <c r="G349" s="3">
        <v>460.36</v>
      </c>
      <c r="H349">
        <v>53</v>
      </c>
      <c r="I349">
        <f>IF(Table1[[#This Row],[Status]]= "Sufficient",
     Table1[[#This Row],[Stock_Quantity]] - Table1[[#This Row],[Reorder_Level]],
     0)</f>
        <v>167</v>
      </c>
      <c r="J349" s="4">
        <v>45730</v>
      </c>
      <c r="K349" s="5" t="s">
        <v>14</v>
      </c>
      <c r="L349">
        <f>YEAR(Table1[[#This Row],[Last_Restock_Date]])</f>
        <v>2025</v>
      </c>
      <c r="M349" t="str">
        <f>_xlfn.CONCAT(TEXT(Table1[[#This Row],[Last_Restock_Date]],"mmm"), "-", YEAR(Table1[[#This Row],[Last_Restock_Date]]))</f>
        <v>Mar-2025</v>
      </c>
      <c r="N349">
        <f>MONTH(Table1[[#This Row],[Last_Restock_Date]])</f>
        <v>3</v>
      </c>
      <c r="O349" t="str" cm="1">
        <f t="array" ref="O349">_xlfn.SWITCH(Table1[[#This Row],[Month_Number]],
    1,"Q1",2,"Q1",3,"Q1",
    4,"Q2",5,"Q2",6,"Q2",
    7,"Q3",8,"Q3",9,"Q3",
    10,"Q4",11,"Q4",12,"Q4",
    "Invalid Month"
)</f>
        <v>Q1</v>
      </c>
      <c r="P349" t="str">
        <f>TEXT(Table1[[#This Row],[Last_Restock_Date]],"mmm")</f>
        <v>Mar</v>
      </c>
    </row>
    <row r="350" spans="1:16" x14ac:dyDescent="0.25">
      <c r="A350">
        <v>349</v>
      </c>
      <c r="B350" s="5" t="s">
        <v>43</v>
      </c>
      <c r="C350" s="5" t="s">
        <v>26</v>
      </c>
      <c r="D350" s="5" t="s">
        <v>30</v>
      </c>
      <c r="E350" s="5" t="s">
        <v>39</v>
      </c>
      <c r="F350" s="2">
        <v>1</v>
      </c>
      <c r="G350" s="3">
        <v>494.92</v>
      </c>
      <c r="H350">
        <v>52</v>
      </c>
      <c r="I350">
        <f>IF(Table1[[#This Row],[Status]]= "Sufficient",
     Table1[[#This Row],[Stock_Quantity]] - Table1[[#This Row],[Reorder_Level]],
     0)</f>
        <v>0</v>
      </c>
      <c r="J350" s="4">
        <v>45458</v>
      </c>
      <c r="K350" s="5" t="s">
        <v>28</v>
      </c>
      <c r="L350">
        <f>YEAR(Table1[[#This Row],[Last_Restock_Date]])</f>
        <v>2024</v>
      </c>
      <c r="M350" t="str">
        <f>_xlfn.CONCAT(TEXT(Table1[[#This Row],[Last_Restock_Date]],"mmm"), "-", YEAR(Table1[[#This Row],[Last_Restock_Date]]))</f>
        <v>Jun-2024</v>
      </c>
      <c r="N350">
        <f>MONTH(Table1[[#This Row],[Last_Restock_Date]])</f>
        <v>6</v>
      </c>
      <c r="O350" t="str" cm="1">
        <f t="array" ref="O350">_xlfn.SWITCH(Table1[[#This Row],[Month_Number]],
    1,"Q1",2,"Q1",3,"Q1",
    4,"Q2",5,"Q2",6,"Q2",
    7,"Q3",8,"Q3",9,"Q3",
    10,"Q4",11,"Q4",12,"Q4",
    "Invalid Month"
)</f>
        <v>Q2</v>
      </c>
      <c r="P350" t="str">
        <f>TEXT(Table1[[#This Row],[Last_Restock_Date]],"mmm")</f>
        <v>Jun</v>
      </c>
    </row>
    <row r="351" spans="1:16" x14ac:dyDescent="0.25">
      <c r="A351">
        <v>350</v>
      </c>
      <c r="B351" s="5" t="s">
        <v>15</v>
      </c>
      <c r="C351" s="5" t="s">
        <v>16</v>
      </c>
      <c r="D351" s="5" t="s">
        <v>30</v>
      </c>
      <c r="E351" s="5" t="s">
        <v>39</v>
      </c>
      <c r="F351" s="2">
        <v>124</v>
      </c>
      <c r="G351" s="3">
        <v>298.08999999999997</v>
      </c>
      <c r="H351">
        <v>68</v>
      </c>
      <c r="I351">
        <f>IF(Table1[[#This Row],[Status]]= "Sufficient",
     Table1[[#This Row],[Stock_Quantity]] - Table1[[#This Row],[Reorder_Level]],
     0)</f>
        <v>56</v>
      </c>
      <c r="J351" s="4">
        <v>45242</v>
      </c>
      <c r="K351" s="5" t="s">
        <v>14</v>
      </c>
      <c r="L351">
        <f>YEAR(Table1[[#This Row],[Last_Restock_Date]])</f>
        <v>2023</v>
      </c>
      <c r="M351" t="str">
        <f>_xlfn.CONCAT(TEXT(Table1[[#This Row],[Last_Restock_Date]],"mmm"), "-", YEAR(Table1[[#This Row],[Last_Restock_Date]]))</f>
        <v>Nov-2023</v>
      </c>
      <c r="N351">
        <f>MONTH(Table1[[#This Row],[Last_Restock_Date]])</f>
        <v>11</v>
      </c>
      <c r="O351" t="str" cm="1">
        <f t="array" ref="O351">_xlfn.SWITCH(Table1[[#This Row],[Month_Number]],
    1,"Q1",2,"Q1",3,"Q1",
    4,"Q2",5,"Q2",6,"Q2",
    7,"Q3",8,"Q3",9,"Q3",
    10,"Q4",11,"Q4",12,"Q4",
    "Invalid Month"
)</f>
        <v>Q4</v>
      </c>
      <c r="P351" t="str">
        <f>TEXT(Table1[[#This Row],[Last_Restock_Date]],"mmm")</f>
        <v>Nov</v>
      </c>
    </row>
    <row r="352" spans="1:16" x14ac:dyDescent="0.25">
      <c r="A352">
        <v>351</v>
      </c>
      <c r="B352" s="5" t="s">
        <v>50</v>
      </c>
      <c r="C352" s="5" t="s">
        <v>34</v>
      </c>
      <c r="D352" s="5" t="s">
        <v>12</v>
      </c>
      <c r="E352" s="5" t="s">
        <v>27</v>
      </c>
      <c r="F352" s="2">
        <v>133</v>
      </c>
      <c r="G352" s="3">
        <v>660.81</v>
      </c>
      <c r="H352">
        <v>118</v>
      </c>
      <c r="I352">
        <f>IF(Table1[[#This Row],[Status]]= "Sufficient",
     Table1[[#This Row],[Stock_Quantity]] - Table1[[#This Row],[Reorder_Level]],
     0)</f>
        <v>15</v>
      </c>
      <c r="J352" s="4">
        <v>45227</v>
      </c>
      <c r="K352" s="5" t="s">
        <v>14</v>
      </c>
      <c r="L352">
        <f>YEAR(Table1[[#This Row],[Last_Restock_Date]])</f>
        <v>2023</v>
      </c>
      <c r="M352" t="str">
        <f>_xlfn.CONCAT(TEXT(Table1[[#This Row],[Last_Restock_Date]],"mmm"), "-", YEAR(Table1[[#This Row],[Last_Restock_Date]]))</f>
        <v>Oct-2023</v>
      </c>
      <c r="N352">
        <f>MONTH(Table1[[#This Row],[Last_Restock_Date]])</f>
        <v>10</v>
      </c>
      <c r="O352" t="str" cm="1">
        <f t="array" ref="O352">_xlfn.SWITCH(Table1[[#This Row],[Month_Number]],
    1,"Q1",2,"Q1",3,"Q1",
    4,"Q2",5,"Q2",6,"Q2",
    7,"Q3",8,"Q3",9,"Q3",
    10,"Q4",11,"Q4",12,"Q4",
    "Invalid Month"
)</f>
        <v>Q4</v>
      </c>
      <c r="P352" t="str">
        <f>TEXT(Table1[[#This Row],[Last_Restock_Date]],"mmm")</f>
        <v>Oct</v>
      </c>
    </row>
    <row r="353" spans="1:16" x14ac:dyDescent="0.25">
      <c r="A353">
        <v>352</v>
      </c>
      <c r="B353" s="5" t="s">
        <v>33</v>
      </c>
      <c r="C353" s="5" t="s">
        <v>34</v>
      </c>
      <c r="D353" s="5" t="s">
        <v>12</v>
      </c>
      <c r="E353" s="5" t="s">
        <v>32</v>
      </c>
      <c r="F353" s="2">
        <v>302</v>
      </c>
      <c r="G353" s="3">
        <v>728.55</v>
      </c>
      <c r="H353">
        <v>89</v>
      </c>
      <c r="I353">
        <f>IF(Table1[[#This Row],[Status]]= "Sufficient",
     Table1[[#This Row],[Stock_Quantity]] - Table1[[#This Row],[Reorder_Level]],
     0)</f>
        <v>213</v>
      </c>
      <c r="J353" s="4">
        <v>45636</v>
      </c>
      <c r="K353" s="5" t="s">
        <v>14</v>
      </c>
      <c r="L353">
        <f>YEAR(Table1[[#This Row],[Last_Restock_Date]])</f>
        <v>2024</v>
      </c>
      <c r="M353" t="str">
        <f>_xlfn.CONCAT(TEXT(Table1[[#This Row],[Last_Restock_Date]],"mmm"), "-", YEAR(Table1[[#This Row],[Last_Restock_Date]]))</f>
        <v>Dec-2024</v>
      </c>
      <c r="N353">
        <f>MONTH(Table1[[#This Row],[Last_Restock_Date]])</f>
        <v>12</v>
      </c>
      <c r="O353" t="str" cm="1">
        <f t="array" ref="O353">_xlfn.SWITCH(Table1[[#This Row],[Month_Number]],
    1,"Q1",2,"Q1",3,"Q1",
    4,"Q2",5,"Q2",6,"Q2",
    7,"Q3",8,"Q3",9,"Q3",
    10,"Q4",11,"Q4",12,"Q4",
    "Invalid Month"
)</f>
        <v>Q4</v>
      </c>
      <c r="P353" t="str">
        <f>TEXT(Table1[[#This Row],[Last_Restock_Date]],"mmm")</f>
        <v>Dec</v>
      </c>
    </row>
    <row r="354" spans="1:16" x14ac:dyDescent="0.25">
      <c r="A354">
        <v>353</v>
      </c>
      <c r="B354" s="5" t="s">
        <v>50</v>
      </c>
      <c r="C354" s="5" t="s">
        <v>34</v>
      </c>
      <c r="D354" s="5" t="s">
        <v>30</v>
      </c>
      <c r="E354" s="5" t="s">
        <v>37</v>
      </c>
      <c r="F354" s="2">
        <v>219</v>
      </c>
      <c r="G354" s="3">
        <v>202.84</v>
      </c>
      <c r="H354">
        <v>117</v>
      </c>
      <c r="I354">
        <f>IF(Table1[[#This Row],[Status]]= "Sufficient",
     Table1[[#This Row],[Stock_Quantity]] - Table1[[#This Row],[Reorder_Level]],
     0)</f>
        <v>102</v>
      </c>
      <c r="J354" s="4">
        <v>45444</v>
      </c>
      <c r="K354" s="5" t="s">
        <v>14</v>
      </c>
      <c r="L354">
        <f>YEAR(Table1[[#This Row],[Last_Restock_Date]])</f>
        <v>2024</v>
      </c>
      <c r="M354" t="str">
        <f>_xlfn.CONCAT(TEXT(Table1[[#This Row],[Last_Restock_Date]],"mmm"), "-", YEAR(Table1[[#This Row],[Last_Restock_Date]]))</f>
        <v>Jun-2024</v>
      </c>
      <c r="N354">
        <f>MONTH(Table1[[#This Row],[Last_Restock_Date]])</f>
        <v>6</v>
      </c>
      <c r="O354" t="str" cm="1">
        <f t="array" ref="O354">_xlfn.SWITCH(Table1[[#This Row],[Month_Number]],
    1,"Q1",2,"Q1",3,"Q1",
    4,"Q2",5,"Q2",6,"Q2",
    7,"Q3",8,"Q3",9,"Q3",
    10,"Q4",11,"Q4",12,"Q4",
    "Invalid Month"
)</f>
        <v>Q2</v>
      </c>
      <c r="P354" t="str">
        <f>TEXT(Table1[[#This Row],[Last_Restock_Date]],"mmm")</f>
        <v>Jun</v>
      </c>
    </row>
    <row r="355" spans="1:16" x14ac:dyDescent="0.25">
      <c r="A355">
        <v>354</v>
      </c>
      <c r="B355" s="5" t="s">
        <v>49</v>
      </c>
      <c r="C355" s="5" t="s">
        <v>16</v>
      </c>
      <c r="D355" s="5" t="s">
        <v>24</v>
      </c>
      <c r="E355" s="5" t="s">
        <v>37</v>
      </c>
      <c r="F355" s="2">
        <v>40</v>
      </c>
      <c r="G355" s="3">
        <v>644.80999999999995</v>
      </c>
      <c r="H355">
        <v>67</v>
      </c>
      <c r="I355">
        <f>IF(Table1[[#This Row],[Status]]= "Sufficient",
     Table1[[#This Row],[Stock_Quantity]] - Table1[[#This Row],[Reorder_Level]],
     0)</f>
        <v>0</v>
      </c>
      <c r="J355" s="4">
        <v>45619</v>
      </c>
      <c r="K355" s="5" t="s">
        <v>28</v>
      </c>
      <c r="L355">
        <f>YEAR(Table1[[#This Row],[Last_Restock_Date]])</f>
        <v>2024</v>
      </c>
      <c r="M355" t="str">
        <f>_xlfn.CONCAT(TEXT(Table1[[#This Row],[Last_Restock_Date]],"mmm"), "-", YEAR(Table1[[#This Row],[Last_Restock_Date]]))</f>
        <v>Nov-2024</v>
      </c>
      <c r="N355">
        <f>MONTH(Table1[[#This Row],[Last_Restock_Date]])</f>
        <v>11</v>
      </c>
      <c r="O355" t="str" cm="1">
        <f t="array" ref="O355">_xlfn.SWITCH(Table1[[#This Row],[Month_Number]],
    1,"Q1",2,"Q1",3,"Q1",
    4,"Q2",5,"Q2",6,"Q2",
    7,"Q3",8,"Q3",9,"Q3",
    10,"Q4",11,"Q4",12,"Q4",
    "Invalid Month"
)</f>
        <v>Q4</v>
      </c>
      <c r="P355" t="str">
        <f>TEXT(Table1[[#This Row],[Last_Restock_Date]],"mmm")</f>
        <v>Nov</v>
      </c>
    </row>
    <row r="356" spans="1:16" x14ac:dyDescent="0.25">
      <c r="A356">
        <v>355</v>
      </c>
      <c r="B356" s="5" t="s">
        <v>44</v>
      </c>
      <c r="C356" s="5" t="s">
        <v>34</v>
      </c>
      <c r="D356" s="5" t="s">
        <v>30</v>
      </c>
      <c r="E356" s="5" t="s">
        <v>18</v>
      </c>
      <c r="F356" s="2">
        <v>320</v>
      </c>
      <c r="G356" s="3">
        <v>82.49</v>
      </c>
      <c r="H356">
        <v>111</v>
      </c>
      <c r="I356">
        <f>IF(Table1[[#This Row],[Status]]= "Sufficient",
     Table1[[#This Row],[Stock_Quantity]] - Table1[[#This Row],[Reorder_Level]],
     0)</f>
        <v>209</v>
      </c>
      <c r="J356" s="4">
        <v>45009</v>
      </c>
      <c r="K356" s="5" t="s">
        <v>14</v>
      </c>
      <c r="L356">
        <f>YEAR(Table1[[#This Row],[Last_Restock_Date]])</f>
        <v>2023</v>
      </c>
      <c r="M356" t="str">
        <f>_xlfn.CONCAT(TEXT(Table1[[#This Row],[Last_Restock_Date]],"mmm"), "-", YEAR(Table1[[#This Row],[Last_Restock_Date]]))</f>
        <v>Mar-2023</v>
      </c>
      <c r="N356">
        <f>MONTH(Table1[[#This Row],[Last_Restock_Date]])</f>
        <v>3</v>
      </c>
      <c r="O356" t="str" cm="1">
        <f t="array" ref="O356">_xlfn.SWITCH(Table1[[#This Row],[Month_Number]],
    1,"Q1",2,"Q1",3,"Q1",
    4,"Q2",5,"Q2",6,"Q2",
    7,"Q3",8,"Q3",9,"Q3",
    10,"Q4",11,"Q4",12,"Q4",
    "Invalid Month"
)</f>
        <v>Q1</v>
      </c>
      <c r="P356" t="str">
        <f>TEXT(Table1[[#This Row],[Last_Restock_Date]],"mmm")</f>
        <v>Mar</v>
      </c>
    </row>
    <row r="357" spans="1:16" x14ac:dyDescent="0.25">
      <c r="A357">
        <v>356</v>
      </c>
      <c r="B357" s="5" t="s">
        <v>19</v>
      </c>
      <c r="C357" s="5" t="s">
        <v>20</v>
      </c>
      <c r="D357" s="5" t="s">
        <v>30</v>
      </c>
      <c r="E357" s="5" t="s">
        <v>18</v>
      </c>
      <c r="F357" s="2">
        <v>398</v>
      </c>
      <c r="G357" s="3">
        <v>46.79</v>
      </c>
      <c r="H357">
        <v>78</v>
      </c>
      <c r="I357">
        <f>IF(Table1[[#This Row],[Status]]= "Sufficient",
     Table1[[#This Row],[Stock_Quantity]] - Table1[[#This Row],[Reorder_Level]],
     0)</f>
        <v>320</v>
      </c>
      <c r="J357" s="4">
        <v>45896</v>
      </c>
      <c r="K357" s="5" t="s">
        <v>14</v>
      </c>
      <c r="L357">
        <f>YEAR(Table1[[#This Row],[Last_Restock_Date]])</f>
        <v>2025</v>
      </c>
      <c r="M357" t="str">
        <f>_xlfn.CONCAT(TEXT(Table1[[#This Row],[Last_Restock_Date]],"mmm"), "-", YEAR(Table1[[#This Row],[Last_Restock_Date]]))</f>
        <v>Aug-2025</v>
      </c>
      <c r="N357">
        <f>MONTH(Table1[[#This Row],[Last_Restock_Date]])</f>
        <v>8</v>
      </c>
      <c r="O357" t="str" cm="1">
        <f t="array" ref="O357">_xlfn.SWITCH(Table1[[#This Row],[Month_Number]],
    1,"Q1",2,"Q1",3,"Q1",
    4,"Q2",5,"Q2",6,"Q2",
    7,"Q3",8,"Q3",9,"Q3",
    10,"Q4",11,"Q4",12,"Q4",
    "Invalid Month"
)</f>
        <v>Q3</v>
      </c>
      <c r="P357" t="str">
        <f>TEXT(Table1[[#This Row],[Last_Restock_Date]],"mmm")</f>
        <v>Aug</v>
      </c>
    </row>
    <row r="358" spans="1:16" x14ac:dyDescent="0.25">
      <c r="A358">
        <v>357</v>
      </c>
      <c r="B358" s="5" t="s">
        <v>49</v>
      </c>
      <c r="C358" s="5" t="s">
        <v>16</v>
      </c>
      <c r="D358" s="5" t="s">
        <v>12</v>
      </c>
      <c r="E358" s="5" t="s">
        <v>32</v>
      </c>
      <c r="F358" s="2">
        <v>454</v>
      </c>
      <c r="G358" s="3">
        <v>500.87</v>
      </c>
      <c r="H358">
        <v>73</v>
      </c>
      <c r="I358">
        <f>IF(Table1[[#This Row],[Status]]= "Sufficient",
     Table1[[#This Row],[Stock_Quantity]] - Table1[[#This Row],[Reorder_Level]],
     0)</f>
        <v>381</v>
      </c>
      <c r="J358" s="4">
        <v>45160</v>
      </c>
      <c r="K358" s="5" t="s">
        <v>14</v>
      </c>
      <c r="L358">
        <f>YEAR(Table1[[#This Row],[Last_Restock_Date]])</f>
        <v>2023</v>
      </c>
      <c r="M358" t="str">
        <f>_xlfn.CONCAT(TEXT(Table1[[#This Row],[Last_Restock_Date]],"mmm"), "-", YEAR(Table1[[#This Row],[Last_Restock_Date]]))</f>
        <v>Aug-2023</v>
      </c>
      <c r="N358">
        <f>MONTH(Table1[[#This Row],[Last_Restock_Date]])</f>
        <v>8</v>
      </c>
      <c r="O358" t="str" cm="1">
        <f t="array" ref="O358">_xlfn.SWITCH(Table1[[#This Row],[Month_Number]],
    1,"Q1",2,"Q1",3,"Q1",
    4,"Q2",5,"Q2",6,"Q2",
    7,"Q3",8,"Q3",9,"Q3",
    10,"Q4",11,"Q4",12,"Q4",
    "Invalid Month"
)</f>
        <v>Q3</v>
      </c>
      <c r="P358" t="str">
        <f>TEXT(Table1[[#This Row],[Last_Restock_Date]],"mmm")</f>
        <v>Aug</v>
      </c>
    </row>
    <row r="359" spans="1:16" x14ac:dyDescent="0.25">
      <c r="A359">
        <v>358</v>
      </c>
      <c r="B359" s="5" t="s">
        <v>41</v>
      </c>
      <c r="C359" s="5" t="s">
        <v>16</v>
      </c>
      <c r="D359" s="5" t="s">
        <v>21</v>
      </c>
      <c r="E359" s="5" t="s">
        <v>39</v>
      </c>
      <c r="F359" s="2">
        <v>375</v>
      </c>
      <c r="G359" s="3">
        <v>561.30999999999995</v>
      </c>
      <c r="H359">
        <v>147</v>
      </c>
      <c r="I359">
        <f>IF(Table1[[#This Row],[Status]]= "Sufficient",
     Table1[[#This Row],[Stock_Quantity]] - Table1[[#This Row],[Reorder_Level]],
     0)</f>
        <v>228</v>
      </c>
      <c r="J359" s="4">
        <v>45050</v>
      </c>
      <c r="K359" s="5" t="s">
        <v>14</v>
      </c>
      <c r="L359">
        <f>YEAR(Table1[[#This Row],[Last_Restock_Date]])</f>
        <v>2023</v>
      </c>
      <c r="M359" t="str">
        <f>_xlfn.CONCAT(TEXT(Table1[[#This Row],[Last_Restock_Date]],"mmm"), "-", YEAR(Table1[[#This Row],[Last_Restock_Date]]))</f>
        <v>May-2023</v>
      </c>
      <c r="N359">
        <f>MONTH(Table1[[#This Row],[Last_Restock_Date]])</f>
        <v>5</v>
      </c>
      <c r="O359" t="str" cm="1">
        <f t="array" ref="O359">_xlfn.SWITCH(Table1[[#This Row],[Month_Number]],
    1,"Q1",2,"Q1",3,"Q1",
    4,"Q2",5,"Q2",6,"Q2",
    7,"Q3",8,"Q3",9,"Q3",
    10,"Q4",11,"Q4",12,"Q4",
    "Invalid Month"
)</f>
        <v>Q2</v>
      </c>
      <c r="P359" t="str">
        <f>TEXT(Table1[[#This Row],[Last_Restock_Date]],"mmm")</f>
        <v>May</v>
      </c>
    </row>
    <row r="360" spans="1:16" x14ac:dyDescent="0.25">
      <c r="A360">
        <v>359</v>
      </c>
      <c r="B360" s="5" t="s">
        <v>29</v>
      </c>
      <c r="C360" s="5" t="s">
        <v>16</v>
      </c>
      <c r="D360" s="5" t="s">
        <v>17</v>
      </c>
      <c r="E360" s="5" t="s">
        <v>13</v>
      </c>
      <c r="F360" s="2">
        <v>107</v>
      </c>
      <c r="G360" s="3">
        <v>81.58</v>
      </c>
      <c r="H360">
        <v>126</v>
      </c>
      <c r="I360">
        <f>IF(Table1[[#This Row],[Status]]= "Sufficient",
     Table1[[#This Row],[Stock_Quantity]] - Table1[[#This Row],[Reorder_Level]],
     0)</f>
        <v>0</v>
      </c>
      <c r="J360" s="4">
        <v>45817</v>
      </c>
      <c r="K360" s="5" t="s">
        <v>28</v>
      </c>
      <c r="L360">
        <f>YEAR(Table1[[#This Row],[Last_Restock_Date]])</f>
        <v>2025</v>
      </c>
      <c r="M360" t="str">
        <f>_xlfn.CONCAT(TEXT(Table1[[#This Row],[Last_Restock_Date]],"mmm"), "-", YEAR(Table1[[#This Row],[Last_Restock_Date]]))</f>
        <v>Jun-2025</v>
      </c>
      <c r="N360">
        <f>MONTH(Table1[[#This Row],[Last_Restock_Date]])</f>
        <v>6</v>
      </c>
      <c r="O360" t="str" cm="1">
        <f t="array" ref="O360">_xlfn.SWITCH(Table1[[#This Row],[Month_Number]],
    1,"Q1",2,"Q1",3,"Q1",
    4,"Q2",5,"Q2",6,"Q2",
    7,"Q3",8,"Q3",9,"Q3",
    10,"Q4",11,"Q4",12,"Q4",
    "Invalid Month"
)</f>
        <v>Q2</v>
      </c>
      <c r="P360" t="str">
        <f>TEXT(Table1[[#This Row],[Last_Restock_Date]],"mmm")</f>
        <v>Jun</v>
      </c>
    </row>
    <row r="361" spans="1:16" x14ac:dyDescent="0.25">
      <c r="A361">
        <v>360</v>
      </c>
      <c r="B361" s="5" t="s">
        <v>43</v>
      </c>
      <c r="C361" s="5" t="s">
        <v>26</v>
      </c>
      <c r="D361" s="5" t="s">
        <v>12</v>
      </c>
      <c r="E361" s="5" t="s">
        <v>18</v>
      </c>
      <c r="F361" s="2">
        <v>49</v>
      </c>
      <c r="G361" s="3">
        <v>9.7799999999999994</v>
      </c>
      <c r="H361">
        <v>69</v>
      </c>
      <c r="I361">
        <f>IF(Table1[[#This Row],[Status]]= "Sufficient",
     Table1[[#This Row],[Stock_Quantity]] - Table1[[#This Row],[Reorder_Level]],
     0)</f>
        <v>0</v>
      </c>
      <c r="J361" s="4">
        <v>45958</v>
      </c>
      <c r="K361" s="5" t="s">
        <v>28</v>
      </c>
      <c r="L361">
        <f>YEAR(Table1[[#This Row],[Last_Restock_Date]])</f>
        <v>2025</v>
      </c>
      <c r="M361" t="str">
        <f>_xlfn.CONCAT(TEXT(Table1[[#This Row],[Last_Restock_Date]],"mmm"), "-", YEAR(Table1[[#This Row],[Last_Restock_Date]]))</f>
        <v>Oct-2025</v>
      </c>
      <c r="N361">
        <f>MONTH(Table1[[#This Row],[Last_Restock_Date]])</f>
        <v>10</v>
      </c>
      <c r="O361" t="str" cm="1">
        <f t="array" ref="O361">_xlfn.SWITCH(Table1[[#This Row],[Month_Number]],
    1,"Q1",2,"Q1",3,"Q1",
    4,"Q2",5,"Q2",6,"Q2",
    7,"Q3",8,"Q3",9,"Q3",
    10,"Q4",11,"Q4",12,"Q4",
    "Invalid Month"
)</f>
        <v>Q4</v>
      </c>
      <c r="P361" t="str">
        <f>TEXT(Table1[[#This Row],[Last_Restock_Date]],"mmm")</f>
        <v>Oct</v>
      </c>
    </row>
    <row r="362" spans="1:16" x14ac:dyDescent="0.25">
      <c r="A362">
        <v>361</v>
      </c>
      <c r="B362" s="5" t="s">
        <v>15</v>
      </c>
      <c r="C362" s="5" t="s">
        <v>16</v>
      </c>
      <c r="D362" s="5" t="s">
        <v>12</v>
      </c>
      <c r="E362" s="5" t="s">
        <v>27</v>
      </c>
      <c r="F362" s="2">
        <v>464</v>
      </c>
      <c r="G362" s="3">
        <v>547.92999999999995</v>
      </c>
      <c r="H362">
        <v>129</v>
      </c>
      <c r="I362">
        <f>IF(Table1[[#This Row],[Status]]= "Sufficient",
     Table1[[#This Row],[Stock_Quantity]] - Table1[[#This Row],[Reorder_Level]],
     0)</f>
        <v>335</v>
      </c>
      <c r="J362" s="4">
        <v>45129</v>
      </c>
      <c r="K362" s="5" t="s">
        <v>14</v>
      </c>
      <c r="L362">
        <f>YEAR(Table1[[#This Row],[Last_Restock_Date]])</f>
        <v>2023</v>
      </c>
      <c r="M362" t="str">
        <f>_xlfn.CONCAT(TEXT(Table1[[#This Row],[Last_Restock_Date]],"mmm"), "-", YEAR(Table1[[#This Row],[Last_Restock_Date]]))</f>
        <v>Jul-2023</v>
      </c>
      <c r="N362">
        <f>MONTH(Table1[[#This Row],[Last_Restock_Date]])</f>
        <v>7</v>
      </c>
      <c r="O362" t="str" cm="1">
        <f t="array" ref="O362">_xlfn.SWITCH(Table1[[#This Row],[Month_Number]],
    1,"Q1",2,"Q1",3,"Q1",
    4,"Q2",5,"Q2",6,"Q2",
    7,"Q3",8,"Q3",9,"Q3",
    10,"Q4",11,"Q4",12,"Q4",
    "Invalid Month"
)</f>
        <v>Q3</v>
      </c>
      <c r="P362" t="str">
        <f>TEXT(Table1[[#This Row],[Last_Restock_Date]],"mmm")</f>
        <v>Jul</v>
      </c>
    </row>
    <row r="363" spans="1:16" x14ac:dyDescent="0.25">
      <c r="A363">
        <v>362</v>
      </c>
      <c r="B363" s="5" t="s">
        <v>10</v>
      </c>
      <c r="C363" s="5" t="s">
        <v>11</v>
      </c>
      <c r="D363" s="5" t="s">
        <v>21</v>
      </c>
      <c r="E363" s="5" t="s">
        <v>27</v>
      </c>
      <c r="F363" s="2">
        <v>400</v>
      </c>
      <c r="G363" s="3">
        <v>136.85</v>
      </c>
      <c r="H363">
        <v>131</v>
      </c>
      <c r="I363">
        <f>IF(Table1[[#This Row],[Status]]= "Sufficient",
     Table1[[#This Row],[Stock_Quantity]] - Table1[[#This Row],[Reorder_Level]],
     0)</f>
        <v>269</v>
      </c>
      <c r="J363" s="4">
        <v>45165</v>
      </c>
      <c r="K363" s="5" t="s">
        <v>14</v>
      </c>
      <c r="L363">
        <f>YEAR(Table1[[#This Row],[Last_Restock_Date]])</f>
        <v>2023</v>
      </c>
      <c r="M363" t="str">
        <f>_xlfn.CONCAT(TEXT(Table1[[#This Row],[Last_Restock_Date]],"mmm"), "-", YEAR(Table1[[#This Row],[Last_Restock_Date]]))</f>
        <v>Aug-2023</v>
      </c>
      <c r="N363">
        <f>MONTH(Table1[[#This Row],[Last_Restock_Date]])</f>
        <v>8</v>
      </c>
      <c r="O363" t="str" cm="1">
        <f t="array" ref="O363">_xlfn.SWITCH(Table1[[#This Row],[Month_Number]],
    1,"Q1",2,"Q1",3,"Q1",
    4,"Q2",5,"Q2",6,"Q2",
    7,"Q3",8,"Q3",9,"Q3",
    10,"Q4",11,"Q4",12,"Q4",
    "Invalid Month"
)</f>
        <v>Q3</v>
      </c>
      <c r="P363" t="str">
        <f>TEXT(Table1[[#This Row],[Last_Restock_Date]],"mmm")</f>
        <v>Aug</v>
      </c>
    </row>
    <row r="364" spans="1:16" x14ac:dyDescent="0.25">
      <c r="A364">
        <v>363</v>
      </c>
      <c r="B364" s="5" t="s">
        <v>35</v>
      </c>
      <c r="C364" s="5" t="s">
        <v>11</v>
      </c>
      <c r="D364" s="5" t="s">
        <v>12</v>
      </c>
      <c r="E364" s="5" t="s">
        <v>32</v>
      </c>
      <c r="F364" s="2">
        <v>389</v>
      </c>
      <c r="G364" s="3">
        <v>215.23</v>
      </c>
      <c r="H364">
        <v>115</v>
      </c>
      <c r="I364">
        <f>IF(Table1[[#This Row],[Status]]= "Sufficient",
     Table1[[#This Row],[Stock_Quantity]] - Table1[[#This Row],[Reorder_Level]],
     0)</f>
        <v>274</v>
      </c>
      <c r="J364" s="4">
        <v>45199</v>
      </c>
      <c r="K364" s="5" t="s">
        <v>14</v>
      </c>
      <c r="L364">
        <f>YEAR(Table1[[#This Row],[Last_Restock_Date]])</f>
        <v>2023</v>
      </c>
      <c r="M364" t="str">
        <f>_xlfn.CONCAT(TEXT(Table1[[#This Row],[Last_Restock_Date]],"mmm"), "-", YEAR(Table1[[#This Row],[Last_Restock_Date]]))</f>
        <v>Sep-2023</v>
      </c>
      <c r="N364">
        <f>MONTH(Table1[[#This Row],[Last_Restock_Date]])</f>
        <v>9</v>
      </c>
      <c r="O364" t="str" cm="1">
        <f t="array" ref="O364">_xlfn.SWITCH(Table1[[#This Row],[Month_Number]],
    1,"Q1",2,"Q1",3,"Q1",
    4,"Q2",5,"Q2",6,"Q2",
    7,"Q3",8,"Q3",9,"Q3",
    10,"Q4",11,"Q4",12,"Q4",
    "Invalid Month"
)</f>
        <v>Q3</v>
      </c>
      <c r="P364" t="str">
        <f>TEXT(Table1[[#This Row],[Last_Restock_Date]],"mmm")</f>
        <v>Sep</v>
      </c>
    </row>
    <row r="365" spans="1:16" x14ac:dyDescent="0.25">
      <c r="A365">
        <v>364</v>
      </c>
      <c r="B365" s="5" t="s">
        <v>10</v>
      </c>
      <c r="C365" s="5" t="s">
        <v>11</v>
      </c>
      <c r="D365" s="5" t="s">
        <v>17</v>
      </c>
      <c r="E365" s="5" t="s">
        <v>18</v>
      </c>
      <c r="F365" s="2">
        <v>219</v>
      </c>
      <c r="G365" s="3">
        <v>516.25</v>
      </c>
      <c r="H365">
        <v>78</v>
      </c>
      <c r="I365">
        <f>IF(Table1[[#This Row],[Status]]= "Sufficient",
     Table1[[#This Row],[Stock_Quantity]] - Table1[[#This Row],[Reorder_Level]],
     0)</f>
        <v>141</v>
      </c>
      <c r="J365" s="4">
        <v>45775</v>
      </c>
      <c r="K365" s="5" t="s">
        <v>14</v>
      </c>
      <c r="L365">
        <f>YEAR(Table1[[#This Row],[Last_Restock_Date]])</f>
        <v>2025</v>
      </c>
      <c r="M365" t="str">
        <f>_xlfn.CONCAT(TEXT(Table1[[#This Row],[Last_Restock_Date]],"mmm"), "-", YEAR(Table1[[#This Row],[Last_Restock_Date]]))</f>
        <v>Apr-2025</v>
      </c>
      <c r="N365">
        <f>MONTH(Table1[[#This Row],[Last_Restock_Date]])</f>
        <v>4</v>
      </c>
      <c r="O365" t="str" cm="1">
        <f t="array" ref="O365">_xlfn.SWITCH(Table1[[#This Row],[Month_Number]],
    1,"Q1",2,"Q1",3,"Q1",
    4,"Q2",5,"Q2",6,"Q2",
    7,"Q3",8,"Q3",9,"Q3",
    10,"Q4",11,"Q4",12,"Q4",
    "Invalid Month"
)</f>
        <v>Q2</v>
      </c>
      <c r="P365" t="str">
        <f>TEXT(Table1[[#This Row],[Last_Restock_Date]],"mmm")</f>
        <v>Apr</v>
      </c>
    </row>
    <row r="366" spans="1:16" x14ac:dyDescent="0.25">
      <c r="A366">
        <v>365</v>
      </c>
      <c r="B366" s="5" t="s">
        <v>25</v>
      </c>
      <c r="C366" s="5" t="s">
        <v>26</v>
      </c>
      <c r="D366" s="5" t="s">
        <v>24</v>
      </c>
      <c r="E366" s="5" t="s">
        <v>27</v>
      </c>
      <c r="F366" s="2">
        <v>105</v>
      </c>
      <c r="G366" s="3">
        <v>789.92</v>
      </c>
      <c r="H366">
        <v>74</v>
      </c>
      <c r="I366">
        <f>IF(Table1[[#This Row],[Status]]= "Sufficient",
     Table1[[#This Row],[Stock_Quantity]] - Table1[[#This Row],[Reorder_Level]],
     0)</f>
        <v>31</v>
      </c>
      <c r="J366" s="4">
        <v>45254</v>
      </c>
      <c r="K366" s="5" t="s">
        <v>14</v>
      </c>
      <c r="L366">
        <f>YEAR(Table1[[#This Row],[Last_Restock_Date]])</f>
        <v>2023</v>
      </c>
      <c r="M366" t="str">
        <f>_xlfn.CONCAT(TEXT(Table1[[#This Row],[Last_Restock_Date]],"mmm"), "-", YEAR(Table1[[#This Row],[Last_Restock_Date]]))</f>
        <v>Nov-2023</v>
      </c>
      <c r="N366">
        <f>MONTH(Table1[[#This Row],[Last_Restock_Date]])</f>
        <v>11</v>
      </c>
      <c r="O366" t="str" cm="1">
        <f t="array" ref="O366">_xlfn.SWITCH(Table1[[#This Row],[Month_Number]],
    1,"Q1",2,"Q1",3,"Q1",
    4,"Q2",5,"Q2",6,"Q2",
    7,"Q3",8,"Q3",9,"Q3",
    10,"Q4",11,"Q4",12,"Q4",
    "Invalid Month"
)</f>
        <v>Q4</v>
      </c>
      <c r="P366" t="str">
        <f>TEXT(Table1[[#This Row],[Last_Restock_Date]],"mmm")</f>
        <v>Nov</v>
      </c>
    </row>
    <row r="367" spans="1:16" x14ac:dyDescent="0.25">
      <c r="A367">
        <v>366</v>
      </c>
      <c r="B367" s="5" t="s">
        <v>36</v>
      </c>
      <c r="C367" s="5" t="s">
        <v>11</v>
      </c>
      <c r="D367" s="5" t="s">
        <v>24</v>
      </c>
      <c r="E367" s="5" t="s">
        <v>32</v>
      </c>
      <c r="F367" s="2">
        <v>315</v>
      </c>
      <c r="G367" s="3">
        <v>266.39999999999998</v>
      </c>
      <c r="H367">
        <v>96</v>
      </c>
      <c r="I367">
        <f>IF(Table1[[#This Row],[Status]]= "Sufficient",
     Table1[[#This Row],[Stock_Quantity]] - Table1[[#This Row],[Reorder_Level]],
     0)</f>
        <v>219</v>
      </c>
      <c r="J367" s="4">
        <v>45474</v>
      </c>
      <c r="K367" s="5" t="s">
        <v>14</v>
      </c>
      <c r="L367">
        <f>YEAR(Table1[[#This Row],[Last_Restock_Date]])</f>
        <v>2024</v>
      </c>
      <c r="M367" t="str">
        <f>_xlfn.CONCAT(TEXT(Table1[[#This Row],[Last_Restock_Date]],"mmm"), "-", YEAR(Table1[[#This Row],[Last_Restock_Date]]))</f>
        <v>Jul-2024</v>
      </c>
      <c r="N367">
        <f>MONTH(Table1[[#This Row],[Last_Restock_Date]])</f>
        <v>7</v>
      </c>
      <c r="O367" t="str" cm="1">
        <f t="array" ref="O367">_xlfn.SWITCH(Table1[[#This Row],[Month_Number]],
    1,"Q1",2,"Q1",3,"Q1",
    4,"Q2",5,"Q2",6,"Q2",
    7,"Q3",8,"Q3",9,"Q3",
    10,"Q4",11,"Q4",12,"Q4",
    "Invalid Month"
)</f>
        <v>Q3</v>
      </c>
      <c r="P367" t="str">
        <f>TEXT(Table1[[#This Row],[Last_Restock_Date]],"mmm")</f>
        <v>Jul</v>
      </c>
    </row>
    <row r="368" spans="1:16" x14ac:dyDescent="0.25">
      <c r="A368">
        <v>367</v>
      </c>
      <c r="B368" s="5" t="s">
        <v>44</v>
      </c>
      <c r="C368" s="5" t="s">
        <v>34</v>
      </c>
      <c r="D368" s="5" t="s">
        <v>21</v>
      </c>
      <c r="E368" s="5" t="s">
        <v>13</v>
      </c>
      <c r="F368" s="2">
        <v>119</v>
      </c>
      <c r="G368" s="3">
        <v>610.12</v>
      </c>
      <c r="H368">
        <v>72</v>
      </c>
      <c r="I368">
        <f>IF(Table1[[#This Row],[Status]]= "Sufficient",
     Table1[[#This Row],[Stock_Quantity]] - Table1[[#This Row],[Reorder_Level]],
     0)</f>
        <v>47</v>
      </c>
      <c r="J368" s="4">
        <v>44987</v>
      </c>
      <c r="K368" s="5" t="s">
        <v>14</v>
      </c>
      <c r="L368">
        <f>YEAR(Table1[[#This Row],[Last_Restock_Date]])</f>
        <v>2023</v>
      </c>
      <c r="M368" t="str">
        <f>_xlfn.CONCAT(TEXT(Table1[[#This Row],[Last_Restock_Date]],"mmm"), "-", YEAR(Table1[[#This Row],[Last_Restock_Date]]))</f>
        <v>Mar-2023</v>
      </c>
      <c r="N368">
        <f>MONTH(Table1[[#This Row],[Last_Restock_Date]])</f>
        <v>3</v>
      </c>
      <c r="O368" t="str" cm="1">
        <f t="array" ref="O368">_xlfn.SWITCH(Table1[[#This Row],[Month_Number]],
    1,"Q1",2,"Q1",3,"Q1",
    4,"Q2",5,"Q2",6,"Q2",
    7,"Q3",8,"Q3",9,"Q3",
    10,"Q4",11,"Q4",12,"Q4",
    "Invalid Month"
)</f>
        <v>Q1</v>
      </c>
      <c r="P368" t="str">
        <f>TEXT(Table1[[#This Row],[Last_Restock_Date]],"mmm")</f>
        <v>Mar</v>
      </c>
    </row>
    <row r="369" spans="1:16" x14ac:dyDescent="0.25">
      <c r="A369">
        <v>368</v>
      </c>
      <c r="B369" s="5" t="s">
        <v>19</v>
      </c>
      <c r="C369" s="5" t="s">
        <v>20</v>
      </c>
      <c r="D369" s="5" t="s">
        <v>12</v>
      </c>
      <c r="E369" s="5" t="s">
        <v>13</v>
      </c>
      <c r="F369" s="2">
        <v>3</v>
      </c>
      <c r="G369" s="3">
        <v>480.17</v>
      </c>
      <c r="H369">
        <v>50</v>
      </c>
      <c r="I369">
        <f>IF(Table1[[#This Row],[Status]]= "Sufficient",
     Table1[[#This Row],[Stock_Quantity]] - Table1[[#This Row],[Reorder_Level]],
     0)</f>
        <v>0</v>
      </c>
      <c r="J369" s="4">
        <v>45962</v>
      </c>
      <c r="K369" s="5" t="s">
        <v>28</v>
      </c>
      <c r="L369">
        <f>YEAR(Table1[[#This Row],[Last_Restock_Date]])</f>
        <v>2025</v>
      </c>
      <c r="M369" t="str">
        <f>_xlfn.CONCAT(TEXT(Table1[[#This Row],[Last_Restock_Date]],"mmm"), "-", YEAR(Table1[[#This Row],[Last_Restock_Date]]))</f>
        <v>Nov-2025</v>
      </c>
      <c r="N369">
        <f>MONTH(Table1[[#This Row],[Last_Restock_Date]])</f>
        <v>11</v>
      </c>
      <c r="O369" t="str" cm="1">
        <f t="array" ref="O369">_xlfn.SWITCH(Table1[[#This Row],[Month_Number]],
    1,"Q1",2,"Q1",3,"Q1",
    4,"Q2",5,"Q2",6,"Q2",
    7,"Q3",8,"Q3",9,"Q3",
    10,"Q4",11,"Q4",12,"Q4",
    "Invalid Month"
)</f>
        <v>Q4</v>
      </c>
      <c r="P369" t="str">
        <f>TEXT(Table1[[#This Row],[Last_Restock_Date]],"mmm")</f>
        <v>Nov</v>
      </c>
    </row>
    <row r="370" spans="1:16" x14ac:dyDescent="0.25">
      <c r="A370">
        <v>369</v>
      </c>
      <c r="B370" s="5" t="s">
        <v>25</v>
      </c>
      <c r="C370" s="5" t="s">
        <v>26</v>
      </c>
      <c r="D370" s="5" t="s">
        <v>21</v>
      </c>
      <c r="E370" s="5" t="s">
        <v>27</v>
      </c>
      <c r="F370" s="2">
        <v>72</v>
      </c>
      <c r="G370" s="3">
        <v>618.5</v>
      </c>
      <c r="H370">
        <v>141</v>
      </c>
      <c r="I370">
        <f>IF(Table1[[#This Row],[Status]]= "Sufficient",
     Table1[[#This Row],[Stock_Quantity]] - Table1[[#This Row],[Reorder_Level]],
     0)</f>
        <v>0</v>
      </c>
      <c r="J370" s="4">
        <v>45273</v>
      </c>
      <c r="K370" s="5" t="s">
        <v>28</v>
      </c>
      <c r="L370">
        <f>YEAR(Table1[[#This Row],[Last_Restock_Date]])</f>
        <v>2023</v>
      </c>
      <c r="M370" t="str">
        <f>_xlfn.CONCAT(TEXT(Table1[[#This Row],[Last_Restock_Date]],"mmm"), "-", YEAR(Table1[[#This Row],[Last_Restock_Date]]))</f>
        <v>Dec-2023</v>
      </c>
      <c r="N370">
        <f>MONTH(Table1[[#This Row],[Last_Restock_Date]])</f>
        <v>12</v>
      </c>
      <c r="O370" t="str" cm="1">
        <f t="array" ref="O370">_xlfn.SWITCH(Table1[[#This Row],[Month_Number]],
    1,"Q1",2,"Q1",3,"Q1",
    4,"Q2",5,"Q2",6,"Q2",
    7,"Q3",8,"Q3",9,"Q3",
    10,"Q4",11,"Q4",12,"Q4",
    "Invalid Month"
)</f>
        <v>Q4</v>
      </c>
      <c r="P370" t="str">
        <f>TEXT(Table1[[#This Row],[Last_Restock_Date]],"mmm")</f>
        <v>Dec</v>
      </c>
    </row>
    <row r="371" spans="1:16" x14ac:dyDescent="0.25">
      <c r="A371">
        <v>370</v>
      </c>
      <c r="B371" s="5" t="s">
        <v>23</v>
      </c>
      <c r="C371" s="5" t="s">
        <v>20</v>
      </c>
      <c r="D371" s="5" t="s">
        <v>12</v>
      </c>
      <c r="E371" s="5" t="s">
        <v>13</v>
      </c>
      <c r="F371" s="2">
        <v>341</v>
      </c>
      <c r="G371" s="3">
        <v>740.26</v>
      </c>
      <c r="H371">
        <v>69</v>
      </c>
      <c r="I371">
        <f>IF(Table1[[#This Row],[Status]]= "Sufficient",
     Table1[[#This Row],[Stock_Quantity]] - Table1[[#This Row],[Reorder_Level]],
     0)</f>
        <v>272</v>
      </c>
      <c r="J371" s="4">
        <v>45993</v>
      </c>
      <c r="K371" s="5" t="s">
        <v>14</v>
      </c>
      <c r="L371">
        <f>YEAR(Table1[[#This Row],[Last_Restock_Date]])</f>
        <v>2025</v>
      </c>
      <c r="M371" t="str">
        <f>_xlfn.CONCAT(TEXT(Table1[[#This Row],[Last_Restock_Date]],"mmm"), "-", YEAR(Table1[[#This Row],[Last_Restock_Date]]))</f>
        <v>Dec-2025</v>
      </c>
      <c r="N371">
        <f>MONTH(Table1[[#This Row],[Last_Restock_Date]])</f>
        <v>12</v>
      </c>
      <c r="O371" t="str" cm="1">
        <f t="array" ref="O371">_xlfn.SWITCH(Table1[[#This Row],[Month_Number]],
    1,"Q1",2,"Q1",3,"Q1",
    4,"Q2",5,"Q2",6,"Q2",
    7,"Q3",8,"Q3",9,"Q3",
    10,"Q4",11,"Q4",12,"Q4",
    "Invalid Month"
)</f>
        <v>Q4</v>
      </c>
      <c r="P371" t="str">
        <f>TEXT(Table1[[#This Row],[Last_Restock_Date]],"mmm")</f>
        <v>Dec</v>
      </c>
    </row>
    <row r="372" spans="1:16" x14ac:dyDescent="0.25">
      <c r="A372">
        <v>371</v>
      </c>
      <c r="B372" s="5" t="s">
        <v>47</v>
      </c>
      <c r="C372" s="5" t="s">
        <v>20</v>
      </c>
      <c r="D372" s="5" t="s">
        <v>30</v>
      </c>
      <c r="E372" s="5" t="s">
        <v>32</v>
      </c>
      <c r="F372" s="2">
        <v>475</v>
      </c>
      <c r="G372" s="3">
        <v>218.16</v>
      </c>
      <c r="H372">
        <v>58</v>
      </c>
      <c r="I372">
        <f>IF(Table1[[#This Row],[Status]]= "Sufficient",
     Table1[[#This Row],[Stock_Quantity]] - Table1[[#This Row],[Reorder_Level]],
     0)</f>
        <v>417</v>
      </c>
      <c r="J372" s="4">
        <v>44977</v>
      </c>
      <c r="K372" s="5" t="s">
        <v>14</v>
      </c>
      <c r="L372">
        <f>YEAR(Table1[[#This Row],[Last_Restock_Date]])</f>
        <v>2023</v>
      </c>
      <c r="M372" t="str">
        <f>_xlfn.CONCAT(TEXT(Table1[[#This Row],[Last_Restock_Date]],"mmm"), "-", YEAR(Table1[[#This Row],[Last_Restock_Date]]))</f>
        <v>Feb-2023</v>
      </c>
      <c r="N372">
        <f>MONTH(Table1[[#This Row],[Last_Restock_Date]])</f>
        <v>2</v>
      </c>
      <c r="O372" t="str" cm="1">
        <f t="array" ref="O372">_xlfn.SWITCH(Table1[[#This Row],[Month_Number]],
    1,"Q1",2,"Q1",3,"Q1",
    4,"Q2",5,"Q2",6,"Q2",
    7,"Q3",8,"Q3",9,"Q3",
    10,"Q4",11,"Q4",12,"Q4",
    "Invalid Month"
)</f>
        <v>Q1</v>
      </c>
      <c r="P372" t="str">
        <f>TEXT(Table1[[#This Row],[Last_Restock_Date]],"mmm")</f>
        <v>Feb</v>
      </c>
    </row>
    <row r="373" spans="1:16" x14ac:dyDescent="0.25">
      <c r="A373">
        <v>372</v>
      </c>
      <c r="B373" s="5" t="s">
        <v>53</v>
      </c>
      <c r="C373" s="5" t="s">
        <v>26</v>
      </c>
      <c r="D373" s="5" t="s">
        <v>21</v>
      </c>
      <c r="E373" s="5" t="s">
        <v>39</v>
      </c>
      <c r="F373" s="2">
        <v>42</v>
      </c>
      <c r="G373" s="3">
        <v>327.66000000000003</v>
      </c>
      <c r="H373">
        <v>89</v>
      </c>
      <c r="I373">
        <f>IF(Table1[[#This Row],[Status]]= "Sufficient",
     Table1[[#This Row],[Stock_Quantity]] - Table1[[#This Row],[Reorder_Level]],
     0)</f>
        <v>0</v>
      </c>
      <c r="J373" s="4">
        <v>45438</v>
      </c>
      <c r="K373" s="5" t="s">
        <v>28</v>
      </c>
      <c r="L373">
        <f>YEAR(Table1[[#This Row],[Last_Restock_Date]])</f>
        <v>2024</v>
      </c>
      <c r="M373" t="str">
        <f>_xlfn.CONCAT(TEXT(Table1[[#This Row],[Last_Restock_Date]],"mmm"), "-", YEAR(Table1[[#This Row],[Last_Restock_Date]]))</f>
        <v>May-2024</v>
      </c>
      <c r="N373">
        <f>MONTH(Table1[[#This Row],[Last_Restock_Date]])</f>
        <v>5</v>
      </c>
      <c r="O373" t="str" cm="1">
        <f t="array" ref="O373">_xlfn.SWITCH(Table1[[#This Row],[Month_Number]],
    1,"Q1",2,"Q1",3,"Q1",
    4,"Q2",5,"Q2",6,"Q2",
    7,"Q3",8,"Q3",9,"Q3",
    10,"Q4",11,"Q4",12,"Q4",
    "Invalid Month"
)</f>
        <v>Q2</v>
      </c>
      <c r="P373" t="str">
        <f>TEXT(Table1[[#This Row],[Last_Restock_Date]],"mmm")</f>
        <v>May</v>
      </c>
    </row>
    <row r="374" spans="1:16" x14ac:dyDescent="0.25">
      <c r="A374">
        <v>373</v>
      </c>
      <c r="B374" s="5" t="s">
        <v>15</v>
      </c>
      <c r="C374" s="5" t="s">
        <v>16</v>
      </c>
      <c r="D374" s="5" t="s">
        <v>12</v>
      </c>
      <c r="E374" s="5" t="s">
        <v>18</v>
      </c>
      <c r="F374" s="2">
        <v>131</v>
      </c>
      <c r="G374" s="3">
        <v>61.27</v>
      </c>
      <c r="H374">
        <v>102</v>
      </c>
      <c r="I374">
        <f>IF(Table1[[#This Row],[Status]]= "Sufficient",
     Table1[[#This Row],[Stock_Quantity]] - Table1[[#This Row],[Reorder_Level]],
     0)</f>
        <v>29</v>
      </c>
      <c r="J374" s="4">
        <v>45367</v>
      </c>
      <c r="K374" s="5" t="s">
        <v>14</v>
      </c>
      <c r="L374">
        <f>YEAR(Table1[[#This Row],[Last_Restock_Date]])</f>
        <v>2024</v>
      </c>
      <c r="M374" t="str">
        <f>_xlfn.CONCAT(TEXT(Table1[[#This Row],[Last_Restock_Date]],"mmm"), "-", YEAR(Table1[[#This Row],[Last_Restock_Date]]))</f>
        <v>Mar-2024</v>
      </c>
      <c r="N374">
        <f>MONTH(Table1[[#This Row],[Last_Restock_Date]])</f>
        <v>3</v>
      </c>
      <c r="O374" t="str" cm="1">
        <f t="array" ref="O374">_xlfn.SWITCH(Table1[[#This Row],[Month_Number]],
    1,"Q1",2,"Q1",3,"Q1",
    4,"Q2",5,"Q2",6,"Q2",
    7,"Q3",8,"Q3",9,"Q3",
    10,"Q4",11,"Q4",12,"Q4",
    "Invalid Month"
)</f>
        <v>Q1</v>
      </c>
      <c r="P374" t="str">
        <f>TEXT(Table1[[#This Row],[Last_Restock_Date]],"mmm")</f>
        <v>Mar</v>
      </c>
    </row>
    <row r="375" spans="1:16" x14ac:dyDescent="0.25">
      <c r="A375">
        <v>374</v>
      </c>
      <c r="B375" s="5" t="s">
        <v>54</v>
      </c>
      <c r="C375" s="5" t="s">
        <v>20</v>
      </c>
      <c r="D375" s="5" t="s">
        <v>24</v>
      </c>
      <c r="E375" s="5" t="s">
        <v>27</v>
      </c>
      <c r="F375" s="2">
        <v>246</v>
      </c>
      <c r="G375" s="3">
        <v>430.57</v>
      </c>
      <c r="H375">
        <v>119</v>
      </c>
      <c r="I375">
        <f>IF(Table1[[#This Row],[Status]]= "Sufficient",
     Table1[[#This Row],[Stock_Quantity]] - Table1[[#This Row],[Reorder_Level]],
     0)</f>
        <v>127</v>
      </c>
      <c r="J375" s="4">
        <v>45053</v>
      </c>
      <c r="K375" s="5" t="s">
        <v>14</v>
      </c>
      <c r="L375">
        <f>YEAR(Table1[[#This Row],[Last_Restock_Date]])</f>
        <v>2023</v>
      </c>
      <c r="M375" t="str">
        <f>_xlfn.CONCAT(TEXT(Table1[[#This Row],[Last_Restock_Date]],"mmm"), "-", YEAR(Table1[[#This Row],[Last_Restock_Date]]))</f>
        <v>May-2023</v>
      </c>
      <c r="N375">
        <f>MONTH(Table1[[#This Row],[Last_Restock_Date]])</f>
        <v>5</v>
      </c>
      <c r="O375" t="str" cm="1">
        <f t="array" ref="O375">_xlfn.SWITCH(Table1[[#This Row],[Month_Number]],
    1,"Q1",2,"Q1",3,"Q1",
    4,"Q2",5,"Q2",6,"Q2",
    7,"Q3",8,"Q3",9,"Q3",
    10,"Q4",11,"Q4",12,"Q4",
    "Invalid Month"
)</f>
        <v>Q2</v>
      </c>
      <c r="P375" t="str">
        <f>TEXT(Table1[[#This Row],[Last_Restock_Date]],"mmm")</f>
        <v>May</v>
      </c>
    </row>
    <row r="376" spans="1:16" x14ac:dyDescent="0.25">
      <c r="A376">
        <v>375</v>
      </c>
      <c r="B376" s="5" t="s">
        <v>29</v>
      </c>
      <c r="C376" s="5" t="s">
        <v>16</v>
      </c>
      <c r="D376" s="5" t="s">
        <v>21</v>
      </c>
      <c r="E376" s="5" t="s">
        <v>27</v>
      </c>
      <c r="F376" s="2">
        <v>86</v>
      </c>
      <c r="G376" s="3">
        <v>422.14</v>
      </c>
      <c r="H376">
        <v>96</v>
      </c>
      <c r="I376">
        <f>IF(Table1[[#This Row],[Status]]= "Sufficient",
     Table1[[#This Row],[Stock_Quantity]] - Table1[[#This Row],[Reorder_Level]],
     0)</f>
        <v>0</v>
      </c>
      <c r="J376" s="4">
        <v>45577</v>
      </c>
      <c r="K376" s="5" t="s">
        <v>28</v>
      </c>
      <c r="L376">
        <f>YEAR(Table1[[#This Row],[Last_Restock_Date]])</f>
        <v>2024</v>
      </c>
      <c r="M376" t="str">
        <f>_xlfn.CONCAT(TEXT(Table1[[#This Row],[Last_Restock_Date]],"mmm"), "-", YEAR(Table1[[#This Row],[Last_Restock_Date]]))</f>
        <v>Oct-2024</v>
      </c>
      <c r="N376">
        <f>MONTH(Table1[[#This Row],[Last_Restock_Date]])</f>
        <v>10</v>
      </c>
      <c r="O376" t="str" cm="1">
        <f t="array" ref="O376">_xlfn.SWITCH(Table1[[#This Row],[Month_Number]],
    1,"Q1",2,"Q1",3,"Q1",
    4,"Q2",5,"Q2",6,"Q2",
    7,"Q3",8,"Q3",9,"Q3",
    10,"Q4",11,"Q4",12,"Q4",
    "Invalid Month"
)</f>
        <v>Q4</v>
      </c>
      <c r="P376" t="str">
        <f>TEXT(Table1[[#This Row],[Last_Restock_Date]],"mmm")</f>
        <v>Oct</v>
      </c>
    </row>
    <row r="377" spans="1:16" x14ac:dyDescent="0.25">
      <c r="A377">
        <v>376</v>
      </c>
      <c r="B377" s="5" t="s">
        <v>53</v>
      </c>
      <c r="C377" s="5" t="s">
        <v>26</v>
      </c>
      <c r="D377" s="5" t="s">
        <v>12</v>
      </c>
      <c r="E377" s="5" t="s">
        <v>37</v>
      </c>
      <c r="F377" s="2">
        <v>309</v>
      </c>
      <c r="G377" s="3">
        <v>779.37</v>
      </c>
      <c r="H377">
        <v>57</v>
      </c>
      <c r="I377">
        <f>IF(Table1[[#This Row],[Status]]= "Sufficient",
     Table1[[#This Row],[Stock_Quantity]] - Table1[[#This Row],[Reorder_Level]],
     0)</f>
        <v>252</v>
      </c>
      <c r="J377" s="4">
        <v>45412</v>
      </c>
      <c r="K377" s="5" t="s">
        <v>14</v>
      </c>
      <c r="L377">
        <f>YEAR(Table1[[#This Row],[Last_Restock_Date]])</f>
        <v>2024</v>
      </c>
      <c r="M377" t="str">
        <f>_xlfn.CONCAT(TEXT(Table1[[#This Row],[Last_Restock_Date]],"mmm"), "-", YEAR(Table1[[#This Row],[Last_Restock_Date]]))</f>
        <v>Apr-2024</v>
      </c>
      <c r="N377">
        <f>MONTH(Table1[[#This Row],[Last_Restock_Date]])</f>
        <v>4</v>
      </c>
      <c r="O377" t="str" cm="1">
        <f t="array" ref="O377">_xlfn.SWITCH(Table1[[#This Row],[Month_Number]],
    1,"Q1",2,"Q1",3,"Q1",
    4,"Q2",5,"Q2",6,"Q2",
    7,"Q3",8,"Q3",9,"Q3",
    10,"Q4",11,"Q4",12,"Q4",
    "Invalid Month"
)</f>
        <v>Q2</v>
      </c>
      <c r="P377" t="str">
        <f>TEXT(Table1[[#This Row],[Last_Restock_Date]],"mmm")</f>
        <v>Apr</v>
      </c>
    </row>
    <row r="378" spans="1:16" x14ac:dyDescent="0.25">
      <c r="A378">
        <v>377</v>
      </c>
      <c r="B378" s="5" t="s">
        <v>42</v>
      </c>
      <c r="C378" s="5" t="s">
        <v>16</v>
      </c>
      <c r="D378" s="5" t="s">
        <v>17</v>
      </c>
      <c r="E378" s="5" t="s">
        <v>18</v>
      </c>
      <c r="F378" s="2">
        <v>373</v>
      </c>
      <c r="G378" s="3">
        <v>675.25</v>
      </c>
      <c r="H378">
        <v>138</v>
      </c>
      <c r="I378">
        <f>IF(Table1[[#This Row],[Status]]= "Sufficient",
     Table1[[#This Row],[Stock_Quantity]] - Table1[[#This Row],[Reorder_Level]],
     0)</f>
        <v>235</v>
      </c>
      <c r="J378" s="4">
        <v>45757</v>
      </c>
      <c r="K378" s="5" t="s">
        <v>14</v>
      </c>
      <c r="L378">
        <f>YEAR(Table1[[#This Row],[Last_Restock_Date]])</f>
        <v>2025</v>
      </c>
      <c r="M378" t="str">
        <f>_xlfn.CONCAT(TEXT(Table1[[#This Row],[Last_Restock_Date]],"mmm"), "-", YEAR(Table1[[#This Row],[Last_Restock_Date]]))</f>
        <v>Apr-2025</v>
      </c>
      <c r="N378">
        <f>MONTH(Table1[[#This Row],[Last_Restock_Date]])</f>
        <v>4</v>
      </c>
      <c r="O378" t="str" cm="1">
        <f t="array" ref="O378">_xlfn.SWITCH(Table1[[#This Row],[Month_Number]],
    1,"Q1",2,"Q1",3,"Q1",
    4,"Q2",5,"Q2",6,"Q2",
    7,"Q3",8,"Q3",9,"Q3",
    10,"Q4",11,"Q4",12,"Q4",
    "Invalid Month"
)</f>
        <v>Q2</v>
      </c>
      <c r="P378" t="str">
        <f>TEXT(Table1[[#This Row],[Last_Restock_Date]],"mmm")</f>
        <v>Apr</v>
      </c>
    </row>
    <row r="379" spans="1:16" x14ac:dyDescent="0.25">
      <c r="A379">
        <v>378</v>
      </c>
      <c r="B379" s="5" t="s">
        <v>50</v>
      </c>
      <c r="C379" s="5" t="s">
        <v>34</v>
      </c>
      <c r="D379" s="5" t="s">
        <v>17</v>
      </c>
      <c r="E379" s="5" t="s">
        <v>27</v>
      </c>
      <c r="F379" s="2">
        <v>84</v>
      </c>
      <c r="G379" s="3">
        <v>685.01</v>
      </c>
      <c r="H379">
        <v>113</v>
      </c>
      <c r="I379">
        <f>IF(Table1[[#This Row],[Status]]= "Sufficient",
     Table1[[#This Row],[Stock_Quantity]] - Table1[[#This Row],[Reorder_Level]],
     0)</f>
        <v>0</v>
      </c>
      <c r="J379" s="4">
        <v>45703</v>
      </c>
      <c r="K379" s="5" t="s">
        <v>28</v>
      </c>
      <c r="L379">
        <f>YEAR(Table1[[#This Row],[Last_Restock_Date]])</f>
        <v>2025</v>
      </c>
      <c r="M379" t="str">
        <f>_xlfn.CONCAT(TEXT(Table1[[#This Row],[Last_Restock_Date]],"mmm"), "-", YEAR(Table1[[#This Row],[Last_Restock_Date]]))</f>
        <v>Feb-2025</v>
      </c>
      <c r="N379">
        <f>MONTH(Table1[[#This Row],[Last_Restock_Date]])</f>
        <v>2</v>
      </c>
      <c r="O379" t="str" cm="1">
        <f t="array" ref="O379">_xlfn.SWITCH(Table1[[#This Row],[Month_Number]],
    1,"Q1",2,"Q1",3,"Q1",
    4,"Q2",5,"Q2",6,"Q2",
    7,"Q3",8,"Q3",9,"Q3",
    10,"Q4",11,"Q4",12,"Q4",
    "Invalid Month"
)</f>
        <v>Q1</v>
      </c>
      <c r="P379" t="str">
        <f>TEXT(Table1[[#This Row],[Last_Restock_Date]],"mmm")</f>
        <v>Feb</v>
      </c>
    </row>
    <row r="380" spans="1:16" x14ac:dyDescent="0.25">
      <c r="A380">
        <v>379</v>
      </c>
      <c r="B380" s="5" t="s">
        <v>29</v>
      </c>
      <c r="C380" s="5" t="s">
        <v>16</v>
      </c>
      <c r="D380" s="5" t="s">
        <v>12</v>
      </c>
      <c r="E380" s="5" t="s">
        <v>13</v>
      </c>
      <c r="F380" s="2">
        <v>349</v>
      </c>
      <c r="G380" s="3">
        <v>311.99</v>
      </c>
      <c r="H380">
        <v>144</v>
      </c>
      <c r="I380">
        <f>IF(Table1[[#This Row],[Status]]= "Sufficient",
     Table1[[#This Row],[Stock_Quantity]] - Table1[[#This Row],[Reorder_Level]],
     0)</f>
        <v>205</v>
      </c>
      <c r="J380" s="4">
        <v>45644</v>
      </c>
      <c r="K380" s="5" t="s">
        <v>14</v>
      </c>
      <c r="L380">
        <f>YEAR(Table1[[#This Row],[Last_Restock_Date]])</f>
        <v>2024</v>
      </c>
      <c r="M380" t="str">
        <f>_xlfn.CONCAT(TEXT(Table1[[#This Row],[Last_Restock_Date]],"mmm"), "-", YEAR(Table1[[#This Row],[Last_Restock_Date]]))</f>
        <v>Dec-2024</v>
      </c>
      <c r="N380">
        <f>MONTH(Table1[[#This Row],[Last_Restock_Date]])</f>
        <v>12</v>
      </c>
      <c r="O380" t="str" cm="1">
        <f t="array" ref="O380">_xlfn.SWITCH(Table1[[#This Row],[Month_Number]],
    1,"Q1",2,"Q1",3,"Q1",
    4,"Q2",5,"Q2",6,"Q2",
    7,"Q3",8,"Q3",9,"Q3",
    10,"Q4",11,"Q4",12,"Q4",
    "Invalid Month"
)</f>
        <v>Q4</v>
      </c>
      <c r="P380" t="str">
        <f>TEXT(Table1[[#This Row],[Last_Restock_Date]],"mmm")</f>
        <v>Dec</v>
      </c>
    </row>
    <row r="381" spans="1:16" x14ac:dyDescent="0.25">
      <c r="A381">
        <v>380</v>
      </c>
      <c r="B381" s="5" t="s">
        <v>15</v>
      </c>
      <c r="C381" s="5" t="s">
        <v>16</v>
      </c>
      <c r="D381" s="5" t="s">
        <v>12</v>
      </c>
      <c r="E381" s="5" t="s">
        <v>32</v>
      </c>
      <c r="F381" s="2">
        <v>481</v>
      </c>
      <c r="G381" s="3">
        <v>481.4</v>
      </c>
      <c r="H381">
        <v>132</v>
      </c>
      <c r="I381">
        <f>IF(Table1[[#This Row],[Status]]= "Sufficient",
     Table1[[#This Row],[Stock_Quantity]] - Table1[[#This Row],[Reorder_Level]],
     0)</f>
        <v>349</v>
      </c>
      <c r="J381" s="4">
        <v>45423</v>
      </c>
      <c r="K381" s="5" t="s">
        <v>14</v>
      </c>
      <c r="L381">
        <f>YEAR(Table1[[#This Row],[Last_Restock_Date]])</f>
        <v>2024</v>
      </c>
      <c r="M381" t="str">
        <f>_xlfn.CONCAT(TEXT(Table1[[#This Row],[Last_Restock_Date]],"mmm"), "-", YEAR(Table1[[#This Row],[Last_Restock_Date]]))</f>
        <v>May-2024</v>
      </c>
      <c r="N381">
        <f>MONTH(Table1[[#This Row],[Last_Restock_Date]])</f>
        <v>5</v>
      </c>
      <c r="O381" t="str" cm="1">
        <f t="array" ref="O381">_xlfn.SWITCH(Table1[[#This Row],[Month_Number]],
    1,"Q1",2,"Q1",3,"Q1",
    4,"Q2",5,"Q2",6,"Q2",
    7,"Q3",8,"Q3",9,"Q3",
    10,"Q4",11,"Q4",12,"Q4",
    "Invalid Month"
)</f>
        <v>Q2</v>
      </c>
      <c r="P381" t="str">
        <f>TEXT(Table1[[#This Row],[Last_Restock_Date]],"mmm")</f>
        <v>May</v>
      </c>
    </row>
    <row r="382" spans="1:16" x14ac:dyDescent="0.25">
      <c r="A382">
        <v>381</v>
      </c>
      <c r="B382" s="5" t="s">
        <v>51</v>
      </c>
      <c r="C382" s="5" t="s">
        <v>11</v>
      </c>
      <c r="D382" s="5" t="s">
        <v>12</v>
      </c>
      <c r="E382" s="5" t="s">
        <v>39</v>
      </c>
      <c r="F382" s="2">
        <v>158</v>
      </c>
      <c r="G382" s="3">
        <v>590.64</v>
      </c>
      <c r="H382">
        <v>96</v>
      </c>
      <c r="I382">
        <f>IF(Table1[[#This Row],[Status]]= "Sufficient",
     Table1[[#This Row],[Stock_Quantity]] - Table1[[#This Row],[Reorder_Level]],
     0)</f>
        <v>62</v>
      </c>
      <c r="J382" s="4">
        <v>45848</v>
      </c>
      <c r="K382" s="5" t="s">
        <v>14</v>
      </c>
      <c r="L382">
        <f>YEAR(Table1[[#This Row],[Last_Restock_Date]])</f>
        <v>2025</v>
      </c>
      <c r="M382" t="str">
        <f>_xlfn.CONCAT(TEXT(Table1[[#This Row],[Last_Restock_Date]],"mmm"), "-", YEAR(Table1[[#This Row],[Last_Restock_Date]]))</f>
        <v>Jul-2025</v>
      </c>
      <c r="N382">
        <f>MONTH(Table1[[#This Row],[Last_Restock_Date]])</f>
        <v>7</v>
      </c>
      <c r="O382" t="str" cm="1">
        <f t="array" ref="O382">_xlfn.SWITCH(Table1[[#This Row],[Month_Number]],
    1,"Q1",2,"Q1",3,"Q1",
    4,"Q2",5,"Q2",6,"Q2",
    7,"Q3",8,"Q3",9,"Q3",
    10,"Q4",11,"Q4",12,"Q4",
    "Invalid Month"
)</f>
        <v>Q3</v>
      </c>
      <c r="P382" t="str">
        <f>TEXT(Table1[[#This Row],[Last_Restock_Date]],"mmm")</f>
        <v>Jul</v>
      </c>
    </row>
    <row r="383" spans="1:16" x14ac:dyDescent="0.25">
      <c r="A383">
        <v>382</v>
      </c>
      <c r="B383" s="5" t="s">
        <v>33</v>
      </c>
      <c r="C383" s="5" t="s">
        <v>34</v>
      </c>
      <c r="D383" s="5" t="s">
        <v>17</v>
      </c>
      <c r="E383" s="5" t="s">
        <v>18</v>
      </c>
      <c r="F383" s="2">
        <v>432</v>
      </c>
      <c r="G383" s="3">
        <v>130.29</v>
      </c>
      <c r="H383">
        <v>65</v>
      </c>
      <c r="I383">
        <f>IF(Table1[[#This Row],[Status]]= "Sufficient",
     Table1[[#This Row],[Stock_Quantity]] - Table1[[#This Row],[Reorder_Level]],
     0)</f>
        <v>367</v>
      </c>
      <c r="J383" s="4">
        <v>45816</v>
      </c>
      <c r="K383" s="5" t="s">
        <v>14</v>
      </c>
      <c r="L383">
        <f>YEAR(Table1[[#This Row],[Last_Restock_Date]])</f>
        <v>2025</v>
      </c>
      <c r="M383" t="str">
        <f>_xlfn.CONCAT(TEXT(Table1[[#This Row],[Last_Restock_Date]],"mmm"), "-", YEAR(Table1[[#This Row],[Last_Restock_Date]]))</f>
        <v>Jun-2025</v>
      </c>
      <c r="N383">
        <f>MONTH(Table1[[#This Row],[Last_Restock_Date]])</f>
        <v>6</v>
      </c>
      <c r="O383" t="str" cm="1">
        <f t="array" ref="O383">_xlfn.SWITCH(Table1[[#This Row],[Month_Number]],
    1,"Q1",2,"Q1",3,"Q1",
    4,"Q2",5,"Q2",6,"Q2",
    7,"Q3",8,"Q3",9,"Q3",
    10,"Q4",11,"Q4",12,"Q4",
    "Invalid Month"
)</f>
        <v>Q2</v>
      </c>
      <c r="P383" t="str">
        <f>TEXT(Table1[[#This Row],[Last_Restock_Date]],"mmm")</f>
        <v>Jun</v>
      </c>
    </row>
    <row r="384" spans="1:16" x14ac:dyDescent="0.25">
      <c r="A384">
        <v>383</v>
      </c>
      <c r="B384" s="5" t="s">
        <v>41</v>
      </c>
      <c r="C384" s="5" t="s">
        <v>16</v>
      </c>
      <c r="D384" s="5" t="s">
        <v>30</v>
      </c>
      <c r="E384" s="5" t="s">
        <v>27</v>
      </c>
      <c r="F384" s="2">
        <v>95</v>
      </c>
      <c r="G384" s="3">
        <v>341.91</v>
      </c>
      <c r="H384">
        <v>122</v>
      </c>
      <c r="I384">
        <f>IF(Table1[[#This Row],[Status]]= "Sufficient",
     Table1[[#This Row],[Stock_Quantity]] - Table1[[#This Row],[Reorder_Level]],
     0)</f>
        <v>0</v>
      </c>
      <c r="J384" s="4">
        <v>45145</v>
      </c>
      <c r="K384" s="5" t="s">
        <v>28</v>
      </c>
      <c r="L384">
        <f>YEAR(Table1[[#This Row],[Last_Restock_Date]])</f>
        <v>2023</v>
      </c>
      <c r="M384" t="str">
        <f>_xlfn.CONCAT(TEXT(Table1[[#This Row],[Last_Restock_Date]],"mmm"), "-", YEAR(Table1[[#This Row],[Last_Restock_Date]]))</f>
        <v>Aug-2023</v>
      </c>
      <c r="N384">
        <f>MONTH(Table1[[#This Row],[Last_Restock_Date]])</f>
        <v>8</v>
      </c>
      <c r="O384" t="str" cm="1">
        <f t="array" ref="O384">_xlfn.SWITCH(Table1[[#This Row],[Month_Number]],
    1,"Q1",2,"Q1",3,"Q1",
    4,"Q2",5,"Q2",6,"Q2",
    7,"Q3",8,"Q3",9,"Q3",
    10,"Q4",11,"Q4",12,"Q4",
    "Invalid Month"
)</f>
        <v>Q3</v>
      </c>
      <c r="P384" t="str">
        <f>TEXT(Table1[[#This Row],[Last_Restock_Date]],"mmm")</f>
        <v>Aug</v>
      </c>
    </row>
    <row r="385" spans="1:16" x14ac:dyDescent="0.25">
      <c r="A385">
        <v>384</v>
      </c>
      <c r="B385" s="5" t="s">
        <v>43</v>
      </c>
      <c r="C385" s="5" t="s">
        <v>26</v>
      </c>
      <c r="D385" s="5" t="s">
        <v>12</v>
      </c>
      <c r="E385" s="5" t="s">
        <v>37</v>
      </c>
      <c r="F385" s="2">
        <v>230</v>
      </c>
      <c r="G385" s="3">
        <v>261.61</v>
      </c>
      <c r="H385">
        <v>106</v>
      </c>
      <c r="I385">
        <f>IF(Table1[[#This Row],[Status]]= "Sufficient",
     Table1[[#This Row],[Stock_Quantity]] - Table1[[#This Row],[Reorder_Level]],
     0)</f>
        <v>124</v>
      </c>
      <c r="J385" s="4">
        <v>45222</v>
      </c>
      <c r="K385" s="5" t="s">
        <v>14</v>
      </c>
      <c r="L385">
        <f>YEAR(Table1[[#This Row],[Last_Restock_Date]])</f>
        <v>2023</v>
      </c>
      <c r="M385" t="str">
        <f>_xlfn.CONCAT(TEXT(Table1[[#This Row],[Last_Restock_Date]],"mmm"), "-", YEAR(Table1[[#This Row],[Last_Restock_Date]]))</f>
        <v>Oct-2023</v>
      </c>
      <c r="N385">
        <f>MONTH(Table1[[#This Row],[Last_Restock_Date]])</f>
        <v>10</v>
      </c>
      <c r="O385" t="str" cm="1">
        <f t="array" ref="O385">_xlfn.SWITCH(Table1[[#This Row],[Month_Number]],
    1,"Q1",2,"Q1",3,"Q1",
    4,"Q2",5,"Q2",6,"Q2",
    7,"Q3",8,"Q3",9,"Q3",
    10,"Q4",11,"Q4",12,"Q4",
    "Invalid Month"
)</f>
        <v>Q4</v>
      </c>
      <c r="P385" t="str">
        <f>TEXT(Table1[[#This Row],[Last_Restock_Date]],"mmm")</f>
        <v>Oct</v>
      </c>
    </row>
    <row r="386" spans="1:16" x14ac:dyDescent="0.25">
      <c r="A386">
        <v>385</v>
      </c>
      <c r="B386" s="5" t="s">
        <v>48</v>
      </c>
      <c r="C386" s="5" t="s">
        <v>20</v>
      </c>
      <c r="D386" s="5" t="s">
        <v>21</v>
      </c>
      <c r="E386" s="5" t="s">
        <v>18</v>
      </c>
      <c r="F386" s="2">
        <v>488</v>
      </c>
      <c r="G386" s="3">
        <v>371.94</v>
      </c>
      <c r="H386">
        <v>127</v>
      </c>
      <c r="I386">
        <f>IF(Table1[[#This Row],[Status]]= "Sufficient",
     Table1[[#This Row],[Stock_Quantity]] - Table1[[#This Row],[Reorder_Level]],
     0)</f>
        <v>361</v>
      </c>
      <c r="J386" s="4">
        <v>45387</v>
      </c>
      <c r="K386" s="5" t="s">
        <v>14</v>
      </c>
      <c r="L386">
        <f>YEAR(Table1[[#This Row],[Last_Restock_Date]])</f>
        <v>2024</v>
      </c>
      <c r="M386" t="str">
        <f>_xlfn.CONCAT(TEXT(Table1[[#This Row],[Last_Restock_Date]],"mmm"), "-", YEAR(Table1[[#This Row],[Last_Restock_Date]]))</f>
        <v>Apr-2024</v>
      </c>
      <c r="N386">
        <f>MONTH(Table1[[#This Row],[Last_Restock_Date]])</f>
        <v>4</v>
      </c>
      <c r="O386" t="str" cm="1">
        <f t="array" ref="O386">_xlfn.SWITCH(Table1[[#This Row],[Month_Number]],
    1,"Q1",2,"Q1",3,"Q1",
    4,"Q2",5,"Q2",6,"Q2",
    7,"Q3",8,"Q3",9,"Q3",
    10,"Q4",11,"Q4",12,"Q4",
    "Invalid Month"
)</f>
        <v>Q2</v>
      </c>
      <c r="P386" t="str">
        <f>TEXT(Table1[[#This Row],[Last_Restock_Date]],"mmm")</f>
        <v>Apr</v>
      </c>
    </row>
    <row r="387" spans="1:16" x14ac:dyDescent="0.25">
      <c r="A387">
        <v>386</v>
      </c>
      <c r="B387" s="5" t="s">
        <v>38</v>
      </c>
      <c r="C387" s="5" t="s">
        <v>26</v>
      </c>
      <c r="D387" s="5" t="s">
        <v>24</v>
      </c>
      <c r="E387" s="5" t="s">
        <v>39</v>
      </c>
      <c r="F387" s="2">
        <v>481</v>
      </c>
      <c r="G387" s="3">
        <v>125.04</v>
      </c>
      <c r="H387">
        <v>87</v>
      </c>
      <c r="I387">
        <f>IF(Table1[[#This Row],[Status]]= "Sufficient",
     Table1[[#This Row],[Stock_Quantity]] - Table1[[#This Row],[Reorder_Level]],
     0)</f>
        <v>394</v>
      </c>
      <c r="J387" s="4">
        <v>45413</v>
      </c>
      <c r="K387" s="5" t="s">
        <v>14</v>
      </c>
      <c r="L387">
        <f>YEAR(Table1[[#This Row],[Last_Restock_Date]])</f>
        <v>2024</v>
      </c>
      <c r="M387" t="str">
        <f>_xlfn.CONCAT(TEXT(Table1[[#This Row],[Last_Restock_Date]],"mmm"), "-", YEAR(Table1[[#This Row],[Last_Restock_Date]]))</f>
        <v>May-2024</v>
      </c>
      <c r="N387">
        <f>MONTH(Table1[[#This Row],[Last_Restock_Date]])</f>
        <v>5</v>
      </c>
      <c r="O387" t="str" cm="1">
        <f t="array" ref="O387">_xlfn.SWITCH(Table1[[#This Row],[Month_Number]],
    1,"Q1",2,"Q1",3,"Q1",
    4,"Q2",5,"Q2",6,"Q2",
    7,"Q3",8,"Q3",9,"Q3",
    10,"Q4",11,"Q4",12,"Q4",
    "Invalid Month"
)</f>
        <v>Q2</v>
      </c>
      <c r="P387" t="str">
        <f>TEXT(Table1[[#This Row],[Last_Restock_Date]],"mmm")</f>
        <v>May</v>
      </c>
    </row>
    <row r="388" spans="1:16" x14ac:dyDescent="0.25">
      <c r="A388">
        <v>387</v>
      </c>
      <c r="B388" s="5" t="s">
        <v>53</v>
      </c>
      <c r="C388" s="5" t="s">
        <v>26</v>
      </c>
      <c r="D388" s="5" t="s">
        <v>30</v>
      </c>
      <c r="E388" s="5" t="s">
        <v>18</v>
      </c>
      <c r="F388" s="2">
        <v>427</v>
      </c>
      <c r="G388" s="3">
        <v>575.78</v>
      </c>
      <c r="H388">
        <v>50</v>
      </c>
      <c r="I388">
        <f>IF(Table1[[#This Row],[Status]]= "Sufficient",
     Table1[[#This Row],[Stock_Quantity]] - Table1[[#This Row],[Reorder_Level]],
     0)</f>
        <v>377</v>
      </c>
      <c r="J388" s="4">
        <v>45677</v>
      </c>
      <c r="K388" s="5" t="s">
        <v>14</v>
      </c>
      <c r="L388">
        <f>YEAR(Table1[[#This Row],[Last_Restock_Date]])</f>
        <v>2025</v>
      </c>
      <c r="M388" t="str">
        <f>_xlfn.CONCAT(TEXT(Table1[[#This Row],[Last_Restock_Date]],"mmm"), "-", YEAR(Table1[[#This Row],[Last_Restock_Date]]))</f>
        <v>Jan-2025</v>
      </c>
      <c r="N388">
        <f>MONTH(Table1[[#This Row],[Last_Restock_Date]])</f>
        <v>1</v>
      </c>
      <c r="O388" t="str" cm="1">
        <f t="array" ref="O388">_xlfn.SWITCH(Table1[[#This Row],[Month_Number]],
    1,"Q1",2,"Q1",3,"Q1",
    4,"Q2",5,"Q2",6,"Q2",
    7,"Q3",8,"Q3",9,"Q3",
    10,"Q4",11,"Q4",12,"Q4",
    "Invalid Month"
)</f>
        <v>Q1</v>
      </c>
      <c r="P388" t="str">
        <f>TEXT(Table1[[#This Row],[Last_Restock_Date]],"mmm")</f>
        <v>Jan</v>
      </c>
    </row>
    <row r="389" spans="1:16" x14ac:dyDescent="0.25">
      <c r="A389">
        <v>388</v>
      </c>
      <c r="B389" s="5" t="s">
        <v>52</v>
      </c>
      <c r="C389" s="5" t="s">
        <v>16</v>
      </c>
      <c r="D389" s="5" t="s">
        <v>12</v>
      </c>
      <c r="E389" s="5" t="s">
        <v>32</v>
      </c>
      <c r="F389" s="2">
        <v>127</v>
      </c>
      <c r="G389" s="3">
        <v>584.83000000000004</v>
      </c>
      <c r="H389">
        <v>96</v>
      </c>
      <c r="I389">
        <f>IF(Table1[[#This Row],[Status]]= "Sufficient",
     Table1[[#This Row],[Stock_Quantity]] - Table1[[#This Row],[Reorder_Level]],
     0)</f>
        <v>31</v>
      </c>
      <c r="J389" s="4">
        <v>45436</v>
      </c>
      <c r="K389" s="5" t="s">
        <v>14</v>
      </c>
      <c r="L389">
        <f>YEAR(Table1[[#This Row],[Last_Restock_Date]])</f>
        <v>2024</v>
      </c>
      <c r="M389" t="str">
        <f>_xlfn.CONCAT(TEXT(Table1[[#This Row],[Last_Restock_Date]],"mmm"), "-", YEAR(Table1[[#This Row],[Last_Restock_Date]]))</f>
        <v>May-2024</v>
      </c>
      <c r="N389">
        <f>MONTH(Table1[[#This Row],[Last_Restock_Date]])</f>
        <v>5</v>
      </c>
      <c r="O389" t="str" cm="1">
        <f t="array" ref="O389">_xlfn.SWITCH(Table1[[#This Row],[Month_Number]],
    1,"Q1",2,"Q1",3,"Q1",
    4,"Q2",5,"Q2",6,"Q2",
    7,"Q3",8,"Q3",9,"Q3",
    10,"Q4",11,"Q4",12,"Q4",
    "Invalid Month"
)</f>
        <v>Q2</v>
      </c>
      <c r="P389" t="str">
        <f>TEXT(Table1[[#This Row],[Last_Restock_Date]],"mmm")</f>
        <v>May</v>
      </c>
    </row>
    <row r="390" spans="1:16" x14ac:dyDescent="0.25">
      <c r="A390">
        <v>389</v>
      </c>
      <c r="B390" s="5" t="s">
        <v>47</v>
      </c>
      <c r="C390" s="5" t="s">
        <v>20</v>
      </c>
      <c r="D390" s="5" t="s">
        <v>12</v>
      </c>
      <c r="E390" s="5" t="s">
        <v>32</v>
      </c>
      <c r="F390" s="2">
        <v>460</v>
      </c>
      <c r="G390" s="3">
        <v>670.16</v>
      </c>
      <c r="H390">
        <v>119</v>
      </c>
      <c r="I390">
        <f>IF(Table1[[#This Row],[Status]]= "Sufficient",
     Table1[[#This Row],[Stock_Quantity]] - Table1[[#This Row],[Reorder_Level]],
     0)</f>
        <v>341</v>
      </c>
      <c r="J390" s="4">
        <v>45575</v>
      </c>
      <c r="K390" s="5" t="s">
        <v>14</v>
      </c>
      <c r="L390">
        <f>YEAR(Table1[[#This Row],[Last_Restock_Date]])</f>
        <v>2024</v>
      </c>
      <c r="M390" t="str">
        <f>_xlfn.CONCAT(TEXT(Table1[[#This Row],[Last_Restock_Date]],"mmm"), "-", YEAR(Table1[[#This Row],[Last_Restock_Date]]))</f>
        <v>Oct-2024</v>
      </c>
      <c r="N390">
        <f>MONTH(Table1[[#This Row],[Last_Restock_Date]])</f>
        <v>10</v>
      </c>
      <c r="O390" t="str" cm="1">
        <f t="array" ref="O390">_xlfn.SWITCH(Table1[[#This Row],[Month_Number]],
    1,"Q1",2,"Q1",3,"Q1",
    4,"Q2",5,"Q2",6,"Q2",
    7,"Q3",8,"Q3",9,"Q3",
    10,"Q4",11,"Q4",12,"Q4",
    "Invalid Month"
)</f>
        <v>Q4</v>
      </c>
      <c r="P390" t="str">
        <f>TEXT(Table1[[#This Row],[Last_Restock_Date]],"mmm")</f>
        <v>Oct</v>
      </c>
    </row>
    <row r="391" spans="1:16" x14ac:dyDescent="0.25">
      <c r="A391">
        <v>390</v>
      </c>
      <c r="B391" s="5" t="s">
        <v>51</v>
      </c>
      <c r="C391" s="5" t="s">
        <v>11</v>
      </c>
      <c r="D391" s="5" t="s">
        <v>24</v>
      </c>
      <c r="E391" s="5" t="s">
        <v>37</v>
      </c>
      <c r="F391" s="2">
        <v>436</v>
      </c>
      <c r="G391" s="3">
        <v>774.74</v>
      </c>
      <c r="H391">
        <v>78</v>
      </c>
      <c r="I391">
        <f>IF(Table1[[#This Row],[Status]]= "Sufficient",
     Table1[[#This Row],[Stock_Quantity]] - Table1[[#This Row],[Reorder_Level]],
     0)</f>
        <v>358</v>
      </c>
      <c r="J391" s="4">
        <v>45569</v>
      </c>
      <c r="K391" s="5" t="s">
        <v>14</v>
      </c>
      <c r="L391">
        <f>YEAR(Table1[[#This Row],[Last_Restock_Date]])</f>
        <v>2024</v>
      </c>
      <c r="M391" t="str">
        <f>_xlfn.CONCAT(TEXT(Table1[[#This Row],[Last_Restock_Date]],"mmm"), "-", YEAR(Table1[[#This Row],[Last_Restock_Date]]))</f>
        <v>Oct-2024</v>
      </c>
      <c r="N391">
        <f>MONTH(Table1[[#This Row],[Last_Restock_Date]])</f>
        <v>10</v>
      </c>
      <c r="O391" t="str" cm="1">
        <f t="array" ref="O391">_xlfn.SWITCH(Table1[[#This Row],[Month_Number]],
    1,"Q1",2,"Q1",3,"Q1",
    4,"Q2",5,"Q2",6,"Q2",
    7,"Q3",8,"Q3",9,"Q3",
    10,"Q4",11,"Q4",12,"Q4",
    "Invalid Month"
)</f>
        <v>Q4</v>
      </c>
      <c r="P391" t="str">
        <f>TEXT(Table1[[#This Row],[Last_Restock_Date]],"mmm")</f>
        <v>Oct</v>
      </c>
    </row>
    <row r="392" spans="1:16" x14ac:dyDescent="0.25">
      <c r="A392">
        <v>391</v>
      </c>
      <c r="B392" s="5" t="s">
        <v>51</v>
      </c>
      <c r="C392" s="5" t="s">
        <v>11</v>
      </c>
      <c r="D392" s="5" t="s">
        <v>12</v>
      </c>
      <c r="E392" s="5" t="s">
        <v>13</v>
      </c>
      <c r="F392" s="2">
        <v>64</v>
      </c>
      <c r="G392" s="3">
        <v>687.38</v>
      </c>
      <c r="H392">
        <v>56</v>
      </c>
      <c r="I392">
        <f>IF(Table1[[#This Row],[Status]]= "Sufficient",
     Table1[[#This Row],[Stock_Quantity]] - Table1[[#This Row],[Reorder_Level]],
     0)</f>
        <v>8</v>
      </c>
      <c r="J392" s="4">
        <v>45041</v>
      </c>
      <c r="K392" s="5" t="s">
        <v>14</v>
      </c>
      <c r="L392">
        <f>YEAR(Table1[[#This Row],[Last_Restock_Date]])</f>
        <v>2023</v>
      </c>
      <c r="M392" t="str">
        <f>_xlfn.CONCAT(TEXT(Table1[[#This Row],[Last_Restock_Date]],"mmm"), "-", YEAR(Table1[[#This Row],[Last_Restock_Date]]))</f>
        <v>Apr-2023</v>
      </c>
      <c r="N392">
        <f>MONTH(Table1[[#This Row],[Last_Restock_Date]])</f>
        <v>4</v>
      </c>
      <c r="O392" t="str" cm="1">
        <f t="array" ref="O392">_xlfn.SWITCH(Table1[[#This Row],[Month_Number]],
    1,"Q1",2,"Q1",3,"Q1",
    4,"Q2",5,"Q2",6,"Q2",
    7,"Q3",8,"Q3",9,"Q3",
    10,"Q4",11,"Q4",12,"Q4",
    "Invalid Month"
)</f>
        <v>Q2</v>
      </c>
      <c r="P392" t="str">
        <f>TEXT(Table1[[#This Row],[Last_Restock_Date]],"mmm")</f>
        <v>Apr</v>
      </c>
    </row>
    <row r="393" spans="1:16" x14ac:dyDescent="0.25">
      <c r="A393">
        <v>392</v>
      </c>
      <c r="B393" s="5" t="s">
        <v>52</v>
      </c>
      <c r="C393" s="5" t="s">
        <v>16</v>
      </c>
      <c r="D393" s="5" t="s">
        <v>24</v>
      </c>
      <c r="E393" s="5" t="s">
        <v>39</v>
      </c>
      <c r="F393" s="2">
        <v>258</v>
      </c>
      <c r="G393" s="3">
        <v>720.91</v>
      </c>
      <c r="H393">
        <v>133</v>
      </c>
      <c r="I393">
        <f>IF(Table1[[#This Row],[Status]]= "Sufficient",
     Table1[[#This Row],[Stock_Quantity]] - Table1[[#This Row],[Reorder_Level]],
     0)</f>
        <v>125</v>
      </c>
      <c r="J393" s="4">
        <v>45954</v>
      </c>
      <c r="K393" s="5" t="s">
        <v>14</v>
      </c>
      <c r="L393">
        <f>YEAR(Table1[[#This Row],[Last_Restock_Date]])</f>
        <v>2025</v>
      </c>
      <c r="M393" t="str">
        <f>_xlfn.CONCAT(TEXT(Table1[[#This Row],[Last_Restock_Date]],"mmm"), "-", YEAR(Table1[[#This Row],[Last_Restock_Date]]))</f>
        <v>Oct-2025</v>
      </c>
      <c r="N393">
        <f>MONTH(Table1[[#This Row],[Last_Restock_Date]])</f>
        <v>10</v>
      </c>
      <c r="O393" t="str" cm="1">
        <f t="array" ref="O393">_xlfn.SWITCH(Table1[[#This Row],[Month_Number]],
    1,"Q1",2,"Q1",3,"Q1",
    4,"Q2",5,"Q2",6,"Q2",
    7,"Q3",8,"Q3",9,"Q3",
    10,"Q4",11,"Q4",12,"Q4",
    "Invalid Month"
)</f>
        <v>Q4</v>
      </c>
      <c r="P393" t="str">
        <f>TEXT(Table1[[#This Row],[Last_Restock_Date]],"mmm")</f>
        <v>Oct</v>
      </c>
    </row>
    <row r="394" spans="1:16" x14ac:dyDescent="0.25">
      <c r="A394">
        <v>393</v>
      </c>
      <c r="B394" s="5" t="s">
        <v>35</v>
      </c>
      <c r="C394" s="5" t="s">
        <v>11</v>
      </c>
      <c r="D394" s="5" t="s">
        <v>17</v>
      </c>
      <c r="E394" s="5" t="s">
        <v>27</v>
      </c>
      <c r="F394" s="2">
        <v>7</v>
      </c>
      <c r="G394" s="3">
        <v>239.46</v>
      </c>
      <c r="H394">
        <v>93</v>
      </c>
      <c r="I394">
        <f>IF(Table1[[#This Row],[Status]]= "Sufficient",
     Table1[[#This Row],[Stock_Quantity]] - Table1[[#This Row],[Reorder_Level]],
     0)</f>
        <v>0</v>
      </c>
      <c r="J394" s="4">
        <v>45016</v>
      </c>
      <c r="K394" s="5" t="s">
        <v>28</v>
      </c>
      <c r="L394">
        <f>YEAR(Table1[[#This Row],[Last_Restock_Date]])</f>
        <v>2023</v>
      </c>
      <c r="M394" t="str">
        <f>_xlfn.CONCAT(TEXT(Table1[[#This Row],[Last_Restock_Date]],"mmm"), "-", YEAR(Table1[[#This Row],[Last_Restock_Date]]))</f>
        <v>Mar-2023</v>
      </c>
      <c r="N394">
        <f>MONTH(Table1[[#This Row],[Last_Restock_Date]])</f>
        <v>3</v>
      </c>
      <c r="O394" t="str" cm="1">
        <f t="array" ref="O394">_xlfn.SWITCH(Table1[[#This Row],[Month_Number]],
    1,"Q1",2,"Q1",3,"Q1",
    4,"Q2",5,"Q2",6,"Q2",
    7,"Q3",8,"Q3",9,"Q3",
    10,"Q4",11,"Q4",12,"Q4",
    "Invalid Month"
)</f>
        <v>Q1</v>
      </c>
      <c r="P394" t="str">
        <f>TEXT(Table1[[#This Row],[Last_Restock_Date]],"mmm")</f>
        <v>Mar</v>
      </c>
    </row>
    <row r="395" spans="1:16" x14ac:dyDescent="0.25">
      <c r="A395">
        <v>394</v>
      </c>
      <c r="B395" s="5" t="s">
        <v>35</v>
      </c>
      <c r="C395" s="5" t="s">
        <v>11</v>
      </c>
      <c r="D395" s="5" t="s">
        <v>24</v>
      </c>
      <c r="E395" s="5" t="s">
        <v>13</v>
      </c>
      <c r="F395" s="2">
        <v>119</v>
      </c>
      <c r="G395" s="3">
        <v>214.99</v>
      </c>
      <c r="H395">
        <v>94</v>
      </c>
      <c r="I395">
        <f>IF(Table1[[#This Row],[Status]]= "Sufficient",
     Table1[[#This Row],[Stock_Quantity]] - Table1[[#This Row],[Reorder_Level]],
     0)</f>
        <v>25</v>
      </c>
      <c r="J395" s="4">
        <v>45917</v>
      </c>
      <c r="K395" s="5" t="s">
        <v>14</v>
      </c>
      <c r="L395">
        <f>YEAR(Table1[[#This Row],[Last_Restock_Date]])</f>
        <v>2025</v>
      </c>
      <c r="M395" t="str">
        <f>_xlfn.CONCAT(TEXT(Table1[[#This Row],[Last_Restock_Date]],"mmm"), "-", YEAR(Table1[[#This Row],[Last_Restock_Date]]))</f>
        <v>Sep-2025</v>
      </c>
      <c r="N395">
        <f>MONTH(Table1[[#This Row],[Last_Restock_Date]])</f>
        <v>9</v>
      </c>
      <c r="O395" t="str" cm="1">
        <f t="array" ref="O395">_xlfn.SWITCH(Table1[[#This Row],[Month_Number]],
    1,"Q1",2,"Q1",3,"Q1",
    4,"Q2",5,"Q2",6,"Q2",
    7,"Q3",8,"Q3",9,"Q3",
    10,"Q4",11,"Q4",12,"Q4",
    "Invalid Month"
)</f>
        <v>Q3</v>
      </c>
      <c r="P395" t="str">
        <f>TEXT(Table1[[#This Row],[Last_Restock_Date]],"mmm")</f>
        <v>Sep</v>
      </c>
    </row>
    <row r="396" spans="1:16" x14ac:dyDescent="0.25">
      <c r="A396">
        <v>395</v>
      </c>
      <c r="B396" s="5" t="s">
        <v>43</v>
      </c>
      <c r="C396" s="5" t="s">
        <v>26</v>
      </c>
      <c r="D396" s="5" t="s">
        <v>30</v>
      </c>
      <c r="E396" s="5" t="s">
        <v>18</v>
      </c>
      <c r="F396" s="2">
        <v>86</v>
      </c>
      <c r="G396" s="3">
        <v>145.19</v>
      </c>
      <c r="H396">
        <v>140</v>
      </c>
      <c r="I396">
        <f>IF(Table1[[#This Row],[Status]]= "Sufficient",
     Table1[[#This Row],[Stock_Quantity]] - Table1[[#This Row],[Reorder_Level]],
     0)</f>
        <v>0</v>
      </c>
      <c r="J396" s="4">
        <v>45082</v>
      </c>
      <c r="K396" s="5" t="s">
        <v>28</v>
      </c>
      <c r="L396">
        <f>YEAR(Table1[[#This Row],[Last_Restock_Date]])</f>
        <v>2023</v>
      </c>
      <c r="M396" t="str">
        <f>_xlfn.CONCAT(TEXT(Table1[[#This Row],[Last_Restock_Date]],"mmm"), "-", YEAR(Table1[[#This Row],[Last_Restock_Date]]))</f>
        <v>Jun-2023</v>
      </c>
      <c r="N396">
        <f>MONTH(Table1[[#This Row],[Last_Restock_Date]])</f>
        <v>6</v>
      </c>
      <c r="O396" t="str" cm="1">
        <f t="array" ref="O396">_xlfn.SWITCH(Table1[[#This Row],[Month_Number]],
    1,"Q1",2,"Q1",3,"Q1",
    4,"Q2",5,"Q2",6,"Q2",
    7,"Q3",8,"Q3",9,"Q3",
    10,"Q4",11,"Q4",12,"Q4",
    "Invalid Month"
)</f>
        <v>Q2</v>
      </c>
      <c r="P396" t="str">
        <f>TEXT(Table1[[#This Row],[Last_Restock_Date]],"mmm")</f>
        <v>Jun</v>
      </c>
    </row>
    <row r="397" spans="1:16" x14ac:dyDescent="0.25">
      <c r="A397">
        <v>396</v>
      </c>
      <c r="B397" s="5" t="s">
        <v>15</v>
      </c>
      <c r="C397" s="5" t="s">
        <v>16</v>
      </c>
      <c r="D397" s="5" t="s">
        <v>17</v>
      </c>
      <c r="E397" s="5" t="s">
        <v>27</v>
      </c>
      <c r="F397" s="2">
        <v>43</v>
      </c>
      <c r="G397" s="3">
        <v>732.7</v>
      </c>
      <c r="H397">
        <v>59</v>
      </c>
      <c r="I397">
        <f>IF(Table1[[#This Row],[Status]]= "Sufficient",
     Table1[[#This Row],[Stock_Quantity]] - Table1[[#This Row],[Reorder_Level]],
     0)</f>
        <v>0</v>
      </c>
      <c r="J397" s="4">
        <v>45110</v>
      </c>
      <c r="K397" s="5" t="s">
        <v>28</v>
      </c>
      <c r="L397">
        <f>YEAR(Table1[[#This Row],[Last_Restock_Date]])</f>
        <v>2023</v>
      </c>
      <c r="M397" t="str">
        <f>_xlfn.CONCAT(TEXT(Table1[[#This Row],[Last_Restock_Date]],"mmm"), "-", YEAR(Table1[[#This Row],[Last_Restock_Date]]))</f>
        <v>Jul-2023</v>
      </c>
      <c r="N397">
        <f>MONTH(Table1[[#This Row],[Last_Restock_Date]])</f>
        <v>7</v>
      </c>
      <c r="O397" t="str" cm="1">
        <f t="array" ref="O397">_xlfn.SWITCH(Table1[[#This Row],[Month_Number]],
    1,"Q1",2,"Q1",3,"Q1",
    4,"Q2",5,"Q2",6,"Q2",
    7,"Q3",8,"Q3",9,"Q3",
    10,"Q4",11,"Q4",12,"Q4",
    "Invalid Month"
)</f>
        <v>Q3</v>
      </c>
      <c r="P397" t="str">
        <f>TEXT(Table1[[#This Row],[Last_Restock_Date]],"mmm")</f>
        <v>Jul</v>
      </c>
    </row>
    <row r="398" spans="1:16" x14ac:dyDescent="0.25">
      <c r="A398">
        <v>397</v>
      </c>
      <c r="B398" s="5" t="s">
        <v>53</v>
      </c>
      <c r="C398" s="5" t="s">
        <v>26</v>
      </c>
      <c r="D398" s="5" t="s">
        <v>12</v>
      </c>
      <c r="E398" s="5" t="s">
        <v>39</v>
      </c>
      <c r="F398" s="2">
        <v>478</v>
      </c>
      <c r="G398" s="3">
        <v>371.45</v>
      </c>
      <c r="H398">
        <v>75</v>
      </c>
      <c r="I398">
        <f>IF(Table1[[#This Row],[Status]]= "Sufficient",
     Table1[[#This Row],[Stock_Quantity]] - Table1[[#This Row],[Reorder_Level]],
     0)</f>
        <v>403</v>
      </c>
      <c r="J398" s="4">
        <v>45181</v>
      </c>
      <c r="K398" s="5" t="s">
        <v>14</v>
      </c>
      <c r="L398">
        <f>YEAR(Table1[[#This Row],[Last_Restock_Date]])</f>
        <v>2023</v>
      </c>
      <c r="M398" t="str">
        <f>_xlfn.CONCAT(TEXT(Table1[[#This Row],[Last_Restock_Date]],"mmm"), "-", YEAR(Table1[[#This Row],[Last_Restock_Date]]))</f>
        <v>Sep-2023</v>
      </c>
      <c r="N398">
        <f>MONTH(Table1[[#This Row],[Last_Restock_Date]])</f>
        <v>9</v>
      </c>
      <c r="O398" t="str" cm="1">
        <f t="array" ref="O398">_xlfn.SWITCH(Table1[[#This Row],[Month_Number]],
    1,"Q1",2,"Q1",3,"Q1",
    4,"Q2",5,"Q2",6,"Q2",
    7,"Q3",8,"Q3",9,"Q3",
    10,"Q4",11,"Q4",12,"Q4",
    "Invalid Month"
)</f>
        <v>Q3</v>
      </c>
      <c r="P398" t="str">
        <f>TEXT(Table1[[#This Row],[Last_Restock_Date]],"mmm")</f>
        <v>Sep</v>
      </c>
    </row>
    <row r="399" spans="1:16" x14ac:dyDescent="0.25">
      <c r="A399">
        <v>398</v>
      </c>
      <c r="B399" s="5" t="s">
        <v>44</v>
      </c>
      <c r="C399" s="5" t="s">
        <v>34</v>
      </c>
      <c r="D399" s="5" t="s">
        <v>24</v>
      </c>
      <c r="E399" s="5" t="s">
        <v>39</v>
      </c>
      <c r="F399" s="2">
        <v>83</v>
      </c>
      <c r="G399" s="3">
        <v>442.97</v>
      </c>
      <c r="H399">
        <v>131</v>
      </c>
      <c r="I399">
        <f>IF(Table1[[#This Row],[Status]]= "Sufficient",
     Table1[[#This Row],[Stock_Quantity]] - Table1[[#This Row],[Reorder_Level]],
     0)</f>
        <v>0</v>
      </c>
      <c r="J399" s="4">
        <v>45666</v>
      </c>
      <c r="K399" s="5" t="s">
        <v>28</v>
      </c>
      <c r="L399">
        <f>YEAR(Table1[[#This Row],[Last_Restock_Date]])</f>
        <v>2025</v>
      </c>
      <c r="M399" t="str">
        <f>_xlfn.CONCAT(TEXT(Table1[[#This Row],[Last_Restock_Date]],"mmm"), "-", YEAR(Table1[[#This Row],[Last_Restock_Date]]))</f>
        <v>Jan-2025</v>
      </c>
      <c r="N399">
        <f>MONTH(Table1[[#This Row],[Last_Restock_Date]])</f>
        <v>1</v>
      </c>
      <c r="O399" t="str" cm="1">
        <f t="array" ref="O399">_xlfn.SWITCH(Table1[[#This Row],[Month_Number]],
    1,"Q1",2,"Q1",3,"Q1",
    4,"Q2",5,"Q2",6,"Q2",
    7,"Q3",8,"Q3",9,"Q3",
    10,"Q4",11,"Q4",12,"Q4",
    "Invalid Month"
)</f>
        <v>Q1</v>
      </c>
      <c r="P399" t="str">
        <f>TEXT(Table1[[#This Row],[Last_Restock_Date]],"mmm")</f>
        <v>Jan</v>
      </c>
    </row>
    <row r="400" spans="1:16" x14ac:dyDescent="0.25">
      <c r="A400">
        <v>399</v>
      </c>
      <c r="B400" s="5" t="s">
        <v>33</v>
      </c>
      <c r="C400" s="5" t="s">
        <v>34</v>
      </c>
      <c r="D400" s="5" t="s">
        <v>17</v>
      </c>
      <c r="E400" s="5" t="s">
        <v>18</v>
      </c>
      <c r="F400" s="2">
        <v>448</v>
      </c>
      <c r="G400" s="3">
        <v>192.96</v>
      </c>
      <c r="H400">
        <v>143</v>
      </c>
      <c r="I400">
        <f>IF(Table1[[#This Row],[Status]]= "Sufficient",
     Table1[[#This Row],[Stock_Quantity]] - Table1[[#This Row],[Reorder_Level]],
     0)</f>
        <v>305</v>
      </c>
      <c r="J400" s="4">
        <v>45895</v>
      </c>
      <c r="K400" s="5" t="s">
        <v>14</v>
      </c>
      <c r="L400">
        <f>YEAR(Table1[[#This Row],[Last_Restock_Date]])</f>
        <v>2025</v>
      </c>
      <c r="M400" t="str">
        <f>_xlfn.CONCAT(TEXT(Table1[[#This Row],[Last_Restock_Date]],"mmm"), "-", YEAR(Table1[[#This Row],[Last_Restock_Date]]))</f>
        <v>Aug-2025</v>
      </c>
      <c r="N400">
        <f>MONTH(Table1[[#This Row],[Last_Restock_Date]])</f>
        <v>8</v>
      </c>
      <c r="O400" t="str" cm="1">
        <f t="array" ref="O400">_xlfn.SWITCH(Table1[[#This Row],[Month_Number]],
    1,"Q1",2,"Q1",3,"Q1",
    4,"Q2",5,"Q2",6,"Q2",
    7,"Q3",8,"Q3",9,"Q3",
    10,"Q4",11,"Q4",12,"Q4",
    "Invalid Month"
)</f>
        <v>Q3</v>
      </c>
      <c r="P400" t="str">
        <f>TEXT(Table1[[#This Row],[Last_Restock_Date]],"mmm")</f>
        <v>Aug</v>
      </c>
    </row>
    <row r="401" spans="1:16" x14ac:dyDescent="0.25">
      <c r="A401">
        <v>400</v>
      </c>
      <c r="B401" s="5" t="s">
        <v>53</v>
      </c>
      <c r="C401" s="5" t="s">
        <v>26</v>
      </c>
      <c r="D401" s="5" t="s">
        <v>12</v>
      </c>
      <c r="E401" s="5" t="s">
        <v>18</v>
      </c>
      <c r="F401" s="2">
        <v>193</v>
      </c>
      <c r="G401" s="3">
        <v>661.81</v>
      </c>
      <c r="H401">
        <v>116</v>
      </c>
      <c r="I401">
        <f>IF(Table1[[#This Row],[Status]]= "Sufficient",
     Table1[[#This Row],[Stock_Quantity]] - Table1[[#This Row],[Reorder_Level]],
     0)</f>
        <v>77</v>
      </c>
      <c r="J401" s="4">
        <v>45812</v>
      </c>
      <c r="K401" s="5" t="s">
        <v>14</v>
      </c>
      <c r="L401">
        <f>YEAR(Table1[[#This Row],[Last_Restock_Date]])</f>
        <v>2025</v>
      </c>
      <c r="M401" t="str">
        <f>_xlfn.CONCAT(TEXT(Table1[[#This Row],[Last_Restock_Date]],"mmm"), "-", YEAR(Table1[[#This Row],[Last_Restock_Date]]))</f>
        <v>Jun-2025</v>
      </c>
      <c r="N401">
        <f>MONTH(Table1[[#This Row],[Last_Restock_Date]])</f>
        <v>6</v>
      </c>
      <c r="O401" t="str" cm="1">
        <f t="array" ref="O401">_xlfn.SWITCH(Table1[[#This Row],[Month_Number]],
    1,"Q1",2,"Q1",3,"Q1",
    4,"Q2",5,"Q2",6,"Q2",
    7,"Q3",8,"Q3",9,"Q3",
    10,"Q4",11,"Q4",12,"Q4",
    "Invalid Month"
)</f>
        <v>Q2</v>
      </c>
      <c r="P401" t="str">
        <f>TEXT(Table1[[#This Row],[Last_Restock_Date]],"mmm")</f>
        <v>Jun</v>
      </c>
    </row>
    <row r="402" spans="1:16" x14ac:dyDescent="0.25">
      <c r="A402">
        <v>401</v>
      </c>
      <c r="B402" s="5" t="s">
        <v>15</v>
      </c>
      <c r="C402" s="5" t="s">
        <v>16</v>
      </c>
      <c r="D402" s="5" t="s">
        <v>21</v>
      </c>
      <c r="E402" s="5" t="s">
        <v>18</v>
      </c>
      <c r="F402" s="2">
        <v>40</v>
      </c>
      <c r="G402" s="3">
        <v>199.93</v>
      </c>
      <c r="H402">
        <v>50</v>
      </c>
      <c r="I402">
        <f>IF(Table1[[#This Row],[Status]]= "Sufficient",
     Table1[[#This Row],[Stock_Quantity]] - Table1[[#This Row],[Reorder_Level]],
     0)</f>
        <v>0</v>
      </c>
      <c r="J402" s="4">
        <v>45964</v>
      </c>
      <c r="K402" s="5" t="s">
        <v>28</v>
      </c>
      <c r="L402">
        <f>YEAR(Table1[[#This Row],[Last_Restock_Date]])</f>
        <v>2025</v>
      </c>
      <c r="M402" t="str">
        <f>_xlfn.CONCAT(TEXT(Table1[[#This Row],[Last_Restock_Date]],"mmm"), "-", YEAR(Table1[[#This Row],[Last_Restock_Date]]))</f>
        <v>Nov-2025</v>
      </c>
      <c r="N402">
        <f>MONTH(Table1[[#This Row],[Last_Restock_Date]])</f>
        <v>11</v>
      </c>
      <c r="O402" t="str" cm="1">
        <f t="array" ref="O402">_xlfn.SWITCH(Table1[[#This Row],[Month_Number]],
    1,"Q1",2,"Q1",3,"Q1",
    4,"Q2",5,"Q2",6,"Q2",
    7,"Q3",8,"Q3",9,"Q3",
    10,"Q4",11,"Q4",12,"Q4",
    "Invalid Month"
)</f>
        <v>Q4</v>
      </c>
      <c r="P402" t="str">
        <f>TEXT(Table1[[#This Row],[Last_Restock_Date]],"mmm")</f>
        <v>Nov</v>
      </c>
    </row>
    <row r="403" spans="1:16" x14ac:dyDescent="0.25">
      <c r="A403">
        <v>402</v>
      </c>
      <c r="B403" s="5" t="s">
        <v>40</v>
      </c>
      <c r="C403" s="5" t="s">
        <v>34</v>
      </c>
      <c r="D403" s="5" t="s">
        <v>30</v>
      </c>
      <c r="E403" s="5" t="s">
        <v>27</v>
      </c>
      <c r="F403" s="2">
        <v>277</v>
      </c>
      <c r="G403" s="3">
        <v>583.47</v>
      </c>
      <c r="H403">
        <v>149</v>
      </c>
      <c r="I403">
        <f>IF(Table1[[#This Row],[Status]]= "Sufficient",
     Table1[[#This Row],[Stock_Quantity]] - Table1[[#This Row],[Reorder_Level]],
     0)</f>
        <v>128</v>
      </c>
      <c r="J403" s="4">
        <v>45669</v>
      </c>
      <c r="K403" s="5" t="s">
        <v>14</v>
      </c>
      <c r="L403">
        <f>YEAR(Table1[[#This Row],[Last_Restock_Date]])</f>
        <v>2025</v>
      </c>
      <c r="M403" t="str">
        <f>_xlfn.CONCAT(TEXT(Table1[[#This Row],[Last_Restock_Date]],"mmm"), "-", YEAR(Table1[[#This Row],[Last_Restock_Date]]))</f>
        <v>Jan-2025</v>
      </c>
      <c r="N403">
        <f>MONTH(Table1[[#This Row],[Last_Restock_Date]])</f>
        <v>1</v>
      </c>
      <c r="O403" t="str" cm="1">
        <f t="array" ref="O403">_xlfn.SWITCH(Table1[[#This Row],[Month_Number]],
    1,"Q1",2,"Q1",3,"Q1",
    4,"Q2",5,"Q2",6,"Q2",
    7,"Q3",8,"Q3",9,"Q3",
    10,"Q4",11,"Q4",12,"Q4",
    "Invalid Month"
)</f>
        <v>Q1</v>
      </c>
      <c r="P403" t="str">
        <f>TEXT(Table1[[#This Row],[Last_Restock_Date]],"mmm")</f>
        <v>Jan</v>
      </c>
    </row>
    <row r="404" spans="1:16" x14ac:dyDescent="0.25">
      <c r="A404">
        <v>403</v>
      </c>
      <c r="B404" s="5" t="s">
        <v>19</v>
      </c>
      <c r="C404" s="5" t="s">
        <v>20</v>
      </c>
      <c r="D404" s="5" t="s">
        <v>30</v>
      </c>
      <c r="E404" s="5" t="s">
        <v>32</v>
      </c>
      <c r="F404" s="2">
        <v>452</v>
      </c>
      <c r="G404" s="3">
        <v>364.93</v>
      </c>
      <c r="H404">
        <v>137</v>
      </c>
      <c r="I404">
        <f>IF(Table1[[#This Row],[Status]]= "Sufficient",
     Table1[[#This Row],[Stock_Quantity]] - Table1[[#This Row],[Reorder_Level]],
     0)</f>
        <v>315</v>
      </c>
      <c r="J404" s="4">
        <v>45903</v>
      </c>
      <c r="K404" s="5" t="s">
        <v>14</v>
      </c>
      <c r="L404">
        <f>YEAR(Table1[[#This Row],[Last_Restock_Date]])</f>
        <v>2025</v>
      </c>
      <c r="M404" t="str">
        <f>_xlfn.CONCAT(TEXT(Table1[[#This Row],[Last_Restock_Date]],"mmm"), "-", YEAR(Table1[[#This Row],[Last_Restock_Date]]))</f>
        <v>Sep-2025</v>
      </c>
      <c r="N404">
        <f>MONTH(Table1[[#This Row],[Last_Restock_Date]])</f>
        <v>9</v>
      </c>
      <c r="O404" t="str" cm="1">
        <f t="array" ref="O404">_xlfn.SWITCH(Table1[[#This Row],[Month_Number]],
    1,"Q1",2,"Q1",3,"Q1",
    4,"Q2",5,"Q2",6,"Q2",
    7,"Q3",8,"Q3",9,"Q3",
    10,"Q4",11,"Q4",12,"Q4",
    "Invalid Month"
)</f>
        <v>Q3</v>
      </c>
      <c r="P404" t="str">
        <f>TEXT(Table1[[#This Row],[Last_Restock_Date]],"mmm")</f>
        <v>Sep</v>
      </c>
    </row>
    <row r="405" spans="1:16" x14ac:dyDescent="0.25">
      <c r="A405">
        <v>404</v>
      </c>
      <c r="B405" s="5" t="s">
        <v>22</v>
      </c>
      <c r="C405" s="5" t="s">
        <v>11</v>
      </c>
      <c r="D405" s="5" t="s">
        <v>30</v>
      </c>
      <c r="E405" s="5" t="s">
        <v>39</v>
      </c>
      <c r="F405" s="2">
        <v>175</v>
      </c>
      <c r="G405" s="3">
        <v>465.04</v>
      </c>
      <c r="H405">
        <v>140</v>
      </c>
      <c r="I405">
        <f>IF(Table1[[#This Row],[Status]]= "Sufficient",
     Table1[[#This Row],[Stock_Quantity]] - Table1[[#This Row],[Reorder_Level]],
     0)</f>
        <v>35</v>
      </c>
      <c r="J405" s="4">
        <v>45177</v>
      </c>
      <c r="K405" s="5" t="s">
        <v>14</v>
      </c>
      <c r="L405">
        <f>YEAR(Table1[[#This Row],[Last_Restock_Date]])</f>
        <v>2023</v>
      </c>
      <c r="M405" t="str">
        <f>_xlfn.CONCAT(TEXT(Table1[[#This Row],[Last_Restock_Date]],"mmm"), "-", YEAR(Table1[[#This Row],[Last_Restock_Date]]))</f>
        <v>Sep-2023</v>
      </c>
      <c r="N405">
        <f>MONTH(Table1[[#This Row],[Last_Restock_Date]])</f>
        <v>9</v>
      </c>
      <c r="O405" t="str" cm="1">
        <f t="array" ref="O405">_xlfn.SWITCH(Table1[[#This Row],[Month_Number]],
    1,"Q1",2,"Q1",3,"Q1",
    4,"Q2",5,"Q2",6,"Q2",
    7,"Q3",8,"Q3",9,"Q3",
    10,"Q4",11,"Q4",12,"Q4",
    "Invalid Month"
)</f>
        <v>Q3</v>
      </c>
      <c r="P405" t="str">
        <f>TEXT(Table1[[#This Row],[Last_Restock_Date]],"mmm")</f>
        <v>Sep</v>
      </c>
    </row>
    <row r="406" spans="1:16" x14ac:dyDescent="0.25">
      <c r="A406">
        <v>405</v>
      </c>
      <c r="B406" s="5" t="s">
        <v>41</v>
      </c>
      <c r="C406" s="5" t="s">
        <v>16</v>
      </c>
      <c r="D406" s="5" t="s">
        <v>21</v>
      </c>
      <c r="E406" s="5" t="s">
        <v>18</v>
      </c>
      <c r="F406" s="2">
        <v>391</v>
      </c>
      <c r="G406" s="3">
        <v>234.33</v>
      </c>
      <c r="H406">
        <v>62</v>
      </c>
      <c r="I406">
        <f>IF(Table1[[#This Row],[Status]]= "Sufficient",
     Table1[[#This Row],[Stock_Quantity]] - Table1[[#This Row],[Reorder_Level]],
     0)</f>
        <v>329</v>
      </c>
      <c r="J406" s="4">
        <v>45772</v>
      </c>
      <c r="K406" s="5" t="s">
        <v>14</v>
      </c>
      <c r="L406">
        <f>YEAR(Table1[[#This Row],[Last_Restock_Date]])</f>
        <v>2025</v>
      </c>
      <c r="M406" t="str">
        <f>_xlfn.CONCAT(TEXT(Table1[[#This Row],[Last_Restock_Date]],"mmm"), "-", YEAR(Table1[[#This Row],[Last_Restock_Date]]))</f>
        <v>Apr-2025</v>
      </c>
      <c r="N406">
        <f>MONTH(Table1[[#This Row],[Last_Restock_Date]])</f>
        <v>4</v>
      </c>
      <c r="O406" t="str" cm="1">
        <f t="array" ref="O406">_xlfn.SWITCH(Table1[[#This Row],[Month_Number]],
    1,"Q1",2,"Q1",3,"Q1",
    4,"Q2",5,"Q2",6,"Q2",
    7,"Q3",8,"Q3",9,"Q3",
    10,"Q4",11,"Q4",12,"Q4",
    "Invalid Month"
)</f>
        <v>Q2</v>
      </c>
      <c r="P406" t="str">
        <f>TEXT(Table1[[#This Row],[Last_Restock_Date]],"mmm")</f>
        <v>Apr</v>
      </c>
    </row>
    <row r="407" spans="1:16" x14ac:dyDescent="0.25">
      <c r="A407">
        <v>406</v>
      </c>
      <c r="B407" s="5" t="s">
        <v>50</v>
      </c>
      <c r="C407" s="5" t="s">
        <v>34</v>
      </c>
      <c r="D407" s="5" t="s">
        <v>24</v>
      </c>
      <c r="E407" s="5" t="s">
        <v>18</v>
      </c>
      <c r="F407" s="2">
        <v>266</v>
      </c>
      <c r="G407" s="3">
        <v>466.14</v>
      </c>
      <c r="H407">
        <v>70</v>
      </c>
      <c r="I407">
        <f>IF(Table1[[#This Row],[Status]]= "Sufficient",
     Table1[[#This Row],[Stock_Quantity]] - Table1[[#This Row],[Reorder_Level]],
     0)</f>
        <v>196</v>
      </c>
      <c r="J407" s="4">
        <v>44987</v>
      </c>
      <c r="K407" s="5" t="s">
        <v>14</v>
      </c>
      <c r="L407">
        <f>YEAR(Table1[[#This Row],[Last_Restock_Date]])</f>
        <v>2023</v>
      </c>
      <c r="M407" t="str">
        <f>_xlfn.CONCAT(TEXT(Table1[[#This Row],[Last_Restock_Date]],"mmm"), "-", YEAR(Table1[[#This Row],[Last_Restock_Date]]))</f>
        <v>Mar-2023</v>
      </c>
      <c r="N407">
        <f>MONTH(Table1[[#This Row],[Last_Restock_Date]])</f>
        <v>3</v>
      </c>
      <c r="O407" t="str" cm="1">
        <f t="array" ref="O407">_xlfn.SWITCH(Table1[[#This Row],[Month_Number]],
    1,"Q1",2,"Q1",3,"Q1",
    4,"Q2",5,"Q2",6,"Q2",
    7,"Q3",8,"Q3",9,"Q3",
    10,"Q4",11,"Q4",12,"Q4",
    "Invalid Month"
)</f>
        <v>Q1</v>
      </c>
      <c r="P407" t="str">
        <f>TEXT(Table1[[#This Row],[Last_Restock_Date]],"mmm")</f>
        <v>Mar</v>
      </c>
    </row>
    <row r="408" spans="1:16" x14ac:dyDescent="0.25">
      <c r="A408">
        <v>407</v>
      </c>
      <c r="B408" s="5" t="s">
        <v>29</v>
      </c>
      <c r="C408" s="5" t="s">
        <v>16</v>
      </c>
      <c r="D408" s="5" t="s">
        <v>24</v>
      </c>
      <c r="E408" s="5" t="s">
        <v>39</v>
      </c>
      <c r="F408" s="2">
        <v>377</v>
      </c>
      <c r="G408" s="3">
        <v>483.62</v>
      </c>
      <c r="H408">
        <v>51</v>
      </c>
      <c r="I408">
        <f>IF(Table1[[#This Row],[Status]]= "Sufficient",
     Table1[[#This Row],[Stock_Quantity]] - Table1[[#This Row],[Reorder_Level]],
     0)</f>
        <v>326</v>
      </c>
      <c r="J408" s="4">
        <v>45045</v>
      </c>
      <c r="K408" s="5" t="s">
        <v>14</v>
      </c>
      <c r="L408">
        <f>YEAR(Table1[[#This Row],[Last_Restock_Date]])</f>
        <v>2023</v>
      </c>
      <c r="M408" t="str">
        <f>_xlfn.CONCAT(TEXT(Table1[[#This Row],[Last_Restock_Date]],"mmm"), "-", YEAR(Table1[[#This Row],[Last_Restock_Date]]))</f>
        <v>Apr-2023</v>
      </c>
      <c r="N408">
        <f>MONTH(Table1[[#This Row],[Last_Restock_Date]])</f>
        <v>4</v>
      </c>
      <c r="O408" t="str" cm="1">
        <f t="array" ref="O408">_xlfn.SWITCH(Table1[[#This Row],[Month_Number]],
    1,"Q1",2,"Q1",3,"Q1",
    4,"Q2",5,"Q2",6,"Q2",
    7,"Q3",8,"Q3",9,"Q3",
    10,"Q4",11,"Q4",12,"Q4",
    "Invalid Month"
)</f>
        <v>Q2</v>
      </c>
      <c r="P408" t="str">
        <f>TEXT(Table1[[#This Row],[Last_Restock_Date]],"mmm")</f>
        <v>Apr</v>
      </c>
    </row>
    <row r="409" spans="1:16" x14ac:dyDescent="0.25">
      <c r="A409">
        <v>408</v>
      </c>
      <c r="B409" s="5" t="s">
        <v>36</v>
      </c>
      <c r="C409" s="5" t="s">
        <v>11</v>
      </c>
      <c r="D409" s="5" t="s">
        <v>24</v>
      </c>
      <c r="E409" s="5" t="s">
        <v>18</v>
      </c>
      <c r="F409" s="2">
        <v>65</v>
      </c>
      <c r="G409" s="3">
        <v>224.12</v>
      </c>
      <c r="H409">
        <v>78</v>
      </c>
      <c r="I409">
        <f>IF(Table1[[#This Row],[Status]]= "Sufficient",
     Table1[[#This Row],[Stock_Quantity]] - Table1[[#This Row],[Reorder_Level]],
     0)</f>
        <v>0</v>
      </c>
      <c r="J409" s="4">
        <v>45355</v>
      </c>
      <c r="K409" s="5" t="s">
        <v>28</v>
      </c>
      <c r="L409">
        <f>YEAR(Table1[[#This Row],[Last_Restock_Date]])</f>
        <v>2024</v>
      </c>
      <c r="M409" t="str">
        <f>_xlfn.CONCAT(TEXT(Table1[[#This Row],[Last_Restock_Date]],"mmm"), "-", YEAR(Table1[[#This Row],[Last_Restock_Date]]))</f>
        <v>Mar-2024</v>
      </c>
      <c r="N409">
        <f>MONTH(Table1[[#This Row],[Last_Restock_Date]])</f>
        <v>3</v>
      </c>
      <c r="O409" t="str" cm="1">
        <f t="array" ref="O409">_xlfn.SWITCH(Table1[[#This Row],[Month_Number]],
    1,"Q1",2,"Q1",3,"Q1",
    4,"Q2",5,"Q2",6,"Q2",
    7,"Q3",8,"Q3",9,"Q3",
    10,"Q4",11,"Q4",12,"Q4",
    "Invalid Month"
)</f>
        <v>Q1</v>
      </c>
      <c r="P409" t="str">
        <f>TEXT(Table1[[#This Row],[Last_Restock_Date]],"mmm")</f>
        <v>Mar</v>
      </c>
    </row>
    <row r="410" spans="1:16" x14ac:dyDescent="0.25">
      <c r="A410">
        <v>409</v>
      </c>
      <c r="B410" s="5" t="s">
        <v>48</v>
      </c>
      <c r="C410" s="5" t="s">
        <v>20</v>
      </c>
      <c r="D410" s="5" t="s">
        <v>24</v>
      </c>
      <c r="E410" s="5" t="s">
        <v>37</v>
      </c>
      <c r="F410" s="2">
        <v>315</v>
      </c>
      <c r="G410" s="3">
        <v>635.78</v>
      </c>
      <c r="H410">
        <v>108</v>
      </c>
      <c r="I410">
        <f>IF(Table1[[#This Row],[Status]]= "Sufficient",
     Table1[[#This Row],[Stock_Quantity]] - Table1[[#This Row],[Reorder_Level]],
     0)</f>
        <v>207</v>
      </c>
      <c r="J410" s="4">
        <v>45001</v>
      </c>
      <c r="K410" s="5" t="s">
        <v>14</v>
      </c>
      <c r="L410">
        <f>YEAR(Table1[[#This Row],[Last_Restock_Date]])</f>
        <v>2023</v>
      </c>
      <c r="M410" t="str">
        <f>_xlfn.CONCAT(TEXT(Table1[[#This Row],[Last_Restock_Date]],"mmm"), "-", YEAR(Table1[[#This Row],[Last_Restock_Date]]))</f>
        <v>Mar-2023</v>
      </c>
      <c r="N410">
        <f>MONTH(Table1[[#This Row],[Last_Restock_Date]])</f>
        <v>3</v>
      </c>
      <c r="O410" t="str" cm="1">
        <f t="array" ref="O410">_xlfn.SWITCH(Table1[[#This Row],[Month_Number]],
    1,"Q1",2,"Q1",3,"Q1",
    4,"Q2",5,"Q2",6,"Q2",
    7,"Q3",8,"Q3",9,"Q3",
    10,"Q4",11,"Q4",12,"Q4",
    "Invalid Month"
)</f>
        <v>Q1</v>
      </c>
      <c r="P410" t="str">
        <f>TEXT(Table1[[#This Row],[Last_Restock_Date]],"mmm")</f>
        <v>Mar</v>
      </c>
    </row>
    <row r="411" spans="1:16" x14ac:dyDescent="0.25">
      <c r="A411">
        <v>410</v>
      </c>
      <c r="B411" s="5" t="s">
        <v>33</v>
      </c>
      <c r="C411" s="5" t="s">
        <v>34</v>
      </c>
      <c r="D411" s="5" t="s">
        <v>12</v>
      </c>
      <c r="E411" s="5" t="s">
        <v>37</v>
      </c>
      <c r="F411" s="2">
        <v>47</v>
      </c>
      <c r="G411" s="3">
        <v>376.87</v>
      </c>
      <c r="H411">
        <v>51</v>
      </c>
      <c r="I411">
        <f>IF(Table1[[#This Row],[Status]]= "Sufficient",
     Table1[[#This Row],[Stock_Quantity]] - Table1[[#This Row],[Reorder_Level]],
     0)</f>
        <v>0</v>
      </c>
      <c r="J411" s="4">
        <v>45449</v>
      </c>
      <c r="K411" s="5" t="s">
        <v>28</v>
      </c>
      <c r="L411">
        <f>YEAR(Table1[[#This Row],[Last_Restock_Date]])</f>
        <v>2024</v>
      </c>
      <c r="M411" t="str">
        <f>_xlfn.CONCAT(TEXT(Table1[[#This Row],[Last_Restock_Date]],"mmm"), "-", YEAR(Table1[[#This Row],[Last_Restock_Date]]))</f>
        <v>Jun-2024</v>
      </c>
      <c r="N411">
        <f>MONTH(Table1[[#This Row],[Last_Restock_Date]])</f>
        <v>6</v>
      </c>
      <c r="O411" t="str" cm="1">
        <f t="array" ref="O411">_xlfn.SWITCH(Table1[[#This Row],[Month_Number]],
    1,"Q1",2,"Q1",3,"Q1",
    4,"Q2",5,"Q2",6,"Q2",
    7,"Q3",8,"Q3",9,"Q3",
    10,"Q4",11,"Q4",12,"Q4",
    "Invalid Month"
)</f>
        <v>Q2</v>
      </c>
      <c r="P411" t="str">
        <f>TEXT(Table1[[#This Row],[Last_Restock_Date]],"mmm")</f>
        <v>Jun</v>
      </c>
    </row>
    <row r="412" spans="1:16" x14ac:dyDescent="0.25">
      <c r="A412">
        <v>411</v>
      </c>
      <c r="B412" s="5" t="s">
        <v>19</v>
      </c>
      <c r="C412" s="5" t="s">
        <v>20</v>
      </c>
      <c r="D412" s="5" t="s">
        <v>17</v>
      </c>
      <c r="E412" s="5" t="s">
        <v>27</v>
      </c>
      <c r="F412" s="2">
        <v>308</v>
      </c>
      <c r="G412" s="3">
        <v>410.12</v>
      </c>
      <c r="H412">
        <v>100</v>
      </c>
      <c r="I412">
        <f>IF(Table1[[#This Row],[Status]]= "Sufficient",
     Table1[[#This Row],[Stock_Quantity]] - Table1[[#This Row],[Reorder_Level]],
     0)</f>
        <v>208</v>
      </c>
      <c r="J412" s="4">
        <v>45602</v>
      </c>
      <c r="K412" s="5" t="s">
        <v>14</v>
      </c>
      <c r="L412">
        <f>YEAR(Table1[[#This Row],[Last_Restock_Date]])</f>
        <v>2024</v>
      </c>
      <c r="M412" t="str">
        <f>_xlfn.CONCAT(TEXT(Table1[[#This Row],[Last_Restock_Date]],"mmm"), "-", YEAR(Table1[[#This Row],[Last_Restock_Date]]))</f>
        <v>Nov-2024</v>
      </c>
      <c r="N412">
        <f>MONTH(Table1[[#This Row],[Last_Restock_Date]])</f>
        <v>11</v>
      </c>
      <c r="O412" t="str" cm="1">
        <f t="array" ref="O412">_xlfn.SWITCH(Table1[[#This Row],[Month_Number]],
    1,"Q1",2,"Q1",3,"Q1",
    4,"Q2",5,"Q2",6,"Q2",
    7,"Q3",8,"Q3",9,"Q3",
    10,"Q4",11,"Q4",12,"Q4",
    "Invalid Month"
)</f>
        <v>Q4</v>
      </c>
      <c r="P412" t="str">
        <f>TEXT(Table1[[#This Row],[Last_Restock_Date]],"mmm")</f>
        <v>Nov</v>
      </c>
    </row>
    <row r="413" spans="1:16" x14ac:dyDescent="0.25">
      <c r="A413">
        <v>412</v>
      </c>
      <c r="B413" s="5" t="s">
        <v>19</v>
      </c>
      <c r="C413" s="5" t="s">
        <v>20</v>
      </c>
      <c r="D413" s="5" t="s">
        <v>24</v>
      </c>
      <c r="E413" s="5" t="s">
        <v>39</v>
      </c>
      <c r="F413" s="2">
        <v>290</v>
      </c>
      <c r="G413" s="3">
        <v>621.79</v>
      </c>
      <c r="H413">
        <v>122</v>
      </c>
      <c r="I413">
        <f>IF(Table1[[#This Row],[Status]]= "Sufficient",
     Table1[[#This Row],[Stock_Quantity]] - Table1[[#This Row],[Reorder_Level]],
     0)</f>
        <v>168</v>
      </c>
      <c r="J413" s="4">
        <v>45927</v>
      </c>
      <c r="K413" s="5" t="s">
        <v>14</v>
      </c>
      <c r="L413">
        <f>YEAR(Table1[[#This Row],[Last_Restock_Date]])</f>
        <v>2025</v>
      </c>
      <c r="M413" t="str">
        <f>_xlfn.CONCAT(TEXT(Table1[[#This Row],[Last_Restock_Date]],"mmm"), "-", YEAR(Table1[[#This Row],[Last_Restock_Date]]))</f>
        <v>Sep-2025</v>
      </c>
      <c r="N413">
        <f>MONTH(Table1[[#This Row],[Last_Restock_Date]])</f>
        <v>9</v>
      </c>
      <c r="O413" t="str" cm="1">
        <f t="array" ref="O413">_xlfn.SWITCH(Table1[[#This Row],[Month_Number]],
    1,"Q1",2,"Q1",3,"Q1",
    4,"Q2",5,"Q2",6,"Q2",
    7,"Q3",8,"Q3",9,"Q3",
    10,"Q4",11,"Q4",12,"Q4",
    "Invalid Month"
)</f>
        <v>Q3</v>
      </c>
      <c r="P413" t="str">
        <f>TEXT(Table1[[#This Row],[Last_Restock_Date]],"mmm")</f>
        <v>Sep</v>
      </c>
    </row>
    <row r="414" spans="1:16" x14ac:dyDescent="0.25">
      <c r="A414">
        <v>413</v>
      </c>
      <c r="B414" s="5" t="s">
        <v>49</v>
      </c>
      <c r="C414" s="5" t="s">
        <v>16</v>
      </c>
      <c r="D414" s="5" t="s">
        <v>12</v>
      </c>
      <c r="E414" s="5" t="s">
        <v>13</v>
      </c>
      <c r="F414" s="2">
        <v>112</v>
      </c>
      <c r="G414" s="3">
        <v>435.01</v>
      </c>
      <c r="H414">
        <v>121</v>
      </c>
      <c r="I414">
        <f>IF(Table1[[#This Row],[Status]]= "Sufficient",
     Table1[[#This Row],[Stock_Quantity]] - Table1[[#This Row],[Reorder_Level]],
     0)</f>
        <v>0</v>
      </c>
      <c r="J414" s="4">
        <v>45067</v>
      </c>
      <c r="K414" s="5" t="s">
        <v>28</v>
      </c>
      <c r="L414">
        <f>YEAR(Table1[[#This Row],[Last_Restock_Date]])</f>
        <v>2023</v>
      </c>
      <c r="M414" t="str">
        <f>_xlfn.CONCAT(TEXT(Table1[[#This Row],[Last_Restock_Date]],"mmm"), "-", YEAR(Table1[[#This Row],[Last_Restock_Date]]))</f>
        <v>May-2023</v>
      </c>
      <c r="N414">
        <f>MONTH(Table1[[#This Row],[Last_Restock_Date]])</f>
        <v>5</v>
      </c>
      <c r="O414" t="str" cm="1">
        <f t="array" ref="O414">_xlfn.SWITCH(Table1[[#This Row],[Month_Number]],
    1,"Q1",2,"Q1",3,"Q1",
    4,"Q2",5,"Q2",6,"Q2",
    7,"Q3",8,"Q3",9,"Q3",
    10,"Q4",11,"Q4",12,"Q4",
    "Invalid Month"
)</f>
        <v>Q2</v>
      </c>
      <c r="P414" t="str">
        <f>TEXT(Table1[[#This Row],[Last_Restock_Date]],"mmm")</f>
        <v>May</v>
      </c>
    </row>
    <row r="415" spans="1:16" x14ac:dyDescent="0.25">
      <c r="A415">
        <v>414</v>
      </c>
      <c r="B415" s="5" t="s">
        <v>40</v>
      </c>
      <c r="C415" s="5" t="s">
        <v>34</v>
      </c>
      <c r="D415" s="5" t="s">
        <v>30</v>
      </c>
      <c r="E415" s="5" t="s">
        <v>39</v>
      </c>
      <c r="F415" s="2">
        <v>476</v>
      </c>
      <c r="G415" s="3">
        <v>787.06</v>
      </c>
      <c r="H415">
        <v>124</v>
      </c>
      <c r="I415">
        <f>IF(Table1[[#This Row],[Status]]= "Sufficient",
     Table1[[#This Row],[Stock_Quantity]] - Table1[[#This Row],[Reorder_Level]],
     0)</f>
        <v>352</v>
      </c>
      <c r="J415" s="4">
        <v>45983</v>
      </c>
      <c r="K415" s="5" t="s">
        <v>14</v>
      </c>
      <c r="L415">
        <f>YEAR(Table1[[#This Row],[Last_Restock_Date]])</f>
        <v>2025</v>
      </c>
      <c r="M415" t="str">
        <f>_xlfn.CONCAT(TEXT(Table1[[#This Row],[Last_Restock_Date]],"mmm"), "-", YEAR(Table1[[#This Row],[Last_Restock_Date]]))</f>
        <v>Nov-2025</v>
      </c>
      <c r="N415">
        <f>MONTH(Table1[[#This Row],[Last_Restock_Date]])</f>
        <v>11</v>
      </c>
      <c r="O415" t="str" cm="1">
        <f t="array" ref="O415">_xlfn.SWITCH(Table1[[#This Row],[Month_Number]],
    1,"Q1",2,"Q1",3,"Q1",
    4,"Q2",5,"Q2",6,"Q2",
    7,"Q3",8,"Q3",9,"Q3",
    10,"Q4",11,"Q4",12,"Q4",
    "Invalid Month"
)</f>
        <v>Q4</v>
      </c>
      <c r="P415" t="str">
        <f>TEXT(Table1[[#This Row],[Last_Restock_Date]],"mmm")</f>
        <v>Nov</v>
      </c>
    </row>
    <row r="416" spans="1:16" x14ac:dyDescent="0.25">
      <c r="A416">
        <v>415</v>
      </c>
      <c r="B416" s="5" t="s">
        <v>19</v>
      </c>
      <c r="C416" s="5" t="s">
        <v>20</v>
      </c>
      <c r="D416" s="5" t="s">
        <v>17</v>
      </c>
      <c r="E416" s="5" t="s">
        <v>37</v>
      </c>
      <c r="F416" s="2">
        <v>130</v>
      </c>
      <c r="G416" s="3">
        <v>616.71</v>
      </c>
      <c r="H416">
        <v>72</v>
      </c>
      <c r="I416">
        <f>IF(Table1[[#This Row],[Status]]= "Sufficient",
     Table1[[#This Row],[Stock_Quantity]] - Table1[[#This Row],[Reorder_Level]],
     0)</f>
        <v>58</v>
      </c>
      <c r="J416" s="4">
        <v>45741</v>
      </c>
      <c r="K416" s="5" t="s">
        <v>14</v>
      </c>
      <c r="L416">
        <f>YEAR(Table1[[#This Row],[Last_Restock_Date]])</f>
        <v>2025</v>
      </c>
      <c r="M416" t="str">
        <f>_xlfn.CONCAT(TEXT(Table1[[#This Row],[Last_Restock_Date]],"mmm"), "-", YEAR(Table1[[#This Row],[Last_Restock_Date]]))</f>
        <v>Mar-2025</v>
      </c>
      <c r="N416">
        <f>MONTH(Table1[[#This Row],[Last_Restock_Date]])</f>
        <v>3</v>
      </c>
      <c r="O416" t="str" cm="1">
        <f t="array" ref="O416">_xlfn.SWITCH(Table1[[#This Row],[Month_Number]],
    1,"Q1",2,"Q1",3,"Q1",
    4,"Q2",5,"Q2",6,"Q2",
    7,"Q3",8,"Q3",9,"Q3",
    10,"Q4",11,"Q4",12,"Q4",
    "Invalid Month"
)</f>
        <v>Q1</v>
      </c>
      <c r="P416" t="str">
        <f>TEXT(Table1[[#This Row],[Last_Restock_Date]],"mmm")</f>
        <v>Mar</v>
      </c>
    </row>
    <row r="417" spans="1:16" x14ac:dyDescent="0.25">
      <c r="A417">
        <v>416</v>
      </c>
      <c r="B417" s="5" t="s">
        <v>10</v>
      </c>
      <c r="C417" s="5" t="s">
        <v>11</v>
      </c>
      <c r="D417" s="5" t="s">
        <v>24</v>
      </c>
      <c r="E417" s="5" t="s">
        <v>18</v>
      </c>
      <c r="F417" s="2">
        <v>286</v>
      </c>
      <c r="G417" s="3">
        <v>651.33000000000004</v>
      </c>
      <c r="H417">
        <v>91</v>
      </c>
      <c r="I417">
        <f>IF(Table1[[#This Row],[Status]]= "Sufficient",
     Table1[[#This Row],[Stock_Quantity]] - Table1[[#This Row],[Reorder_Level]],
     0)</f>
        <v>195</v>
      </c>
      <c r="J417" s="4">
        <v>45180</v>
      </c>
      <c r="K417" s="5" t="s">
        <v>14</v>
      </c>
      <c r="L417">
        <f>YEAR(Table1[[#This Row],[Last_Restock_Date]])</f>
        <v>2023</v>
      </c>
      <c r="M417" t="str">
        <f>_xlfn.CONCAT(TEXT(Table1[[#This Row],[Last_Restock_Date]],"mmm"), "-", YEAR(Table1[[#This Row],[Last_Restock_Date]]))</f>
        <v>Sep-2023</v>
      </c>
      <c r="N417">
        <f>MONTH(Table1[[#This Row],[Last_Restock_Date]])</f>
        <v>9</v>
      </c>
      <c r="O417" t="str" cm="1">
        <f t="array" ref="O417">_xlfn.SWITCH(Table1[[#This Row],[Month_Number]],
    1,"Q1",2,"Q1",3,"Q1",
    4,"Q2",5,"Q2",6,"Q2",
    7,"Q3",8,"Q3",9,"Q3",
    10,"Q4",11,"Q4",12,"Q4",
    "Invalid Month"
)</f>
        <v>Q3</v>
      </c>
      <c r="P417" t="str">
        <f>TEXT(Table1[[#This Row],[Last_Restock_Date]],"mmm")</f>
        <v>Sep</v>
      </c>
    </row>
    <row r="418" spans="1:16" x14ac:dyDescent="0.25">
      <c r="A418">
        <v>417</v>
      </c>
      <c r="B418" s="5" t="s">
        <v>41</v>
      </c>
      <c r="C418" s="5" t="s">
        <v>16</v>
      </c>
      <c r="D418" s="5" t="s">
        <v>30</v>
      </c>
      <c r="E418" s="5" t="s">
        <v>32</v>
      </c>
      <c r="F418" s="2">
        <v>219</v>
      </c>
      <c r="G418" s="3">
        <v>125.71</v>
      </c>
      <c r="H418">
        <v>78</v>
      </c>
      <c r="I418">
        <f>IF(Table1[[#This Row],[Status]]= "Sufficient",
     Table1[[#This Row],[Stock_Quantity]] - Table1[[#This Row],[Reorder_Level]],
     0)</f>
        <v>141</v>
      </c>
      <c r="J418" s="4">
        <v>45668</v>
      </c>
      <c r="K418" s="5" t="s">
        <v>14</v>
      </c>
      <c r="L418">
        <f>YEAR(Table1[[#This Row],[Last_Restock_Date]])</f>
        <v>2025</v>
      </c>
      <c r="M418" t="str">
        <f>_xlfn.CONCAT(TEXT(Table1[[#This Row],[Last_Restock_Date]],"mmm"), "-", YEAR(Table1[[#This Row],[Last_Restock_Date]]))</f>
        <v>Jan-2025</v>
      </c>
      <c r="N418">
        <f>MONTH(Table1[[#This Row],[Last_Restock_Date]])</f>
        <v>1</v>
      </c>
      <c r="O418" t="str" cm="1">
        <f t="array" ref="O418">_xlfn.SWITCH(Table1[[#This Row],[Month_Number]],
    1,"Q1",2,"Q1",3,"Q1",
    4,"Q2",5,"Q2",6,"Q2",
    7,"Q3",8,"Q3",9,"Q3",
    10,"Q4",11,"Q4",12,"Q4",
    "Invalid Month"
)</f>
        <v>Q1</v>
      </c>
      <c r="P418" t="str">
        <f>TEXT(Table1[[#This Row],[Last_Restock_Date]],"mmm")</f>
        <v>Jan</v>
      </c>
    </row>
    <row r="419" spans="1:16" x14ac:dyDescent="0.25">
      <c r="A419">
        <v>418</v>
      </c>
      <c r="B419" s="5" t="s">
        <v>53</v>
      </c>
      <c r="C419" s="5" t="s">
        <v>26</v>
      </c>
      <c r="D419" s="5" t="s">
        <v>30</v>
      </c>
      <c r="E419" s="5" t="s">
        <v>13</v>
      </c>
      <c r="F419" s="2">
        <v>325</v>
      </c>
      <c r="G419" s="3">
        <v>742.93</v>
      </c>
      <c r="H419">
        <v>82</v>
      </c>
      <c r="I419">
        <f>IF(Table1[[#This Row],[Status]]= "Sufficient",
     Table1[[#This Row],[Stock_Quantity]] - Table1[[#This Row],[Reorder_Level]],
     0)</f>
        <v>243</v>
      </c>
      <c r="J419" s="4">
        <v>45294</v>
      </c>
      <c r="K419" s="5" t="s">
        <v>14</v>
      </c>
      <c r="L419">
        <f>YEAR(Table1[[#This Row],[Last_Restock_Date]])</f>
        <v>2024</v>
      </c>
      <c r="M419" t="str">
        <f>_xlfn.CONCAT(TEXT(Table1[[#This Row],[Last_Restock_Date]],"mmm"), "-", YEAR(Table1[[#This Row],[Last_Restock_Date]]))</f>
        <v>Jan-2024</v>
      </c>
      <c r="N419">
        <f>MONTH(Table1[[#This Row],[Last_Restock_Date]])</f>
        <v>1</v>
      </c>
      <c r="O419" t="str" cm="1">
        <f t="array" ref="O419">_xlfn.SWITCH(Table1[[#This Row],[Month_Number]],
    1,"Q1",2,"Q1",3,"Q1",
    4,"Q2",5,"Q2",6,"Q2",
    7,"Q3",8,"Q3",9,"Q3",
    10,"Q4",11,"Q4",12,"Q4",
    "Invalid Month"
)</f>
        <v>Q1</v>
      </c>
      <c r="P419" t="str">
        <f>TEXT(Table1[[#This Row],[Last_Restock_Date]],"mmm")</f>
        <v>Jan</v>
      </c>
    </row>
    <row r="420" spans="1:16" x14ac:dyDescent="0.25">
      <c r="A420">
        <v>419</v>
      </c>
      <c r="B420" s="5" t="s">
        <v>53</v>
      </c>
      <c r="C420" s="5" t="s">
        <v>26</v>
      </c>
      <c r="D420" s="5" t="s">
        <v>30</v>
      </c>
      <c r="E420" s="5" t="s">
        <v>39</v>
      </c>
      <c r="F420" s="2">
        <v>336</v>
      </c>
      <c r="G420" s="3">
        <v>530.46</v>
      </c>
      <c r="H420">
        <v>81</v>
      </c>
      <c r="I420">
        <f>IF(Table1[[#This Row],[Status]]= "Sufficient",
     Table1[[#This Row],[Stock_Quantity]] - Table1[[#This Row],[Reorder_Level]],
     0)</f>
        <v>255</v>
      </c>
      <c r="J420" s="4">
        <v>45817</v>
      </c>
      <c r="K420" s="5" t="s">
        <v>14</v>
      </c>
      <c r="L420">
        <f>YEAR(Table1[[#This Row],[Last_Restock_Date]])</f>
        <v>2025</v>
      </c>
      <c r="M420" t="str">
        <f>_xlfn.CONCAT(TEXT(Table1[[#This Row],[Last_Restock_Date]],"mmm"), "-", YEAR(Table1[[#This Row],[Last_Restock_Date]]))</f>
        <v>Jun-2025</v>
      </c>
      <c r="N420">
        <f>MONTH(Table1[[#This Row],[Last_Restock_Date]])</f>
        <v>6</v>
      </c>
      <c r="O420" t="str" cm="1">
        <f t="array" ref="O420">_xlfn.SWITCH(Table1[[#This Row],[Month_Number]],
    1,"Q1",2,"Q1",3,"Q1",
    4,"Q2",5,"Q2",6,"Q2",
    7,"Q3",8,"Q3",9,"Q3",
    10,"Q4",11,"Q4",12,"Q4",
    "Invalid Month"
)</f>
        <v>Q2</v>
      </c>
      <c r="P420" t="str">
        <f>TEXT(Table1[[#This Row],[Last_Restock_Date]],"mmm")</f>
        <v>Jun</v>
      </c>
    </row>
    <row r="421" spans="1:16" x14ac:dyDescent="0.25">
      <c r="A421">
        <v>420</v>
      </c>
      <c r="B421" s="5" t="s">
        <v>47</v>
      </c>
      <c r="C421" s="5" t="s">
        <v>20</v>
      </c>
      <c r="D421" s="5" t="s">
        <v>17</v>
      </c>
      <c r="E421" s="5" t="s">
        <v>32</v>
      </c>
      <c r="F421" s="2">
        <v>452</v>
      </c>
      <c r="G421" s="3">
        <v>51.62</v>
      </c>
      <c r="H421">
        <v>76</v>
      </c>
      <c r="I421">
        <f>IF(Table1[[#This Row],[Status]]= "Sufficient",
     Table1[[#This Row],[Stock_Quantity]] - Table1[[#This Row],[Reorder_Level]],
     0)</f>
        <v>376</v>
      </c>
      <c r="J421" s="4">
        <v>45568</v>
      </c>
      <c r="K421" s="5" t="s">
        <v>14</v>
      </c>
      <c r="L421">
        <f>YEAR(Table1[[#This Row],[Last_Restock_Date]])</f>
        <v>2024</v>
      </c>
      <c r="M421" t="str">
        <f>_xlfn.CONCAT(TEXT(Table1[[#This Row],[Last_Restock_Date]],"mmm"), "-", YEAR(Table1[[#This Row],[Last_Restock_Date]]))</f>
        <v>Oct-2024</v>
      </c>
      <c r="N421">
        <f>MONTH(Table1[[#This Row],[Last_Restock_Date]])</f>
        <v>10</v>
      </c>
      <c r="O421" t="str" cm="1">
        <f t="array" ref="O421">_xlfn.SWITCH(Table1[[#This Row],[Month_Number]],
    1,"Q1",2,"Q1",3,"Q1",
    4,"Q2",5,"Q2",6,"Q2",
    7,"Q3",8,"Q3",9,"Q3",
    10,"Q4",11,"Q4",12,"Q4",
    "Invalid Month"
)</f>
        <v>Q4</v>
      </c>
      <c r="P421" t="str">
        <f>TEXT(Table1[[#This Row],[Last_Restock_Date]],"mmm")</f>
        <v>Oct</v>
      </c>
    </row>
    <row r="422" spans="1:16" x14ac:dyDescent="0.25">
      <c r="A422">
        <v>421</v>
      </c>
      <c r="B422" s="5" t="s">
        <v>38</v>
      </c>
      <c r="C422" s="5" t="s">
        <v>26</v>
      </c>
      <c r="D422" s="5" t="s">
        <v>30</v>
      </c>
      <c r="E422" s="5" t="s">
        <v>37</v>
      </c>
      <c r="F422" s="2">
        <v>102</v>
      </c>
      <c r="G422" s="3">
        <v>245.61</v>
      </c>
      <c r="H422">
        <v>94</v>
      </c>
      <c r="I422">
        <f>IF(Table1[[#This Row],[Status]]= "Sufficient",
     Table1[[#This Row],[Stock_Quantity]] - Table1[[#This Row],[Reorder_Level]],
     0)</f>
        <v>8</v>
      </c>
      <c r="J422" s="4">
        <v>45065</v>
      </c>
      <c r="K422" s="5" t="s">
        <v>14</v>
      </c>
      <c r="L422">
        <f>YEAR(Table1[[#This Row],[Last_Restock_Date]])</f>
        <v>2023</v>
      </c>
      <c r="M422" t="str">
        <f>_xlfn.CONCAT(TEXT(Table1[[#This Row],[Last_Restock_Date]],"mmm"), "-", YEAR(Table1[[#This Row],[Last_Restock_Date]]))</f>
        <v>May-2023</v>
      </c>
      <c r="N422">
        <f>MONTH(Table1[[#This Row],[Last_Restock_Date]])</f>
        <v>5</v>
      </c>
      <c r="O422" t="str" cm="1">
        <f t="array" ref="O422">_xlfn.SWITCH(Table1[[#This Row],[Month_Number]],
    1,"Q1",2,"Q1",3,"Q1",
    4,"Q2",5,"Q2",6,"Q2",
    7,"Q3",8,"Q3",9,"Q3",
    10,"Q4",11,"Q4",12,"Q4",
    "Invalid Month"
)</f>
        <v>Q2</v>
      </c>
      <c r="P422" t="str">
        <f>TEXT(Table1[[#This Row],[Last_Restock_Date]],"mmm")</f>
        <v>May</v>
      </c>
    </row>
    <row r="423" spans="1:16" x14ac:dyDescent="0.25">
      <c r="A423">
        <v>422</v>
      </c>
      <c r="B423" s="5" t="s">
        <v>33</v>
      </c>
      <c r="C423" s="5" t="s">
        <v>34</v>
      </c>
      <c r="D423" s="5" t="s">
        <v>30</v>
      </c>
      <c r="E423" s="5" t="s">
        <v>37</v>
      </c>
      <c r="F423" s="2">
        <v>236</v>
      </c>
      <c r="G423" s="3">
        <v>725.86</v>
      </c>
      <c r="H423">
        <v>84</v>
      </c>
      <c r="I423">
        <f>IF(Table1[[#This Row],[Status]]= "Sufficient",
     Table1[[#This Row],[Stock_Quantity]] - Table1[[#This Row],[Reorder_Level]],
     0)</f>
        <v>152</v>
      </c>
      <c r="J423" s="4">
        <v>45647</v>
      </c>
      <c r="K423" s="5" t="s">
        <v>14</v>
      </c>
      <c r="L423">
        <f>YEAR(Table1[[#This Row],[Last_Restock_Date]])</f>
        <v>2024</v>
      </c>
      <c r="M423" t="str">
        <f>_xlfn.CONCAT(TEXT(Table1[[#This Row],[Last_Restock_Date]],"mmm"), "-", YEAR(Table1[[#This Row],[Last_Restock_Date]]))</f>
        <v>Dec-2024</v>
      </c>
      <c r="N423">
        <f>MONTH(Table1[[#This Row],[Last_Restock_Date]])</f>
        <v>12</v>
      </c>
      <c r="O423" t="str" cm="1">
        <f t="array" ref="O423">_xlfn.SWITCH(Table1[[#This Row],[Month_Number]],
    1,"Q1",2,"Q1",3,"Q1",
    4,"Q2",5,"Q2",6,"Q2",
    7,"Q3",8,"Q3",9,"Q3",
    10,"Q4",11,"Q4",12,"Q4",
    "Invalid Month"
)</f>
        <v>Q4</v>
      </c>
      <c r="P423" t="str">
        <f>TEXT(Table1[[#This Row],[Last_Restock_Date]],"mmm")</f>
        <v>Dec</v>
      </c>
    </row>
    <row r="424" spans="1:16" x14ac:dyDescent="0.25">
      <c r="A424">
        <v>423</v>
      </c>
      <c r="B424" s="5" t="s">
        <v>10</v>
      </c>
      <c r="C424" s="5" t="s">
        <v>11</v>
      </c>
      <c r="D424" s="5" t="s">
        <v>21</v>
      </c>
      <c r="E424" s="5" t="s">
        <v>39</v>
      </c>
      <c r="F424" s="2">
        <v>329</v>
      </c>
      <c r="G424" s="3">
        <v>628.29</v>
      </c>
      <c r="H424">
        <v>79</v>
      </c>
      <c r="I424">
        <f>IF(Table1[[#This Row],[Status]]= "Sufficient",
     Table1[[#This Row],[Stock_Quantity]] - Table1[[#This Row],[Reorder_Level]],
     0)</f>
        <v>250</v>
      </c>
      <c r="J424" s="4">
        <v>45354</v>
      </c>
      <c r="K424" s="5" t="s">
        <v>14</v>
      </c>
      <c r="L424">
        <f>YEAR(Table1[[#This Row],[Last_Restock_Date]])</f>
        <v>2024</v>
      </c>
      <c r="M424" t="str">
        <f>_xlfn.CONCAT(TEXT(Table1[[#This Row],[Last_Restock_Date]],"mmm"), "-", YEAR(Table1[[#This Row],[Last_Restock_Date]]))</f>
        <v>Mar-2024</v>
      </c>
      <c r="N424">
        <f>MONTH(Table1[[#This Row],[Last_Restock_Date]])</f>
        <v>3</v>
      </c>
      <c r="O424" t="str" cm="1">
        <f t="array" ref="O424">_xlfn.SWITCH(Table1[[#This Row],[Month_Number]],
    1,"Q1",2,"Q1",3,"Q1",
    4,"Q2",5,"Q2",6,"Q2",
    7,"Q3",8,"Q3",9,"Q3",
    10,"Q4",11,"Q4",12,"Q4",
    "Invalid Month"
)</f>
        <v>Q1</v>
      </c>
      <c r="P424" t="str">
        <f>TEXT(Table1[[#This Row],[Last_Restock_Date]],"mmm")</f>
        <v>Mar</v>
      </c>
    </row>
    <row r="425" spans="1:16" x14ac:dyDescent="0.25">
      <c r="A425">
        <v>424</v>
      </c>
      <c r="B425" s="5" t="s">
        <v>41</v>
      </c>
      <c r="C425" s="5" t="s">
        <v>16</v>
      </c>
      <c r="D425" s="5" t="s">
        <v>21</v>
      </c>
      <c r="E425" s="5" t="s">
        <v>37</v>
      </c>
      <c r="F425" s="2">
        <v>334</v>
      </c>
      <c r="G425" s="3">
        <v>88.84</v>
      </c>
      <c r="H425">
        <v>91</v>
      </c>
      <c r="I425">
        <f>IF(Table1[[#This Row],[Status]]= "Sufficient",
     Table1[[#This Row],[Stock_Quantity]] - Table1[[#This Row],[Reorder_Level]],
     0)</f>
        <v>243</v>
      </c>
      <c r="J425" s="4">
        <v>45913</v>
      </c>
      <c r="K425" s="5" t="s">
        <v>14</v>
      </c>
      <c r="L425">
        <f>YEAR(Table1[[#This Row],[Last_Restock_Date]])</f>
        <v>2025</v>
      </c>
      <c r="M425" t="str">
        <f>_xlfn.CONCAT(TEXT(Table1[[#This Row],[Last_Restock_Date]],"mmm"), "-", YEAR(Table1[[#This Row],[Last_Restock_Date]]))</f>
        <v>Sep-2025</v>
      </c>
      <c r="N425">
        <f>MONTH(Table1[[#This Row],[Last_Restock_Date]])</f>
        <v>9</v>
      </c>
      <c r="O425" t="str" cm="1">
        <f t="array" ref="O425">_xlfn.SWITCH(Table1[[#This Row],[Month_Number]],
    1,"Q1",2,"Q1",3,"Q1",
    4,"Q2",5,"Q2",6,"Q2",
    7,"Q3",8,"Q3",9,"Q3",
    10,"Q4",11,"Q4",12,"Q4",
    "Invalid Month"
)</f>
        <v>Q3</v>
      </c>
      <c r="P425" t="str">
        <f>TEXT(Table1[[#This Row],[Last_Restock_Date]],"mmm")</f>
        <v>Sep</v>
      </c>
    </row>
    <row r="426" spans="1:16" x14ac:dyDescent="0.25">
      <c r="A426">
        <v>425</v>
      </c>
      <c r="B426" s="5" t="s">
        <v>10</v>
      </c>
      <c r="C426" s="5" t="s">
        <v>11</v>
      </c>
      <c r="D426" s="5" t="s">
        <v>12</v>
      </c>
      <c r="E426" s="5" t="s">
        <v>39</v>
      </c>
      <c r="F426" s="2">
        <v>103</v>
      </c>
      <c r="G426" s="3">
        <v>193.53</v>
      </c>
      <c r="H426">
        <v>59</v>
      </c>
      <c r="I426">
        <f>IF(Table1[[#This Row],[Status]]= "Sufficient",
     Table1[[#This Row],[Stock_Quantity]] - Table1[[#This Row],[Reorder_Level]],
     0)</f>
        <v>44</v>
      </c>
      <c r="J426" s="4">
        <v>45450</v>
      </c>
      <c r="K426" s="5" t="s">
        <v>14</v>
      </c>
      <c r="L426">
        <f>YEAR(Table1[[#This Row],[Last_Restock_Date]])</f>
        <v>2024</v>
      </c>
      <c r="M426" t="str">
        <f>_xlfn.CONCAT(TEXT(Table1[[#This Row],[Last_Restock_Date]],"mmm"), "-", YEAR(Table1[[#This Row],[Last_Restock_Date]]))</f>
        <v>Jun-2024</v>
      </c>
      <c r="N426">
        <f>MONTH(Table1[[#This Row],[Last_Restock_Date]])</f>
        <v>6</v>
      </c>
      <c r="O426" t="str" cm="1">
        <f t="array" ref="O426">_xlfn.SWITCH(Table1[[#This Row],[Month_Number]],
    1,"Q1",2,"Q1",3,"Q1",
    4,"Q2",5,"Q2",6,"Q2",
    7,"Q3",8,"Q3",9,"Q3",
    10,"Q4",11,"Q4",12,"Q4",
    "Invalid Month"
)</f>
        <v>Q2</v>
      </c>
      <c r="P426" t="str">
        <f>TEXT(Table1[[#This Row],[Last_Restock_Date]],"mmm")</f>
        <v>Jun</v>
      </c>
    </row>
    <row r="427" spans="1:16" x14ac:dyDescent="0.25">
      <c r="A427">
        <v>426</v>
      </c>
      <c r="B427" s="5" t="s">
        <v>42</v>
      </c>
      <c r="C427" s="5" t="s">
        <v>16</v>
      </c>
      <c r="D427" s="5" t="s">
        <v>24</v>
      </c>
      <c r="E427" s="5" t="s">
        <v>13</v>
      </c>
      <c r="F427" s="2">
        <v>402</v>
      </c>
      <c r="G427" s="3">
        <v>47.42</v>
      </c>
      <c r="H427">
        <v>96</v>
      </c>
      <c r="I427">
        <f>IF(Table1[[#This Row],[Status]]= "Sufficient",
     Table1[[#This Row],[Stock_Quantity]] - Table1[[#This Row],[Reorder_Level]],
     0)</f>
        <v>306</v>
      </c>
      <c r="J427" s="4">
        <v>45365</v>
      </c>
      <c r="K427" s="5" t="s">
        <v>14</v>
      </c>
      <c r="L427">
        <f>YEAR(Table1[[#This Row],[Last_Restock_Date]])</f>
        <v>2024</v>
      </c>
      <c r="M427" t="str">
        <f>_xlfn.CONCAT(TEXT(Table1[[#This Row],[Last_Restock_Date]],"mmm"), "-", YEAR(Table1[[#This Row],[Last_Restock_Date]]))</f>
        <v>Mar-2024</v>
      </c>
      <c r="N427">
        <f>MONTH(Table1[[#This Row],[Last_Restock_Date]])</f>
        <v>3</v>
      </c>
      <c r="O427" t="str" cm="1">
        <f t="array" ref="O427">_xlfn.SWITCH(Table1[[#This Row],[Month_Number]],
    1,"Q1",2,"Q1",3,"Q1",
    4,"Q2",5,"Q2",6,"Q2",
    7,"Q3",8,"Q3",9,"Q3",
    10,"Q4",11,"Q4",12,"Q4",
    "Invalid Month"
)</f>
        <v>Q1</v>
      </c>
      <c r="P427" t="str">
        <f>TEXT(Table1[[#This Row],[Last_Restock_Date]],"mmm")</f>
        <v>Mar</v>
      </c>
    </row>
    <row r="428" spans="1:16" x14ac:dyDescent="0.25">
      <c r="A428">
        <v>427</v>
      </c>
      <c r="B428" s="5" t="s">
        <v>45</v>
      </c>
      <c r="C428" s="5" t="s">
        <v>26</v>
      </c>
      <c r="D428" s="5" t="s">
        <v>30</v>
      </c>
      <c r="E428" s="5" t="s">
        <v>18</v>
      </c>
      <c r="F428" s="2">
        <v>305</v>
      </c>
      <c r="G428" s="3">
        <v>60.26</v>
      </c>
      <c r="H428">
        <v>137</v>
      </c>
      <c r="I428">
        <f>IF(Table1[[#This Row],[Status]]= "Sufficient",
     Table1[[#This Row],[Stock_Quantity]] - Table1[[#This Row],[Reorder_Level]],
     0)</f>
        <v>168</v>
      </c>
      <c r="J428" s="4">
        <v>45038</v>
      </c>
      <c r="K428" s="5" t="s">
        <v>14</v>
      </c>
      <c r="L428">
        <f>YEAR(Table1[[#This Row],[Last_Restock_Date]])</f>
        <v>2023</v>
      </c>
      <c r="M428" t="str">
        <f>_xlfn.CONCAT(TEXT(Table1[[#This Row],[Last_Restock_Date]],"mmm"), "-", YEAR(Table1[[#This Row],[Last_Restock_Date]]))</f>
        <v>Apr-2023</v>
      </c>
      <c r="N428">
        <f>MONTH(Table1[[#This Row],[Last_Restock_Date]])</f>
        <v>4</v>
      </c>
      <c r="O428" t="str" cm="1">
        <f t="array" ref="O428">_xlfn.SWITCH(Table1[[#This Row],[Month_Number]],
    1,"Q1",2,"Q1",3,"Q1",
    4,"Q2",5,"Q2",6,"Q2",
    7,"Q3",8,"Q3",9,"Q3",
    10,"Q4",11,"Q4",12,"Q4",
    "Invalid Month"
)</f>
        <v>Q2</v>
      </c>
      <c r="P428" t="str">
        <f>TEXT(Table1[[#This Row],[Last_Restock_Date]],"mmm")</f>
        <v>Apr</v>
      </c>
    </row>
    <row r="429" spans="1:16" x14ac:dyDescent="0.25">
      <c r="A429">
        <v>428</v>
      </c>
      <c r="B429" s="5" t="s">
        <v>22</v>
      </c>
      <c r="C429" s="5" t="s">
        <v>11</v>
      </c>
      <c r="D429" s="5" t="s">
        <v>17</v>
      </c>
      <c r="E429" s="5" t="s">
        <v>37</v>
      </c>
      <c r="F429" s="2">
        <v>36</v>
      </c>
      <c r="G429" s="3">
        <v>394.68</v>
      </c>
      <c r="H429">
        <v>61</v>
      </c>
      <c r="I429">
        <f>IF(Table1[[#This Row],[Status]]= "Sufficient",
     Table1[[#This Row],[Stock_Quantity]] - Table1[[#This Row],[Reorder_Level]],
     0)</f>
        <v>0</v>
      </c>
      <c r="J429" s="4">
        <v>45264</v>
      </c>
      <c r="K429" s="5" t="s">
        <v>28</v>
      </c>
      <c r="L429">
        <f>YEAR(Table1[[#This Row],[Last_Restock_Date]])</f>
        <v>2023</v>
      </c>
      <c r="M429" t="str">
        <f>_xlfn.CONCAT(TEXT(Table1[[#This Row],[Last_Restock_Date]],"mmm"), "-", YEAR(Table1[[#This Row],[Last_Restock_Date]]))</f>
        <v>Dec-2023</v>
      </c>
      <c r="N429">
        <f>MONTH(Table1[[#This Row],[Last_Restock_Date]])</f>
        <v>12</v>
      </c>
      <c r="O429" t="str" cm="1">
        <f t="array" ref="O429">_xlfn.SWITCH(Table1[[#This Row],[Month_Number]],
    1,"Q1",2,"Q1",3,"Q1",
    4,"Q2",5,"Q2",6,"Q2",
    7,"Q3",8,"Q3",9,"Q3",
    10,"Q4",11,"Q4",12,"Q4",
    "Invalid Month"
)</f>
        <v>Q4</v>
      </c>
      <c r="P429" t="str">
        <f>TEXT(Table1[[#This Row],[Last_Restock_Date]],"mmm")</f>
        <v>Dec</v>
      </c>
    </row>
    <row r="430" spans="1:16" x14ac:dyDescent="0.25">
      <c r="A430">
        <v>429</v>
      </c>
      <c r="B430" s="5" t="s">
        <v>10</v>
      </c>
      <c r="C430" s="5" t="s">
        <v>11</v>
      </c>
      <c r="D430" s="5" t="s">
        <v>21</v>
      </c>
      <c r="E430" s="5" t="s">
        <v>39</v>
      </c>
      <c r="F430" s="2">
        <v>139</v>
      </c>
      <c r="G430" s="3">
        <v>707.99</v>
      </c>
      <c r="H430">
        <v>87</v>
      </c>
      <c r="I430">
        <f>IF(Table1[[#This Row],[Status]]= "Sufficient",
     Table1[[#This Row],[Stock_Quantity]] - Table1[[#This Row],[Reorder_Level]],
     0)</f>
        <v>52</v>
      </c>
      <c r="J430" s="4">
        <v>45561</v>
      </c>
      <c r="K430" s="5" t="s">
        <v>14</v>
      </c>
      <c r="L430">
        <f>YEAR(Table1[[#This Row],[Last_Restock_Date]])</f>
        <v>2024</v>
      </c>
      <c r="M430" t="str">
        <f>_xlfn.CONCAT(TEXT(Table1[[#This Row],[Last_Restock_Date]],"mmm"), "-", YEAR(Table1[[#This Row],[Last_Restock_Date]]))</f>
        <v>Sep-2024</v>
      </c>
      <c r="N430">
        <f>MONTH(Table1[[#This Row],[Last_Restock_Date]])</f>
        <v>9</v>
      </c>
      <c r="O430" t="str" cm="1">
        <f t="array" ref="O430">_xlfn.SWITCH(Table1[[#This Row],[Month_Number]],
    1,"Q1",2,"Q1",3,"Q1",
    4,"Q2",5,"Q2",6,"Q2",
    7,"Q3",8,"Q3",9,"Q3",
    10,"Q4",11,"Q4",12,"Q4",
    "Invalid Month"
)</f>
        <v>Q3</v>
      </c>
      <c r="P430" t="str">
        <f>TEXT(Table1[[#This Row],[Last_Restock_Date]],"mmm")</f>
        <v>Sep</v>
      </c>
    </row>
    <row r="431" spans="1:16" x14ac:dyDescent="0.25">
      <c r="A431">
        <v>430</v>
      </c>
      <c r="B431" s="5" t="s">
        <v>52</v>
      </c>
      <c r="C431" s="5" t="s">
        <v>16</v>
      </c>
      <c r="D431" s="5" t="s">
        <v>12</v>
      </c>
      <c r="E431" s="5" t="s">
        <v>18</v>
      </c>
      <c r="F431" s="2">
        <v>45</v>
      </c>
      <c r="G431" s="3">
        <v>411.36</v>
      </c>
      <c r="H431">
        <v>103</v>
      </c>
      <c r="I431">
        <f>IF(Table1[[#This Row],[Status]]= "Sufficient",
     Table1[[#This Row],[Stock_Quantity]] - Table1[[#This Row],[Reorder_Level]],
     0)</f>
        <v>0</v>
      </c>
      <c r="J431" s="4">
        <v>45121</v>
      </c>
      <c r="K431" s="5" t="s">
        <v>28</v>
      </c>
      <c r="L431">
        <f>YEAR(Table1[[#This Row],[Last_Restock_Date]])</f>
        <v>2023</v>
      </c>
      <c r="M431" t="str">
        <f>_xlfn.CONCAT(TEXT(Table1[[#This Row],[Last_Restock_Date]],"mmm"), "-", YEAR(Table1[[#This Row],[Last_Restock_Date]]))</f>
        <v>Jul-2023</v>
      </c>
      <c r="N431">
        <f>MONTH(Table1[[#This Row],[Last_Restock_Date]])</f>
        <v>7</v>
      </c>
      <c r="O431" t="str" cm="1">
        <f t="array" ref="O431">_xlfn.SWITCH(Table1[[#This Row],[Month_Number]],
    1,"Q1",2,"Q1",3,"Q1",
    4,"Q2",5,"Q2",6,"Q2",
    7,"Q3",8,"Q3",9,"Q3",
    10,"Q4",11,"Q4",12,"Q4",
    "Invalid Month"
)</f>
        <v>Q3</v>
      </c>
      <c r="P431" t="str">
        <f>TEXT(Table1[[#This Row],[Last_Restock_Date]],"mmm")</f>
        <v>Jul</v>
      </c>
    </row>
    <row r="432" spans="1:16" x14ac:dyDescent="0.25">
      <c r="A432">
        <v>431</v>
      </c>
      <c r="B432" s="5" t="s">
        <v>52</v>
      </c>
      <c r="C432" s="5" t="s">
        <v>16</v>
      </c>
      <c r="D432" s="5" t="s">
        <v>24</v>
      </c>
      <c r="E432" s="5" t="s">
        <v>37</v>
      </c>
      <c r="F432" s="2">
        <v>346</v>
      </c>
      <c r="G432" s="3">
        <v>63.24</v>
      </c>
      <c r="H432">
        <v>59</v>
      </c>
      <c r="I432">
        <f>IF(Table1[[#This Row],[Status]]= "Sufficient",
     Table1[[#This Row],[Stock_Quantity]] - Table1[[#This Row],[Reorder_Level]],
     0)</f>
        <v>287</v>
      </c>
      <c r="J432" s="4">
        <v>45055</v>
      </c>
      <c r="K432" s="5" t="s">
        <v>14</v>
      </c>
      <c r="L432">
        <f>YEAR(Table1[[#This Row],[Last_Restock_Date]])</f>
        <v>2023</v>
      </c>
      <c r="M432" t="str">
        <f>_xlfn.CONCAT(TEXT(Table1[[#This Row],[Last_Restock_Date]],"mmm"), "-", YEAR(Table1[[#This Row],[Last_Restock_Date]]))</f>
        <v>May-2023</v>
      </c>
      <c r="N432">
        <f>MONTH(Table1[[#This Row],[Last_Restock_Date]])</f>
        <v>5</v>
      </c>
      <c r="O432" t="str" cm="1">
        <f t="array" ref="O432">_xlfn.SWITCH(Table1[[#This Row],[Month_Number]],
    1,"Q1",2,"Q1",3,"Q1",
    4,"Q2",5,"Q2",6,"Q2",
    7,"Q3",8,"Q3",9,"Q3",
    10,"Q4",11,"Q4",12,"Q4",
    "Invalid Month"
)</f>
        <v>Q2</v>
      </c>
      <c r="P432" t="str">
        <f>TEXT(Table1[[#This Row],[Last_Restock_Date]],"mmm")</f>
        <v>May</v>
      </c>
    </row>
    <row r="433" spans="1:16" x14ac:dyDescent="0.25">
      <c r="A433">
        <v>432</v>
      </c>
      <c r="B433" s="5" t="s">
        <v>42</v>
      </c>
      <c r="C433" s="5" t="s">
        <v>16</v>
      </c>
      <c r="D433" s="5" t="s">
        <v>30</v>
      </c>
      <c r="E433" s="5" t="s">
        <v>32</v>
      </c>
      <c r="F433" s="2">
        <v>136</v>
      </c>
      <c r="G433" s="3">
        <v>495.3</v>
      </c>
      <c r="H433">
        <v>89</v>
      </c>
      <c r="I433">
        <f>IF(Table1[[#This Row],[Status]]= "Sufficient",
     Table1[[#This Row],[Stock_Quantity]] - Table1[[#This Row],[Reorder_Level]],
     0)</f>
        <v>47</v>
      </c>
      <c r="J433" s="4">
        <v>45161</v>
      </c>
      <c r="K433" s="5" t="s">
        <v>14</v>
      </c>
      <c r="L433">
        <f>YEAR(Table1[[#This Row],[Last_Restock_Date]])</f>
        <v>2023</v>
      </c>
      <c r="M433" t="str">
        <f>_xlfn.CONCAT(TEXT(Table1[[#This Row],[Last_Restock_Date]],"mmm"), "-", YEAR(Table1[[#This Row],[Last_Restock_Date]]))</f>
        <v>Aug-2023</v>
      </c>
      <c r="N433">
        <f>MONTH(Table1[[#This Row],[Last_Restock_Date]])</f>
        <v>8</v>
      </c>
      <c r="O433" t="str" cm="1">
        <f t="array" ref="O433">_xlfn.SWITCH(Table1[[#This Row],[Month_Number]],
    1,"Q1",2,"Q1",3,"Q1",
    4,"Q2",5,"Q2",6,"Q2",
    7,"Q3",8,"Q3",9,"Q3",
    10,"Q4",11,"Q4",12,"Q4",
    "Invalid Month"
)</f>
        <v>Q3</v>
      </c>
      <c r="P433" t="str">
        <f>TEXT(Table1[[#This Row],[Last_Restock_Date]],"mmm")</f>
        <v>Aug</v>
      </c>
    </row>
    <row r="434" spans="1:16" x14ac:dyDescent="0.25">
      <c r="A434">
        <v>433</v>
      </c>
      <c r="B434" s="5" t="s">
        <v>33</v>
      </c>
      <c r="C434" s="5" t="s">
        <v>34</v>
      </c>
      <c r="D434" s="5" t="s">
        <v>24</v>
      </c>
      <c r="E434" s="5" t="s">
        <v>13</v>
      </c>
      <c r="F434" s="2">
        <v>258</v>
      </c>
      <c r="G434" s="3">
        <v>532.03</v>
      </c>
      <c r="H434">
        <v>79</v>
      </c>
      <c r="I434">
        <f>IF(Table1[[#This Row],[Status]]= "Sufficient",
     Table1[[#This Row],[Stock_Quantity]] - Table1[[#This Row],[Reorder_Level]],
     0)</f>
        <v>179</v>
      </c>
      <c r="J434" s="4">
        <v>45413</v>
      </c>
      <c r="K434" s="5" t="s">
        <v>14</v>
      </c>
      <c r="L434">
        <f>YEAR(Table1[[#This Row],[Last_Restock_Date]])</f>
        <v>2024</v>
      </c>
      <c r="M434" t="str">
        <f>_xlfn.CONCAT(TEXT(Table1[[#This Row],[Last_Restock_Date]],"mmm"), "-", YEAR(Table1[[#This Row],[Last_Restock_Date]]))</f>
        <v>May-2024</v>
      </c>
      <c r="N434">
        <f>MONTH(Table1[[#This Row],[Last_Restock_Date]])</f>
        <v>5</v>
      </c>
      <c r="O434" t="str" cm="1">
        <f t="array" ref="O434">_xlfn.SWITCH(Table1[[#This Row],[Month_Number]],
    1,"Q1",2,"Q1",3,"Q1",
    4,"Q2",5,"Q2",6,"Q2",
    7,"Q3",8,"Q3",9,"Q3",
    10,"Q4",11,"Q4",12,"Q4",
    "Invalid Month"
)</f>
        <v>Q2</v>
      </c>
      <c r="P434" t="str">
        <f>TEXT(Table1[[#This Row],[Last_Restock_Date]],"mmm")</f>
        <v>May</v>
      </c>
    </row>
    <row r="435" spans="1:16" x14ac:dyDescent="0.25">
      <c r="A435">
        <v>434</v>
      </c>
      <c r="B435" s="5" t="s">
        <v>10</v>
      </c>
      <c r="C435" s="5" t="s">
        <v>11</v>
      </c>
      <c r="D435" s="5" t="s">
        <v>17</v>
      </c>
      <c r="E435" s="5" t="s">
        <v>32</v>
      </c>
      <c r="F435" s="2">
        <v>142</v>
      </c>
      <c r="G435" s="3">
        <v>570.20000000000005</v>
      </c>
      <c r="H435">
        <v>79</v>
      </c>
      <c r="I435">
        <f>IF(Table1[[#This Row],[Status]]= "Sufficient",
     Table1[[#This Row],[Stock_Quantity]] - Table1[[#This Row],[Reorder_Level]],
     0)</f>
        <v>63</v>
      </c>
      <c r="J435" s="4">
        <v>45713</v>
      </c>
      <c r="K435" s="5" t="s">
        <v>14</v>
      </c>
      <c r="L435">
        <f>YEAR(Table1[[#This Row],[Last_Restock_Date]])</f>
        <v>2025</v>
      </c>
      <c r="M435" t="str">
        <f>_xlfn.CONCAT(TEXT(Table1[[#This Row],[Last_Restock_Date]],"mmm"), "-", YEAR(Table1[[#This Row],[Last_Restock_Date]]))</f>
        <v>Feb-2025</v>
      </c>
      <c r="N435">
        <f>MONTH(Table1[[#This Row],[Last_Restock_Date]])</f>
        <v>2</v>
      </c>
      <c r="O435" t="str" cm="1">
        <f t="array" ref="O435">_xlfn.SWITCH(Table1[[#This Row],[Month_Number]],
    1,"Q1",2,"Q1",3,"Q1",
    4,"Q2",5,"Q2",6,"Q2",
    7,"Q3",8,"Q3",9,"Q3",
    10,"Q4",11,"Q4",12,"Q4",
    "Invalid Month"
)</f>
        <v>Q1</v>
      </c>
      <c r="P435" t="str">
        <f>TEXT(Table1[[#This Row],[Last_Restock_Date]],"mmm")</f>
        <v>Feb</v>
      </c>
    </row>
    <row r="436" spans="1:16" x14ac:dyDescent="0.25">
      <c r="A436">
        <v>435</v>
      </c>
      <c r="B436" s="5" t="s">
        <v>51</v>
      </c>
      <c r="C436" s="5" t="s">
        <v>11</v>
      </c>
      <c r="D436" s="5" t="s">
        <v>12</v>
      </c>
      <c r="E436" s="5" t="s">
        <v>18</v>
      </c>
      <c r="F436" s="2">
        <v>413</v>
      </c>
      <c r="G436" s="3">
        <v>228.39</v>
      </c>
      <c r="H436">
        <v>97</v>
      </c>
      <c r="I436">
        <f>IF(Table1[[#This Row],[Status]]= "Sufficient",
     Table1[[#This Row],[Stock_Quantity]] - Table1[[#This Row],[Reorder_Level]],
     0)</f>
        <v>316</v>
      </c>
      <c r="J436" s="4">
        <v>45643</v>
      </c>
      <c r="K436" s="5" t="s">
        <v>14</v>
      </c>
      <c r="L436">
        <f>YEAR(Table1[[#This Row],[Last_Restock_Date]])</f>
        <v>2024</v>
      </c>
      <c r="M436" t="str">
        <f>_xlfn.CONCAT(TEXT(Table1[[#This Row],[Last_Restock_Date]],"mmm"), "-", YEAR(Table1[[#This Row],[Last_Restock_Date]]))</f>
        <v>Dec-2024</v>
      </c>
      <c r="N436">
        <f>MONTH(Table1[[#This Row],[Last_Restock_Date]])</f>
        <v>12</v>
      </c>
      <c r="O436" t="str" cm="1">
        <f t="array" ref="O436">_xlfn.SWITCH(Table1[[#This Row],[Month_Number]],
    1,"Q1",2,"Q1",3,"Q1",
    4,"Q2",5,"Q2",6,"Q2",
    7,"Q3",8,"Q3",9,"Q3",
    10,"Q4",11,"Q4",12,"Q4",
    "Invalid Month"
)</f>
        <v>Q4</v>
      </c>
      <c r="P436" t="str">
        <f>TEXT(Table1[[#This Row],[Last_Restock_Date]],"mmm")</f>
        <v>Dec</v>
      </c>
    </row>
    <row r="437" spans="1:16" x14ac:dyDescent="0.25">
      <c r="A437">
        <v>436</v>
      </c>
      <c r="B437" s="5" t="s">
        <v>36</v>
      </c>
      <c r="C437" s="5" t="s">
        <v>11</v>
      </c>
      <c r="D437" s="5" t="s">
        <v>24</v>
      </c>
      <c r="E437" s="5" t="s">
        <v>27</v>
      </c>
      <c r="F437" s="2">
        <v>347</v>
      </c>
      <c r="G437" s="3">
        <v>117.04</v>
      </c>
      <c r="H437">
        <v>96</v>
      </c>
      <c r="I437">
        <f>IF(Table1[[#This Row],[Status]]= "Sufficient",
     Table1[[#This Row],[Stock_Quantity]] - Table1[[#This Row],[Reorder_Level]],
     0)</f>
        <v>251</v>
      </c>
      <c r="J437" s="4">
        <v>45381</v>
      </c>
      <c r="K437" s="5" t="s">
        <v>14</v>
      </c>
      <c r="L437">
        <f>YEAR(Table1[[#This Row],[Last_Restock_Date]])</f>
        <v>2024</v>
      </c>
      <c r="M437" t="str">
        <f>_xlfn.CONCAT(TEXT(Table1[[#This Row],[Last_Restock_Date]],"mmm"), "-", YEAR(Table1[[#This Row],[Last_Restock_Date]]))</f>
        <v>Mar-2024</v>
      </c>
      <c r="N437">
        <f>MONTH(Table1[[#This Row],[Last_Restock_Date]])</f>
        <v>3</v>
      </c>
      <c r="O437" t="str" cm="1">
        <f t="array" ref="O437">_xlfn.SWITCH(Table1[[#This Row],[Month_Number]],
    1,"Q1",2,"Q1",3,"Q1",
    4,"Q2",5,"Q2",6,"Q2",
    7,"Q3",8,"Q3",9,"Q3",
    10,"Q4",11,"Q4",12,"Q4",
    "Invalid Month"
)</f>
        <v>Q1</v>
      </c>
      <c r="P437" t="str">
        <f>TEXT(Table1[[#This Row],[Last_Restock_Date]],"mmm")</f>
        <v>Mar</v>
      </c>
    </row>
    <row r="438" spans="1:16" x14ac:dyDescent="0.25">
      <c r="A438">
        <v>437</v>
      </c>
      <c r="B438" s="5" t="s">
        <v>48</v>
      </c>
      <c r="C438" s="5" t="s">
        <v>20</v>
      </c>
      <c r="D438" s="5" t="s">
        <v>12</v>
      </c>
      <c r="E438" s="5" t="s">
        <v>37</v>
      </c>
      <c r="F438" s="2">
        <v>217</v>
      </c>
      <c r="G438" s="3">
        <v>779.73</v>
      </c>
      <c r="H438">
        <v>74</v>
      </c>
      <c r="I438">
        <f>IF(Table1[[#This Row],[Status]]= "Sufficient",
     Table1[[#This Row],[Stock_Quantity]] - Table1[[#This Row],[Reorder_Level]],
     0)</f>
        <v>143</v>
      </c>
      <c r="J438" s="4">
        <v>45649</v>
      </c>
      <c r="K438" s="5" t="s">
        <v>14</v>
      </c>
      <c r="L438">
        <f>YEAR(Table1[[#This Row],[Last_Restock_Date]])</f>
        <v>2024</v>
      </c>
      <c r="M438" t="str">
        <f>_xlfn.CONCAT(TEXT(Table1[[#This Row],[Last_Restock_Date]],"mmm"), "-", YEAR(Table1[[#This Row],[Last_Restock_Date]]))</f>
        <v>Dec-2024</v>
      </c>
      <c r="N438">
        <f>MONTH(Table1[[#This Row],[Last_Restock_Date]])</f>
        <v>12</v>
      </c>
      <c r="O438" t="str" cm="1">
        <f t="array" ref="O438">_xlfn.SWITCH(Table1[[#This Row],[Month_Number]],
    1,"Q1",2,"Q1",3,"Q1",
    4,"Q2",5,"Q2",6,"Q2",
    7,"Q3",8,"Q3",9,"Q3",
    10,"Q4",11,"Q4",12,"Q4",
    "Invalid Month"
)</f>
        <v>Q4</v>
      </c>
      <c r="P438" t="str">
        <f>TEXT(Table1[[#This Row],[Last_Restock_Date]],"mmm")</f>
        <v>Dec</v>
      </c>
    </row>
    <row r="439" spans="1:16" x14ac:dyDescent="0.25">
      <c r="A439">
        <v>438</v>
      </c>
      <c r="B439" s="5" t="s">
        <v>43</v>
      </c>
      <c r="C439" s="5" t="s">
        <v>26</v>
      </c>
      <c r="D439" s="5" t="s">
        <v>12</v>
      </c>
      <c r="E439" s="5" t="s">
        <v>18</v>
      </c>
      <c r="F439" s="2">
        <v>165</v>
      </c>
      <c r="G439" s="3">
        <v>468.12</v>
      </c>
      <c r="H439">
        <v>71</v>
      </c>
      <c r="I439">
        <f>IF(Table1[[#This Row],[Status]]= "Sufficient",
     Table1[[#This Row],[Stock_Quantity]] - Table1[[#This Row],[Reorder_Level]],
     0)</f>
        <v>94</v>
      </c>
      <c r="J439" s="4">
        <v>45515</v>
      </c>
      <c r="K439" s="5" t="s">
        <v>14</v>
      </c>
      <c r="L439">
        <f>YEAR(Table1[[#This Row],[Last_Restock_Date]])</f>
        <v>2024</v>
      </c>
      <c r="M439" t="str">
        <f>_xlfn.CONCAT(TEXT(Table1[[#This Row],[Last_Restock_Date]],"mmm"), "-", YEAR(Table1[[#This Row],[Last_Restock_Date]]))</f>
        <v>Aug-2024</v>
      </c>
      <c r="N439">
        <f>MONTH(Table1[[#This Row],[Last_Restock_Date]])</f>
        <v>8</v>
      </c>
      <c r="O439" t="str" cm="1">
        <f t="array" ref="O439">_xlfn.SWITCH(Table1[[#This Row],[Month_Number]],
    1,"Q1",2,"Q1",3,"Q1",
    4,"Q2",5,"Q2",6,"Q2",
    7,"Q3",8,"Q3",9,"Q3",
    10,"Q4",11,"Q4",12,"Q4",
    "Invalid Month"
)</f>
        <v>Q3</v>
      </c>
      <c r="P439" t="str">
        <f>TEXT(Table1[[#This Row],[Last_Restock_Date]],"mmm")</f>
        <v>Aug</v>
      </c>
    </row>
    <row r="440" spans="1:16" x14ac:dyDescent="0.25">
      <c r="A440">
        <v>439</v>
      </c>
      <c r="B440" s="5" t="s">
        <v>52</v>
      </c>
      <c r="C440" s="5" t="s">
        <v>16</v>
      </c>
      <c r="D440" s="5" t="s">
        <v>17</v>
      </c>
      <c r="E440" s="5" t="s">
        <v>37</v>
      </c>
      <c r="F440" s="2">
        <v>492</v>
      </c>
      <c r="G440" s="3">
        <v>648.86</v>
      </c>
      <c r="H440">
        <v>126</v>
      </c>
      <c r="I440">
        <f>IF(Table1[[#This Row],[Status]]= "Sufficient",
     Table1[[#This Row],[Stock_Quantity]] - Table1[[#This Row],[Reorder_Level]],
     0)</f>
        <v>366</v>
      </c>
      <c r="J440" s="4">
        <v>45361</v>
      </c>
      <c r="K440" s="5" t="s">
        <v>14</v>
      </c>
      <c r="L440">
        <f>YEAR(Table1[[#This Row],[Last_Restock_Date]])</f>
        <v>2024</v>
      </c>
      <c r="M440" t="str">
        <f>_xlfn.CONCAT(TEXT(Table1[[#This Row],[Last_Restock_Date]],"mmm"), "-", YEAR(Table1[[#This Row],[Last_Restock_Date]]))</f>
        <v>Mar-2024</v>
      </c>
      <c r="N440">
        <f>MONTH(Table1[[#This Row],[Last_Restock_Date]])</f>
        <v>3</v>
      </c>
      <c r="O440" t="str" cm="1">
        <f t="array" ref="O440">_xlfn.SWITCH(Table1[[#This Row],[Month_Number]],
    1,"Q1",2,"Q1",3,"Q1",
    4,"Q2",5,"Q2",6,"Q2",
    7,"Q3",8,"Q3",9,"Q3",
    10,"Q4",11,"Q4",12,"Q4",
    "Invalid Month"
)</f>
        <v>Q1</v>
      </c>
      <c r="P440" t="str">
        <f>TEXT(Table1[[#This Row],[Last_Restock_Date]],"mmm")</f>
        <v>Mar</v>
      </c>
    </row>
    <row r="441" spans="1:16" x14ac:dyDescent="0.25">
      <c r="A441">
        <v>440</v>
      </c>
      <c r="B441" s="5" t="s">
        <v>49</v>
      </c>
      <c r="C441" s="5" t="s">
        <v>16</v>
      </c>
      <c r="D441" s="5" t="s">
        <v>17</v>
      </c>
      <c r="E441" s="5" t="s">
        <v>39</v>
      </c>
      <c r="F441" s="2">
        <v>403</v>
      </c>
      <c r="G441" s="3">
        <v>321.60000000000002</v>
      </c>
      <c r="H441">
        <v>81</v>
      </c>
      <c r="I441">
        <f>IF(Table1[[#This Row],[Status]]= "Sufficient",
     Table1[[#This Row],[Stock_Quantity]] - Table1[[#This Row],[Reorder_Level]],
     0)</f>
        <v>322</v>
      </c>
      <c r="J441" s="4">
        <v>45663</v>
      </c>
      <c r="K441" s="5" t="s">
        <v>14</v>
      </c>
      <c r="L441">
        <f>YEAR(Table1[[#This Row],[Last_Restock_Date]])</f>
        <v>2025</v>
      </c>
      <c r="M441" t="str">
        <f>_xlfn.CONCAT(TEXT(Table1[[#This Row],[Last_Restock_Date]],"mmm"), "-", YEAR(Table1[[#This Row],[Last_Restock_Date]]))</f>
        <v>Jan-2025</v>
      </c>
      <c r="N441">
        <f>MONTH(Table1[[#This Row],[Last_Restock_Date]])</f>
        <v>1</v>
      </c>
      <c r="O441" t="str" cm="1">
        <f t="array" ref="O441">_xlfn.SWITCH(Table1[[#This Row],[Month_Number]],
    1,"Q1",2,"Q1",3,"Q1",
    4,"Q2",5,"Q2",6,"Q2",
    7,"Q3",8,"Q3",9,"Q3",
    10,"Q4",11,"Q4",12,"Q4",
    "Invalid Month"
)</f>
        <v>Q1</v>
      </c>
      <c r="P441" t="str">
        <f>TEXT(Table1[[#This Row],[Last_Restock_Date]],"mmm")</f>
        <v>Jan</v>
      </c>
    </row>
    <row r="442" spans="1:16" x14ac:dyDescent="0.25">
      <c r="A442">
        <v>441</v>
      </c>
      <c r="B442" s="5" t="s">
        <v>23</v>
      </c>
      <c r="C442" s="5" t="s">
        <v>20</v>
      </c>
      <c r="D442" s="5" t="s">
        <v>24</v>
      </c>
      <c r="E442" s="5" t="s">
        <v>37</v>
      </c>
      <c r="F442" s="2">
        <v>272</v>
      </c>
      <c r="G442" s="3">
        <v>360.29</v>
      </c>
      <c r="H442">
        <v>59</v>
      </c>
      <c r="I442">
        <f>IF(Table1[[#This Row],[Status]]= "Sufficient",
     Table1[[#This Row],[Stock_Quantity]] - Table1[[#This Row],[Reorder_Level]],
     0)</f>
        <v>213</v>
      </c>
      <c r="J442" s="4">
        <v>45467</v>
      </c>
      <c r="K442" s="5" t="s">
        <v>14</v>
      </c>
      <c r="L442">
        <f>YEAR(Table1[[#This Row],[Last_Restock_Date]])</f>
        <v>2024</v>
      </c>
      <c r="M442" t="str">
        <f>_xlfn.CONCAT(TEXT(Table1[[#This Row],[Last_Restock_Date]],"mmm"), "-", YEAR(Table1[[#This Row],[Last_Restock_Date]]))</f>
        <v>Jun-2024</v>
      </c>
      <c r="N442">
        <f>MONTH(Table1[[#This Row],[Last_Restock_Date]])</f>
        <v>6</v>
      </c>
      <c r="O442" t="str" cm="1">
        <f t="array" ref="O442">_xlfn.SWITCH(Table1[[#This Row],[Month_Number]],
    1,"Q1",2,"Q1",3,"Q1",
    4,"Q2",5,"Q2",6,"Q2",
    7,"Q3",8,"Q3",9,"Q3",
    10,"Q4",11,"Q4",12,"Q4",
    "Invalid Month"
)</f>
        <v>Q2</v>
      </c>
      <c r="P442" t="str">
        <f>TEXT(Table1[[#This Row],[Last_Restock_Date]],"mmm")</f>
        <v>Jun</v>
      </c>
    </row>
    <row r="443" spans="1:16" x14ac:dyDescent="0.25">
      <c r="A443">
        <v>442</v>
      </c>
      <c r="B443" s="5" t="s">
        <v>38</v>
      </c>
      <c r="C443" s="5" t="s">
        <v>26</v>
      </c>
      <c r="D443" s="5" t="s">
        <v>24</v>
      </c>
      <c r="E443" s="5" t="s">
        <v>32</v>
      </c>
      <c r="F443" s="2">
        <v>21</v>
      </c>
      <c r="G443" s="3">
        <v>155.38</v>
      </c>
      <c r="H443">
        <v>86</v>
      </c>
      <c r="I443">
        <f>IF(Table1[[#This Row],[Status]]= "Sufficient",
     Table1[[#This Row],[Stock_Quantity]] - Table1[[#This Row],[Reorder_Level]],
     0)</f>
        <v>0</v>
      </c>
      <c r="J443" s="4">
        <v>45273</v>
      </c>
      <c r="K443" s="5" t="s">
        <v>28</v>
      </c>
      <c r="L443">
        <f>YEAR(Table1[[#This Row],[Last_Restock_Date]])</f>
        <v>2023</v>
      </c>
      <c r="M443" t="str">
        <f>_xlfn.CONCAT(TEXT(Table1[[#This Row],[Last_Restock_Date]],"mmm"), "-", YEAR(Table1[[#This Row],[Last_Restock_Date]]))</f>
        <v>Dec-2023</v>
      </c>
      <c r="N443">
        <f>MONTH(Table1[[#This Row],[Last_Restock_Date]])</f>
        <v>12</v>
      </c>
      <c r="O443" t="str" cm="1">
        <f t="array" ref="O443">_xlfn.SWITCH(Table1[[#This Row],[Month_Number]],
    1,"Q1",2,"Q1",3,"Q1",
    4,"Q2",5,"Q2",6,"Q2",
    7,"Q3",8,"Q3",9,"Q3",
    10,"Q4",11,"Q4",12,"Q4",
    "Invalid Month"
)</f>
        <v>Q4</v>
      </c>
      <c r="P443" t="str">
        <f>TEXT(Table1[[#This Row],[Last_Restock_Date]],"mmm")</f>
        <v>Dec</v>
      </c>
    </row>
    <row r="444" spans="1:16" x14ac:dyDescent="0.25">
      <c r="A444">
        <v>443</v>
      </c>
      <c r="B444" s="5" t="s">
        <v>36</v>
      </c>
      <c r="C444" s="5" t="s">
        <v>11</v>
      </c>
      <c r="D444" s="5" t="s">
        <v>12</v>
      </c>
      <c r="E444" s="5" t="s">
        <v>18</v>
      </c>
      <c r="F444" s="2">
        <v>410</v>
      </c>
      <c r="G444" s="3">
        <v>104.3</v>
      </c>
      <c r="H444">
        <v>141</v>
      </c>
      <c r="I444">
        <f>IF(Table1[[#This Row],[Status]]= "Sufficient",
     Table1[[#This Row],[Stock_Quantity]] - Table1[[#This Row],[Reorder_Level]],
     0)</f>
        <v>269</v>
      </c>
      <c r="J444" s="4">
        <v>45380</v>
      </c>
      <c r="K444" s="5" t="s">
        <v>14</v>
      </c>
      <c r="L444">
        <f>YEAR(Table1[[#This Row],[Last_Restock_Date]])</f>
        <v>2024</v>
      </c>
      <c r="M444" t="str">
        <f>_xlfn.CONCAT(TEXT(Table1[[#This Row],[Last_Restock_Date]],"mmm"), "-", YEAR(Table1[[#This Row],[Last_Restock_Date]]))</f>
        <v>Mar-2024</v>
      </c>
      <c r="N444">
        <f>MONTH(Table1[[#This Row],[Last_Restock_Date]])</f>
        <v>3</v>
      </c>
      <c r="O444" t="str" cm="1">
        <f t="array" ref="O444">_xlfn.SWITCH(Table1[[#This Row],[Month_Number]],
    1,"Q1",2,"Q1",3,"Q1",
    4,"Q2",5,"Q2",6,"Q2",
    7,"Q3",8,"Q3",9,"Q3",
    10,"Q4",11,"Q4",12,"Q4",
    "Invalid Month"
)</f>
        <v>Q1</v>
      </c>
      <c r="P444" t="str">
        <f>TEXT(Table1[[#This Row],[Last_Restock_Date]],"mmm")</f>
        <v>Mar</v>
      </c>
    </row>
    <row r="445" spans="1:16" x14ac:dyDescent="0.25">
      <c r="A445">
        <v>444</v>
      </c>
      <c r="B445" s="5" t="s">
        <v>53</v>
      </c>
      <c r="C445" s="5" t="s">
        <v>26</v>
      </c>
      <c r="D445" s="5" t="s">
        <v>17</v>
      </c>
      <c r="E445" s="5" t="s">
        <v>27</v>
      </c>
      <c r="F445" s="2">
        <v>90</v>
      </c>
      <c r="G445" s="3">
        <v>778.79</v>
      </c>
      <c r="H445">
        <v>101</v>
      </c>
      <c r="I445">
        <f>IF(Table1[[#This Row],[Status]]= "Sufficient",
     Table1[[#This Row],[Stock_Quantity]] - Table1[[#This Row],[Reorder_Level]],
     0)</f>
        <v>0</v>
      </c>
      <c r="J445" s="4">
        <v>45778</v>
      </c>
      <c r="K445" s="5" t="s">
        <v>28</v>
      </c>
      <c r="L445">
        <f>YEAR(Table1[[#This Row],[Last_Restock_Date]])</f>
        <v>2025</v>
      </c>
      <c r="M445" t="str">
        <f>_xlfn.CONCAT(TEXT(Table1[[#This Row],[Last_Restock_Date]],"mmm"), "-", YEAR(Table1[[#This Row],[Last_Restock_Date]]))</f>
        <v>May-2025</v>
      </c>
      <c r="N445">
        <f>MONTH(Table1[[#This Row],[Last_Restock_Date]])</f>
        <v>5</v>
      </c>
      <c r="O445" t="str" cm="1">
        <f t="array" ref="O445">_xlfn.SWITCH(Table1[[#This Row],[Month_Number]],
    1,"Q1",2,"Q1",3,"Q1",
    4,"Q2",5,"Q2",6,"Q2",
    7,"Q3",8,"Q3",9,"Q3",
    10,"Q4",11,"Q4",12,"Q4",
    "Invalid Month"
)</f>
        <v>Q2</v>
      </c>
      <c r="P445" t="str">
        <f>TEXT(Table1[[#This Row],[Last_Restock_Date]],"mmm")</f>
        <v>May</v>
      </c>
    </row>
    <row r="446" spans="1:16" x14ac:dyDescent="0.25">
      <c r="A446">
        <v>445</v>
      </c>
      <c r="B446" s="5" t="s">
        <v>43</v>
      </c>
      <c r="C446" s="5" t="s">
        <v>26</v>
      </c>
      <c r="D446" s="5" t="s">
        <v>12</v>
      </c>
      <c r="E446" s="5" t="s">
        <v>32</v>
      </c>
      <c r="F446" s="2">
        <v>392</v>
      </c>
      <c r="G446" s="3">
        <v>604.84</v>
      </c>
      <c r="H446">
        <v>67</v>
      </c>
      <c r="I446">
        <f>IF(Table1[[#This Row],[Status]]= "Sufficient",
     Table1[[#This Row],[Stock_Quantity]] - Table1[[#This Row],[Reorder_Level]],
     0)</f>
        <v>325</v>
      </c>
      <c r="J446" s="4">
        <v>46020</v>
      </c>
      <c r="K446" s="5" t="s">
        <v>14</v>
      </c>
      <c r="L446">
        <f>YEAR(Table1[[#This Row],[Last_Restock_Date]])</f>
        <v>2025</v>
      </c>
      <c r="M446" t="str">
        <f>_xlfn.CONCAT(TEXT(Table1[[#This Row],[Last_Restock_Date]],"mmm"), "-", YEAR(Table1[[#This Row],[Last_Restock_Date]]))</f>
        <v>Dec-2025</v>
      </c>
      <c r="N446">
        <f>MONTH(Table1[[#This Row],[Last_Restock_Date]])</f>
        <v>12</v>
      </c>
      <c r="O446" t="str" cm="1">
        <f t="array" ref="O446">_xlfn.SWITCH(Table1[[#This Row],[Month_Number]],
    1,"Q1",2,"Q1",3,"Q1",
    4,"Q2",5,"Q2",6,"Q2",
    7,"Q3",8,"Q3",9,"Q3",
    10,"Q4",11,"Q4",12,"Q4",
    "Invalid Month"
)</f>
        <v>Q4</v>
      </c>
      <c r="P446" t="str">
        <f>TEXT(Table1[[#This Row],[Last_Restock_Date]],"mmm")</f>
        <v>Dec</v>
      </c>
    </row>
    <row r="447" spans="1:16" x14ac:dyDescent="0.25">
      <c r="A447">
        <v>446</v>
      </c>
      <c r="B447" s="5" t="s">
        <v>40</v>
      </c>
      <c r="C447" s="5" t="s">
        <v>34</v>
      </c>
      <c r="D447" s="5" t="s">
        <v>21</v>
      </c>
      <c r="E447" s="5" t="s">
        <v>27</v>
      </c>
      <c r="F447" s="2">
        <v>234</v>
      </c>
      <c r="G447" s="3">
        <v>490.64</v>
      </c>
      <c r="H447">
        <v>68</v>
      </c>
      <c r="I447">
        <f>IF(Table1[[#This Row],[Status]]= "Sufficient",
     Table1[[#This Row],[Stock_Quantity]] - Table1[[#This Row],[Reorder_Level]],
     0)</f>
        <v>166</v>
      </c>
      <c r="J447" s="4">
        <v>45763</v>
      </c>
      <c r="K447" s="5" t="s">
        <v>14</v>
      </c>
      <c r="L447">
        <f>YEAR(Table1[[#This Row],[Last_Restock_Date]])</f>
        <v>2025</v>
      </c>
      <c r="M447" t="str">
        <f>_xlfn.CONCAT(TEXT(Table1[[#This Row],[Last_Restock_Date]],"mmm"), "-", YEAR(Table1[[#This Row],[Last_Restock_Date]]))</f>
        <v>Apr-2025</v>
      </c>
      <c r="N447">
        <f>MONTH(Table1[[#This Row],[Last_Restock_Date]])</f>
        <v>4</v>
      </c>
      <c r="O447" t="str" cm="1">
        <f t="array" ref="O447">_xlfn.SWITCH(Table1[[#This Row],[Month_Number]],
    1,"Q1",2,"Q1",3,"Q1",
    4,"Q2",5,"Q2",6,"Q2",
    7,"Q3",8,"Q3",9,"Q3",
    10,"Q4",11,"Q4",12,"Q4",
    "Invalid Month"
)</f>
        <v>Q2</v>
      </c>
      <c r="P447" t="str">
        <f>TEXT(Table1[[#This Row],[Last_Restock_Date]],"mmm")</f>
        <v>Apr</v>
      </c>
    </row>
    <row r="448" spans="1:16" x14ac:dyDescent="0.25">
      <c r="A448">
        <v>447</v>
      </c>
      <c r="B448" s="5" t="s">
        <v>22</v>
      </c>
      <c r="C448" s="5" t="s">
        <v>11</v>
      </c>
      <c r="D448" s="5" t="s">
        <v>17</v>
      </c>
      <c r="E448" s="5" t="s">
        <v>27</v>
      </c>
      <c r="F448" s="2">
        <v>466</v>
      </c>
      <c r="G448" s="3">
        <v>73.61</v>
      </c>
      <c r="H448">
        <v>118</v>
      </c>
      <c r="I448">
        <f>IF(Table1[[#This Row],[Status]]= "Sufficient",
     Table1[[#This Row],[Stock_Quantity]] - Table1[[#This Row],[Reorder_Level]],
     0)</f>
        <v>348</v>
      </c>
      <c r="J448" s="4">
        <v>45253</v>
      </c>
      <c r="K448" s="5" t="s">
        <v>14</v>
      </c>
      <c r="L448">
        <f>YEAR(Table1[[#This Row],[Last_Restock_Date]])</f>
        <v>2023</v>
      </c>
      <c r="M448" t="str">
        <f>_xlfn.CONCAT(TEXT(Table1[[#This Row],[Last_Restock_Date]],"mmm"), "-", YEAR(Table1[[#This Row],[Last_Restock_Date]]))</f>
        <v>Nov-2023</v>
      </c>
      <c r="N448">
        <f>MONTH(Table1[[#This Row],[Last_Restock_Date]])</f>
        <v>11</v>
      </c>
      <c r="O448" t="str" cm="1">
        <f t="array" ref="O448">_xlfn.SWITCH(Table1[[#This Row],[Month_Number]],
    1,"Q1",2,"Q1",3,"Q1",
    4,"Q2",5,"Q2",6,"Q2",
    7,"Q3",8,"Q3",9,"Q3",
    10,"Q4",11,"Q4",12,"Q4",
    "Invalid Month"
)</f>
        <v>Q4</v>
      </c>
      <c r="P448" t="str">
        <f>TEXT(Table1[[#This Row],[Last_Restock_Date]],"mmm")</f>
        <v>Nov</v>
      </c>
    </row>
    <row r="449" spans="1:16" x14ac:dyDescent="0.25">
      <c r="A449">
        <v>448</v>
      </c>
      <c r="B449" s="5" t="s">
        <v>51</v>
      </c>
      <c r="C449" s="5" t="s">
        <v>11</v>
      </c>
      <c r="D449" s="5" t="s">
        <v>17</v>
      </c>
      <c r="E449" s="5" t="s">
        <v>18</v>
      </c>
      <c r="F449" s="2">
        <v>52</v>
      </c>
      <c r="G449" s="3">
        <v>158.16</v>
      </c>
      <c r="H449">
        <v>105</v>
      </c>
      <c r="I449">
        <f>IF(Table1[[#This Row],[Status]]= "Sufficient",
     Table1[[#This Row],[Stock_Quantity]] - Table1[[#This Row],[Reorder_Level]],
     0)</f>
        <v>0</v>
      </c>
      <c r="J449" s="4">
        <v>45957</v>
      </c>
      <c r="K449" s="5" t="s">
        <v>28</v>
      </c>
      <c r="L449">
        <f>YEAR(Table1[[#This Row],[Last_Restock_Date]])</f>
        <v>2025</v>
      </c>
      <c r="M449" t="str">
        <f>_xlfn.CONCAT(TEXT(Table1[[#This Row],[Last_Restock_Date]],"mmm"), "-", YEAR(Table1[[#This Row],[Last_Restock_Date]]))</f>
        <v>Oct-2025</v>
      </c>
      <c r="N449">
        <f>MONTH(Table1[[#This Row],[Last_Restock_Date]])</f>
        <v>10</v>
      </c>
      <c r="O449" t="str" cm="1">
        <f t="array" ref="O449">_xlfn.SWITCH(Table1[[#This Row],[Month_Number]],
    1,"Q1",2,"Q1",3,"Q1",
    4,"Q2",5,"Q2",6,"Q2",
    7,"Q3",8,"Q3",9,"Q3",
    10,"Q4",11,"Q4",12,"Q4",
    "Invalid Month"
)</f>
        <v>Q4</v>
      </c>
      <c r="P449" t="str">
        <f>TEXT(Table1[[#This Row],[Last_Restock_Date]],"mmm")</f>
        <v>Oct</v>
      </c>
    </row>
    <row r="450" spans="1:16" x14ac:dyDescent="0.25">
      <c r="A450">
        <v>449</v>
      </c>
      <c r="B450" s="5" t="s">
        <v>45</v>
      </c>
      <c r="C450" s="5" t="s">
        <v>26</v>
      </c>
      <c r="D450" s="5" t="s">
        <v>21</v>
      </c>
      <c r="E450" s="5" t="s">
        <v>32</v>
      </c>
      <c r="F450" s="2">
        <v>224</v>
      </c>
      <c r="G450" s="3">
        <v>368.35</v>
      </c>
      <c r="H450">
        <v>116</v>
      </c>
      <c r="I450">
        <f>IF(Table1[[#This Row],[Status]]= "Sufficient",
     Table1[[#This Row],[Stock_Quantity]] - Table1[[#This Row],[Reorder_Level]],
     0)</f>
        <v>108</v>
      </c>
      <c r="J450" s="4">
        <v>45026</v>
      </c>
      <c r="K450" s="5" t="s">
        <v>14</v>
      </c>
      <c r="L450">
        <f>YEAR(Table1[[#This Row],[Last_Restock_Date]])</f>
        <v>2023</v>
      </c>
      <c r="M450" t="str">
        <f>_xlfn.CONCAT(TEXT(Table1[[#This Row],[Last_Restock_Date]],"mmm"), "-", YEAR(Table1[[#This Row],[Last_Restock_Date]]))</f>
        <v>Apr-2023</v>
      </c>
      <c r="N450">
        <f>MONTH(Table1[[#This Row],[Last_Restock_Date]])</f>
        <v>4</v>
      </c>
      <c r="O450" t="str" cm="1">
        <f t="array" ref="O450">_xlfn.SWITCH(Table1[[#This Row],[Month_Number]],
    1,"Q1",2,"Q1",3,"Q1",
    4,"Q2",5,"Q2",6,"Q2",
    7,"Q3",8,"Q3",9,"Q3",
    10,"Q4",11,"Q4",12,"Q4",
    "Invalid Month"
)</f>
        <v>Q2</v>
      </c>
      <c r="P450" t="str">
        <f>TEXT(Table1[[#This Row],[Last_Restock_Date]],"mmm")</f>
        <v>Apr</v>
      </c>
    </row>
    <row r="451" spans="1:16" x14ac:dyDescent="0.25">
      <c r="A451">
        <v>450</v>
      </c>
      <c r="B451" s="5" t="s">
        <v>52</v>
      </c>
      <c r="C451" s="5" t="s">
        <v>16</v>
      </c>
      <c r="D451" s="5" t="s">
        <v>17</v>
      </c>
      <c r="E451" s="5" t="s">
        <v>27</v>
      </c>
      <c r="F451" s="2">
        <v>453</v>
      </c>
      <c r="G451" s="3">
        <v>136.16999999999999</v>
      </c>
      <c r="H451">
        <v>134</v>
      </c>
      <c r="I451">
        <f>IF(Table1[[#This Row],[Status]]= "Sufficient",
     Table1[[#This Row],[Stock_Quantity]] - Table1[[#This Row],[Reorder_Level]],
     0)</f>
        <v>319</v>
      </c>
      <c r="J451" s="4">
        <v>45094</v>
      </c>
      <c r="K451" s="5" t="s">
        <v>14</v>
      </c>
      <c r="L451">
        <f>YEAR(Table1[[#This Row],[Last_Restock_Date]])</f>
        <v>2023</v>
      </c>
      <c r="M451" t="str">
        <f>_xlfn.CONCAT(TEXT(Table1[[#This Row],[Last_Restock_Date]],"mmm"), "-", YEAR(Table1[[#This Row],[Last_Restock_Date]]))</f>
        <v>Jun-2023</v>
      </c>
      <c r="N451">
        <f>MONTH(Table1[[#This Row],[Last_Restock_Date]])</f>
        <v>6</v>
      </c>
      <c r="O451" t="str" cm="1">
        <f t="array" ref="O451">_xlfn.SWITCH(Table1[[#This Row],[Month_Number]],
    1,"Q1",2,"Q1",3,"Q1",
    4,"Q2",5,"Q2",6,"Q2",
    7,"Q3",8,"Q3",9,"Q3",
    10,"Q4",11,"Q4",12,"Q4",
    "Invalid Month"
)</f>
        <v>Q2</v>
      </c>
      <c r="P451" t="str">
        <f>TEXT(Table1[[#This Row],[Last_Restock_Date]],"mmm")</f>
        <v>Jun</v>
      </c>
    </row>
    <row r="452" spans="1:16" x14ac:dyDescent="0.25">
      <c r="A452">
        <v>451</v>
      </c>
      <c r="B452" s="5" t="s">
        <v>54</v>
      </c>
      <c r="C452" s="5" t="s">
        <v>20</v>
      </c>
      <c r="D452" s="5" t="s">
        <v>30</v>
      </c>
      <c r="E452" s="5" t="s">
        <v>39</v>
      </c>
      <c r="F452" s="2">
        <v>350</v>
      </c>
      <c r="G452" s="3">
        <v>312.99</v>
      </c>
      <c r="H452">
        <v>84</v>
      </c>
      <c r="I452">
        <f>IF(Table1[[#This Row],[Status]]= "Sufficient",
     Table1[[#This Row],[Stock_Quantity]] - Table1[[#This Row],[Reorder_Level]],
     0)</f>
        <v>266</v>
      </c>
      <c r="J452" s="4">
        <v>45338</v>
      </c>
      <c r="K452" s="5" t="s">
        <v>14</v>
      </c>
      <c r="L452">
        <f>YEAR(Table1[[#This Row],[Last_Restock_Date]])</f>
        <v>2024</v>
      </c>
      <c r="M452" t="str">
        <f>_xlfn.CONCAT(TEXT(Table1[[#This Row],[Last_Restock_Date]],"mmm"), "-", YEAR(Table1[[#This Row],[Last_Restock_Date]]))</f>
        <v>Feb-2024</v>
      </c>
      <c r="N452">
        <f>MONTH(Table1[[#This Row],[Last_Restock_Date]])</f>
        <v>2</v>
      </c>
      <c r="O452" t="str" cm="1">
        <f t="array" ref="O452">_xlfn.SWITCH(Table1[[#This Row],[Month_Number]],
    1,"Q1",2,"Q1",3,"Q1",
    4,"Q2",5,"Q2",6,"Q2",
    7,"Q3",8,"Q3",9,"Q3",
    10,"Q4",11,"Q4",12,"Q4",
    "Invalid Month"
)</f>
        <v>Q1</v>
      </c>
      <c r="P452" t="str">
        <f>TEXT(Table1[[#This Row],[Last_Restock_Date]],"mmm")</f>
        <v>Feb</v>
      </c>
    </row>
    <row r="453" spans="1:16" x14ac:dyDescent="0.25">
      <c r="A453">
        <v>452</v>
      </c>
      <c r="B453" s="5" t="s">
        <v>40</v>
      </c>
      <c r="C453" s="5" t="s">
        <v>34</v>
      </c>
      <c r="D453" s="5" t="s">
        <v>30</v>
      </c>
      <c r="E453" s="5" t="s">
        <v>18</v>
      </c>
      <c r="F453" s="2">
        <v>288</v>
      </c>
      <c r="G453" s="3">
        <v>388.28</v>
      </c>
      <c r="H453">
        <v>69</v>
      </c>
      <c r="I453">
        <f>IF(Table1[[#This Row],[Status]]= "Sufficient",
     Table1[[#This Row],[Stock_Quantity]] - Table1[[#This Row],[Reorder_Level]],
     0)</f>
        <v>219</v>
      </c>
      <c r="J453" s="4">
        <v>45870</v>
      </c>
      <c r="K453" s="5" t="s">
        <v>14</v>
      </c>
      <c r="L453">
        <f>YEAR(Table1[[#This Row],[Last_Restock_Date]])</f>
        <v>2025</v>
      </c>
      <c r="M453" t="str">
        <f>_xlfn.CONCAT(TEXT(Table1[[#This Row],[Last_Restock_Date]],"mmm"), "-", YEAR(Table1[[#This Row],[Last_Restock_Date]]))</f>
        <v>Aug-2025</v>
      </c>
      <c r="N453">
        <f>MONTH(Table1[[#This Row],[Last_Restock_Date]])</f>
        <v>8</v>
      </c>
      <c r="O453" t="str" cm="1">
        <f t="array" ref="O453">_xlfn.SWITCH(Table1[[#This Row],[Month_Number]],
    1,"Q1",2,"Q1",3,"Q1",
    4,"Q2",5,"Q2",6,"Q2",
    7,"Q3",8,"Q3",9,"Q3",
    10,"Q4",11,"Q4",12,"Q4",
    "Invalid Month"
)</f>
        <v>Q3</v>
      </c>
      <c r="P453" t="str">
        <f>TEXT(Table1[[#This Row],[Last_Restock_Date]],"mmm")</f>
        <v>Aug</v>
      </c>
    </row>
    <row r="454" spans="1:16" x14ac:dyDescent="0.25">
      <c r="A454">
        <v>453</v>
      </c>
      <c r="B454" s="5" t="s">
        <v>45</v>
      </c>
      <c r="C454" s="5" t="s">
        <v>26</v>
      </c>
      <c r="D454" s="5" t="s">
        <v>21</v>
      </c>
      <c r="E454" s="5" t="s">
        <v>32</v>
      </c>
      <c r="F454" s="2">
        <v>73</v>
      </c>
      <c r="G454" s="3">
        <v>694.1</v>
      </c>
      <c r="H454">
        <v>85</v>
      </c>
      <c r="I454">
        <f>IF(Table1[[#This Row],[Status]]= "Sufficient",
     Table1[[#This Row],[Stock_Quantity]] - Table1[[#This Row],[Reorder_Level]],
     0)</f>
        <v>0</v>
      </c>
      <c r="J454" s="4">
        <v>44997</v>
      </c>
      <c r="K454" s="5" t="s">
        <v>28</v>
      </c>
      <c r="L454">
        <f>YEAR(Table1[[#This Row],[Last_Restock_Date]])</f>
        <v>2023</v>
      </c>
      <c r="M454" t="str">
        <f>_xlfn.CONCAT(TEXT(Table1[[#This Row],[Last_Restock_Date]],"mmm"), "-", YEAR(Table1[[#This Row],[Last_Restock_Date]]))</f>
        <v>Mar-2023</v>
      </c>
      <c r="N454">
        <f>MONTH(Table1[[#This Row],[Last_Restock_Date]])</f>
        <v>3</v>
      </c>
      <c r="O454" t="str" cm="1">
        <f t="array" ref="O454">_xlfn.SWITCH(Table1[[#This Row],[Month_Number]],
    1,"Q1",2,"Q1",3,"Q1",
    4,"Q2",5,"Q2",6,"Q2",
    7,"Q3",8,"Q3",9,"Q3",
    10,"Q4",11,"Q4",12,"Q4",
    "Invalid Month"
)</f>
        <v>Q1</v>
      </c>
      <c r="P454" t="str">
        <f>TEXT(Table1[[#This Row],[Last_Restock_Date]],"mmm")</f>
        <v>Mar</v>
      </c>
    </row>
    <row r="455" spans="1:16" x14ac:dyDescent="0.25">
      <c r="A455">
        <v>454</v>
      </c>
      <c r="B455" s="5" t="s">
        <v>47</v>
      </c>
      <c r="C455" s="5" t="s">
        <v>20</v>
      </c>
      <c r="D455" s="5" t="s">
        <v>21</v>
      </c>
      <c r="E455" s="5" t="s">
        <v>18</v>
      </c>
      <c r="F455" s="2">
        <v>110</v>
      </c>
      <c r="G455" s="3">
        <v>794.66</v>
      </c>
      <c r="H455">
        <v>58</v>
      </c>
      <c r="I455">
        <f>IF(Table1[[#This Row],[Status]]= "Sufficient",
     Table1[[#This Row],[Stock_Quantity]] - Table1[[#This Row],[Reorder_Level]],
     0)</f>
        <v>52</v>
      </c>
      <c r="J455" s="4">
        <v>45441</v>
      </c>
      <c r="K455" s="5" t="s">
        <v>14</v>
      </c>
      <c r="L455">
        <f>YEAR(Table1[[#This Row],[Last_Restock_Date]])</f>
        <v>2024</v>
      </c>
      <c r="M455" t="str">
        <f>_xlfn.CONCAT(TEXT(Table1[[#This Row],[Last_Restock_Date]],"mmm"), "-", YEAR(Table1[[#This Row],[Last_Restock_Date]]))</f>
        <v>May-2024</v>
      </c>
      <c r="N455">
        <f>MONTH(Table1[[#This Row],[Last_Restock_Date]])</f>
        <v>5</v>
      </c>
      <c r="O455" t="str" cm="1">
        <f t="array" ref="O455">_xlfn.SWITCH(Table1[[#This Row],[Month_Number]],
    1,"Q1",2,"Q1",3,"Q1",
    4,"Q2",5,"Q2",6,"Q2",
    7,"Q3",8,"Q3",9,"Q3",
    10,"Q4",11,"Q4",12,"Q4",
    "Invalid Month"
)</f>
        <v>Q2</v>
      </c>
      <c r="P455" t="str">
        <f>TEXT(Table1[[#This Row],[Last_Restock_Date]],"mmm")</f>
        <v>May</v>
      </c>
    </row>
    <row r="456" spans="1:16" x14ac:dyDescent="0.25">
      <c r="A456">
        <v>455</v>
      </c>
      <c r="B456" s="5" t="s">
        <v>25</v>
      </c>
      <c r="C456" s="5" t="s">
        <v>26</v>
      </c>
      <c r="D456" s="5" t="s">
        <v>24</v>
      </c>
      <c r="E456" s="5" t="s">
        <v>18</v>
      </c>
      <c r="F456" s="2">
        <v>322</v>
      </c>
      <c r="G456" s="3">
        <v>73.790000000000006</v>
      </c>
      <c r="H456">
        <v>106</v>
      </c>
      <c r="I456">
        <f>IF(Table1[[#This Row],[Status]]= "Sufficient",
     Table1[[#This Row],[Stock_Quantity]] - Table1[[#This Row],[Reorder_Level]],
     0)</f>
        <v>216</v>
      </c>
      <c r="J456" s="4">
        <v>45379</v>
      </c>
      <c r="K456" s="5" t="s">
        <v>14</v>
      </c>
      <c r="L456">
        <f>YEAR(Table1[[#This Row],[Last_Restock_Date]])</f>
        <v>2024</v>
      </c>
      <c r="M456" t="str">
        <f>_xlfn.CONCAT(TEXT(Table1[[#This Row],[Last_Restock_Date]],"mmm"), "-", YEAR(Table1[[#This Row],[Last_Restock_Date]]))</f>
        <v>Mar-2024</v>
      </c>
      <c r="N456">
        <f>MONTH(Table1[[#This Row],[Last_Restock_Date]])</f>
        <v>3</v>
      </c>
      <c r="O456" t="str" cm="1">
        <f t="array" ref="O456">_xlfn.SWITCH(Table1[[#This Row],[Month_Number]],
    1,"Q1",2,"Q1",3,"Q1",
    4,"Q2",5,"Q2",6,"Q2",
    7,"Q3",8,"Q3",9,"Q3",
    10,"Q4",11,"Q4",12,"Q4",
    "Invalid Month"
)</f>
        <v>Q1</v>
      </c>
      <c r="P456" t="str">
        <f>TEXT(Table1[[#This Row],[Last_Restock_Date]],"mmm")</f>
        <v>Mar</v>
      </c>
    </row>
    <row r="457" spans="1:16" x14ac:dyDescent="0.25">
      <c r="A457">
        <v>456</v>
      </c>
      <c r="B457" s="5" t="s">
        <v>10</v>
      </c>
      <c r="C457" s="5" t="s">
        <v>11</v>
      </c>
      <c r="D457" s="5" t="s">
        <v>12</v>
      </c>
      <c r="E457" s="5" t="s">
        <v>37</v>
      </c>
      <c r="F457" s="2">
        <v>206</v>
      </c>
      <c r="G457" s="3">
        <v>669.07</v>
      </c>
      <c r="H457">
        <v>85</v>
      </c>
      <c r="I457">
        <f>IF(Table1[[#This Row],[Status]]= "Sufficient",
     Table1[[#This Row],[Stock_Quantity]] - Table1[[#This Row],[Reorder_Level]],
     0)</f>
        <v>121</v>
      </c>
      <c r="J457" s="4">
        <v>45017</v>
      </c>
      <c r="K457" s="5" t="s">
        <v>14</v>
      </c>
      <c r="L457">
        <f>YEAR(Table1[[#This Row],[Last_Restock_Date]])</f>
        <v>2023</v>
      </c>
      <c r="M457" t="str">
        <f>_xlfn.CONCAT(TEXT(Table1[[#This Row],[Last_Restock_Date]],"mmm"), "-", YEAR(Table1[[#This Row],[Last_Restock_Date]]))</f>
        <v>Apr-2023</v>
      </c>
      <c r="N457">
        <f>MONTH(Table1[[#This Row],[Last_Restock_Date]])</f>
        <v>4</v>
      </c>
      <c r="O457" t="str" cm="1">
        <f t="array" ref="O457">_xlfn.SWITCH(Table1[[#This Row],[Month_Number]],
    1,"Q1",2,"Q1",3,"Q1",
    4,"Q2",5,"Q2",6,"Q2",
    7,"Q3",8,"Q3",9,"Q3",
    10,"Q4",11,"Q4",12,"Q4",
    "Invalid Month"
)</f>
        <v>Q2</v>
      </c>
      <c r="P457" t="str">
        <f>TEXT(Table1[[#This Row],[Last_Restock_Date]],"mmm")</f>
        <v>Apr</v>
      </c>
    </row>
    <row r="458" spans="1:16" x14ac:dyDescent="0.25">
      <c r="A458">
        <v>457</v>
      </c>
      <c r="B458" s="5" t="s">
        <v>36</v>
      </c>
      <c r="C458" s="5" t="s">
        <v>11</v>
      </c>
      <c r="D458" s="5" t="s">
        <v>24</v>
      </c>
      <c r="E458" s="5" t="s">
        <v>32</v>
      </c>
      <c r="F458" s="2">
        <v>494</v>
      </c>
      <c r="G458" s="3">
        <v>166.34</v>
      </c>
      <c r="H458">
        <v>144</v>
      </c>
      <c r="I458">
        <f>IF(Table1[[#This Row],[Status]]= "Sufficient",
     Table1[[#This Row],[Stock_Quantity]] - Table1[[#This Row],[Reorder_Level]],
     0)</f>
        <v>350</v>
      </c>
      <c r="J458" s="4">
        <v>45907</v>
      </c>
      <c r="K458" s="5" t="s">
        <v>14</v>
      </c>
      <c r="L458">
        <f>YEAR(Table1[[#This Row],[Last_Restock_Date]])</f>
        <v>2025</v>
      </c>
      <c r="M458" t="str">
        <f>_xlfn.CONCAT(TEXT(Table1[[#This Row],[Last_Restock_Date]],"mmm"), "-", YEAR(Table1[[#This Row],[Last_Restock_Date]]))</f>
        <v>Sep-2025</v>
      </c>
      <c r="N458">
        <f>MONTH(Table1[[#This Row],[Last_Restock_Date]])</f>
        <v>9</v>
      </c>
      <c r="O458" t="str" cm="1">
        <f t="array" ref="O458">_xlfn.SWITCH(Table1[[#This Row],[Month_Number]],
    1,"Q1",2,"Q1",3,"Q1",
    4,"Q2",5,"Q2",6,"Q2",
    7,"Q3",8,"Q3",9,"Q3",
    10,"Q4",11,"Q4",12,"Q4",
    "Invalid Month"
)</f>
        <v>Q3</v>
      </c>
      <c r="P458" t="str">
        <f>TEXT(Table1[[#This Row],[Last_Restock_Date]],"mmm")</f>
        <v>Sep</v>
      </c>
    </row>
    <row r="459" spans="1:16" x14ac:dyDescent="0.25">
      <c r="A459">
        <v>458</v>
      </c>
      <c r="B459" s="5" t="s">
        <v>50</v>
      </c>
      <c r="C459" s="5" t="s">
        <v>34</v>
      </c>
      <c r="D459" s="5" t="s">
        <v>17</v>
      </c>
      <c r="E459" s="5" t="s">
        <v>32</v>
      </c>
      <c r="F459" s="2">
        <v>236</v>
      </c>
      <c r="G459" s="3">
        <v>676.25</v>
      </c>
      <c r="H459">
        <v>100</v>
      </c>
      <c r="I459">
        <f>IF(Table1[[#This Row],[Status]]= "Sufficient",
     Table1[[#This Row],[Stock_Quantity]] - Table1[[#This Row],[Reorder_Level]],
     0)</f>
        <v>136</v>
      </c>
      <c r="J459" s="4">
        <v>45426</v>
      </c>
      <c r="K459" s="5" t="s">
        <v>14</v>
      </c>
      <c r="L459">
        <f>YEAR(Table1[[#This Row],[Last_Restock_Date]])</f>
        <v>2024</v>
      </c>
      <c r="M459" t="str">
        <f>_xlfn.CONCAT(TEXT(Table1[[#This Row],[Last_Restock_Date]],"mmm"), "-", YEAR(Table1[[#This Row],[Last_Restock_Date]]))</f>
        <v>May-2024</v>
      </c>
      <c r="N459">
        <f>MONTH(Table1[[#This Row],[Last_Restock_Date]])</f>
        <v>5</v>
      </c>
      <c r="O459" t="str" cm="1">
        <f t="array" ref="O459">_xlfn.SWITCH(Table1[[#This Row],[Month_Number]],
    1,"Q1",2,"Q1",3,"Q1",
    4,"Q2",5,"Q2",6,"Q2",
    7,"Q3",8,"Q3",9,"Q3",
    10,"Q4",11,"Q4",12,"Q4",
    "Invalid Month"
)</f>
        <v>Q2</v>
      </c>
      <c r="P459" t="str">
        <f>TEXT(Table1[[#This Row],[Last_Restock_Date]],"mmm")</f>
        <v>May</v>
      </c>
    </row>
    <row r="460" spans="1:16" x14ac:dyDescent="0.25">
      <c r="A460">
        <v>459</v>
      </c>
      <c r="B460" s="5" t="s">
        <v>50</v>
      </c>
      <c r="C460" s="5" t="s">
        <v>34</v>
      </c>
      <c r="D460" s="5" t="s">
        <v>30</v>
      </c>
      <c r="E460" s="5" t="s">
        <v>32</v>
      </c>
      <c r="F460" s="2">
        <v>114</v>
      </c>
      <c r="G460" s="3">
        <v>111.14</v>
      </c>
      <c r="H460">
        <v>130</v>
      </c>
      <c r="I460">
        <f>IF(Table1[[#This Row],[Status]]= "Sufficient",
     Table1[[#This Row],[Stock_Quantity]] - Table1[[#This Row],[Reorder_Level]],
     0)</f>
        <v>0</v>
      </c>
      <c r="J460" s="4">
        <v>44993</v>
      </c>
      <c r="K460" s="5" t="s">
        <v>28</v>
      </c>
      <c r="L460">
        <f>YEAR(Table1[[#This Row],[Last_Restock_Date]])</f>
        <v>2023</v>
      </c>
      <c r="M460" t="str">
        <f>_xlfn.CONCAT(TEXT(Table1[[#This Row],[Last_Restock_Date]],"mmm"), "-", YEAR(Table1[[#This Row],[Last_Restock_Date]]))</f>
        <v>Mar-2023</v>
      </c>
      <c r="N460">
        <f>MONTH(Table1[[#This Row],[Last_Restock_Date]])</f>
        <v>3</v>
      </c>
      <c r="O460" t="str" cm="1">
        <f t="array" ref="O460">_xlfn.SWITCH(Table1[[#This Row],[Month_Number]],
    1,"Q1",2,"Q1",3,"Q1",
    4,"Q2",5,"Q2",6,"Q2",
    7,"Q3",8,"Q3",9,"Q3",
    10,"Q4",11,"Q4",12,"Q4",
    "Invalid Month"
)</f>
        <v>Q1</v>
      </c>
      <c r="P460" t="str">
        <f>TEXT(Table1[[#This Row],[Last_Restock_Date]],"mmm")</f>
        <v>Mar</v>
      </c>
    </row>
    <row r="461" spans="1:16" x14ac:dyDescent="0.25">
      <c r="A461">
        <v>460</v>
      </c>
      <c r="B461" s="5" t="s">
        <v>43</v>
      </c>
      <c r="C461" s="5" t="s">
        <v>26</v>
      </c>
      <c r="D461" s="5" t="s">
        <v>21</v>
      </c>
      <c r="E461" s="5" t="s">
        <v>18</v>
      </c>
      <c r="F461" s="2">
        <v>50</v>
      </c>
      <c r="G461" s="3">
        <v>23.16</v>
      </c>
      <c r="H461">
        <v>142</v>
      </c>
      <c r="I461">
        <f>IF(Table1[[#This Row],[Status]]= "Sufficient",
     Table1[[#This Row],[Stock_Quantity]] - Table1[[#This Row],[Reorder_Level]],
     0)</f>
        <v>0</v>
      </c>
      <c r="J461" s="4">
        <v>45937</v>
      </c>
      <c r="K461" s="5" t="s">
        <v>28</v>
      </c>
      <c r="L461">
        <f>YEAR(Table1[[#This Row],[Last_Restock_Date]])</f>
        <v>2025</v>
      </c>
      <c r="M461" t="str">
        <f>_xlfn.CONCAT(TEXT(Table1[[#This Row],[Last_Restock_Date]],"mmm"), "-", YEAR(Table1[[#This Row],[Last_Restock_Date]]))</f>
        <v>Oct-2025</v>
      </c>
      <c r="N461">
        <f>MONTH(Table1[[#This Row],[Last_Restock_Date]])</f>
        <v>10</v>
      </c>
      <c r="O461" t="str" cm="1">
        <f t="array" ref="O461">_xlfn.SWITCH(Table1[[#This Row],[Month_Number]],
    1,"Q1",2,"Q1",3,"Q1",
    4,"Q2",5,"Q2",6,"Q2",
    7,"Q3",8,"Q3",9,"Q3",
    10,"Q4",11,"Q4",12,"Q4",
    "Invalid Month"
)</f>
        <v>Q4</v>
      </c>
      <c r="P461" t="str">
        <f>TEXT(Table1[[#This Row],[Last_Restock_Date]],"mmm")</f>
        <v>Oct</v>
      </c>
    </row>
    <row r="462" spans="1:16" x14ac:dyDescent="0.25">
      <c r="A462">
        <v>461</v>
      </c>
      <c r="B462" s="5" t="s">
        <v>19</v>
      </c>
      <c r="C462" s="5" t="s">
        <v>20</v>
      </c>
      <c r="D462" s="5" t="s">
        <v>21</v>
      </c>
      <c r="E462" s="5" t="s">
        <v>27</v>
      </c>
      <c r="F462" s="2">
        <v>438</v>
      </c>
      <c r="G462" s="3">
        <v>190.69</v>
      </c>
      <c r="H462">
        <v>122</v>
      </c>
      <c r="I462">
        <f>IF(Table1[[#This Row],[Status]]= "Sufficient",
     Table1[[#This Row],[Stock_Quantity]] - Table1[[#This Row],[Reorder_Level]],
     0)</f>
        <v>316</v>
      </c>
      <c r="J462" s="4">
        <v>45723</v>
      </c>
      <c r="K462" s="5" t="s">
        <v>14</v>
      </c>
      <c r="L462">
        <f>YEAR(Table1[[#This Row],[Last_Restock_Date]])</f>
        <v>2025</v>
      </c>
      <c r="M462" t="str">
        <f>_xlfn.CONCAT(TEXT(Table1[[#This Row],[Last_Restock_Date]],"mmm"), "-", YEAR(Table1[[#This Row],[Last_Restock_Date]]))</f>
        <v>Mar-2025</v>
      </c>
      <c r="N462">
        <f>MONTH(Table1[[#This Row],[Last_Restock_Date]])</f>
        <v>3</v>
      </c>
      <c r="O462" t="str" cm="1">
        <f t="array" ref="O462">_xlfn.SWITCH(Table1[[#This Row],[Month_Number]],
    1,"Q1",2,"Q1",3,"Q1",
    4,"Q2",5,"Q2",6,"Q2",
    7,"Q3",8,"Q3",9,"Q3",
    10,"Q4",11,"Q4",12,"Q4",
    "Invalid Month"
)</f>
        <v>Q1</v>
      </c>
      <c r="P462" t="str">
        <f>TEXT(Table1[[#This Row],[Last_Restock_Date]],"mmm")</f>
        <v>Mar</v>
      </c>
    </row>
    <row r="463" spans="1:16" x14ac:dyDescent="0.25">
      <c r="A463">
        <v>462</v>
      </c>
      <c r="B463" s="5" t="s">
        <v>35</v>
      </c>
      <c r="C463" s="5" t="s">
        <v>11</v>
      </c>
      <c r="D463" s="5" t="s">
        <v>17</v>
      </c>
      <c r="E463" s="5" t="s">
        <v>27</v>
      </c>
      <c r="F463" s="2">
        <v>26</v>
      </c>
      <c r="G463" s="3">
        <v>15.8</v>
      </c>
      <c r="H463">
        <v>95</v>
      </c>
      <c r="I463">
        <f>IF(Table1[[#This Row],[Status]]= "Sufficient",
     Table1[[#This Row],[Stock_Quantity]] - Table1[[#This Row],[Reorder_Level]],
     0)</f>
        <v>0</v>
      </c>
      <c r="J463" s="4">
        <v>45439</v>
      </c>
      <c r="K463" s="5" t="s">
        <v>28</v>
      </c>
      <c r="L463">
        <f>YEAR(Table1[[#This Row],[Last_Restock_Date]])</f>
        <v>2024</v>
      </c>
      <c r="M463" t="str">
        <f>_xlfn.CONCAT(TEXT(Table1[[#This Row],[Last_Restock_Date]],"mmm"), "-", YEAR(Table1[[#This Row],[Last_Restock_Date]]))</f>
        <v>May-2024</v>
      </c>
      <c r="N463">
        <f>MONTH(Table1[[#This Row],[Last_Restock_Date]])</f>
        <v>5</v>
      </c>
      <c r="O463" t="str" cm="1">
        <f t="array" ref="O463">_xlfn.SWITCH(Table1[[#This Row],[Month_Number]],
    1,"Q1",2,"Q1",3,"Q1",
    4,"Q2",5,"Q2",6,"Q2",
    7,"Q3",8,"Q3",9,"Q3",
    10,"Q4",11,"Q4",12,"Q4",
    "Invalid Month"
)</f>
        <v>Q2</v>
      </c>
      <c r="P463" t="str">
        <f>TEXT(Table1[[#This Row],[Last_Restock_Date]],"mmm")</f>
        <v>May</v>
      </c>
    </row>
    <row r="464" spans="1:16" x14ac:dyDescent="0.25">
      <c r="A464">
        <v>463</v>
      </c>
      <c r="B464" s="5" t="s">
        <v>42</v>
      </c>
      <c r="C464" s="5" t="s">
        <v>16</v>
      </c>
      <c r="D464" s="5" t="s">
        <v>12</v>
      </c>
      <c r="E464" s="5" t="s">
        <v>13</v>
      </c>
      <c r="F464" s="2">
        <v>23</v>
      </c>
      <c r="G464" s="3">
        <v>537.70000000000005</v>
      </c>
      <c r="H464">
        <v>104</v>
      </c>
      <c r="I464">
        <f>IF(Table1[[#This Row],[Status]]= "Sufficient",
     Table1[[#This Row],[Stock_Quantity]] - Table1[[#This Row],[Reorder_Level]],
     0)</f>
        <v>0</v>
      </c>
      <c r="J464" s="4">
        <v>45881</v>
      </c>
      <c r="K464" s="5" t="s">
        <v>28</v>
      </c>
      <c r="L464">
        <f>YEAR(Table1[[#This Row],[Last_Restock_Date]])</f>
        <v>2025</v>
      </c>
      <c r="M464" t="str">
        <f>_xlfn.CONCAT(TEXT(Table1[[#This Row],[Last_Restock_Date]],"mmm"), "-", YEAR(Table1[[#This Row],[Last_Restock_Date]]))</f>
        <v>Aug-2025</v>
      </c>
      <c r="N464">
        <f>MONTH(Table1[[#This Row],[Last_Restock_Date]])</f>
        <v>8</v>
      </c>
      <c r="O464" t="str" cm="1">
        <f t="array" ref="O464">_xlfn.SWITCH(Table1[[#This Row],[Month_Number]],
    1,"Q1",2,"Q1",3,"Q1",
    4,"Q2",5,"Q2",6,"Q2",
    7,"Q3",8,"Q3",9,"Q3",
    10,"Q4",11,"Q4",12,"Q4",
    "Invalid Month"
)</f>
        <v>Q3</v>
      </c>
      <c r="P464" t="str">
        <f>TEXT(Table1[[#This Row],[Last_Restock_Date]],"mmm")</f>
        <v>Aug</v>
      </c>
    </row>
    <row r="465" spans="1:16" x14ac:dyDescent="0.25">
      <c r="A465">
        <v>464</v>
      </c>
      <c r="B465" s="5" t="s">
        <v>23</v>
      </c>
      <c r="C465" s="5" t="s">
        <v>20</v>
      </c>
      <c r="D465" s="5" t="s">
        <v>30</v>
      </c>
      <c r="E465" s="5" t="s">
        <v>18</v>
      </c>
      <c r="F465" s="2">
        <v>474</v>
      </c>
      <c r="G465" s="3">
        <v>195.36</v>
      </c>
      <c r="H465">
        <v>112</v>
      </c>
      <c r="I465">
        <f>IF(Table1[[#This Row],[Status]]= "Sufficient",
     Table1[[#This Row],[Stock_Quantity]] - Table1[[#This Row],[Reorder_Level]],
     0)</f>
        <v>362</v>
      </c>
      <c r="J465" s="4">
        <v>45035</v>
      </c>
      <c r="K465" s="5" t="s">
        <v>14</v>
      </c>
      <c r="L465">
        <f>YEAR(Table1[[#This Row],[Last_Restock_Date]])</f>
        <v>2023</v>
      </c>
      <c r="M465" t="str">
        <f>_xlfn.CONCAT(TEXT(Table1[[#This Row],[Last_Restock_Date]],"mmm"), "-", YEAR(Table1[[#This Row],[Last_Restock_Date]]))</f>
        <v>Apr-2023</v>
      </c>
      <c r="N465">
        <f>MONTH(Table1[[#This Row],[Last_Restock_Date]])</f>
        <v>4</v>
      </c>
      <c r="O465" t="str" cm="1">
        <f t="array" ref="O465">_xlfn.SWITCH(Table1[[#This Row],[Month_Number]],
    1,"Q1",2,"Q1",3,"Q1",
    4,"Q2",5,"Q2",6,"Q2",
    7,"Q3",8,"Q3",9,"Q3",
    10,"Q4",11,"Q4",12,"Q4",
    "Invalid Month"
)</f>
        <v>Q2</v>
      </c>
      <c r="P465" t="str">
        <f>TEXT(Table1[[#This Row],[Last_Restock_Date]],"mmm")</f>
        <v>Apr</v>
      </c>
    </row>
    <row r="466" spans="1:16" x14ac:dyDescent="0.25">
      <c r="A466">
        <v>465</v>
      </c>
      <c r="B466" s="5" t="s">
        <v>49</v>
      </c>
      <c r="C466" s="5" t="s">
        <v>16</v>
      </c>
      <c r="D466" s="5" t="s">
        <v>30</v>
      </c>
      <c r="E466" s="5" t="s">
        <v>27</v>
      </c>
      <c r="F466" s="2">
        <v>209</v>
      </c>
      <c r="G466" s="3">
        <v>548.16</v>
      </c>
      <c r="H466">
        <v>91</v>
      </c>
      <c r="I466">
        <f>IF(Table1[[#This Row],[Status]]= "Sufficient",
     Table1[[#This Row],[Stock_Quantity]] - Table1[[#This Row],[Reorder_Level]],
     0)</f>
        <v>118</v>
      </c>
      <c r="J466" s="4">
        <v>45631</v>
      </c>
      <c r="K466" s="5" t="s">
        <v>14</v>
      </c>
      <c r="L466">
        <f>YEAR(Table1[[#This Row],[Last_Restock_Date]])</f>
        <v>2024</v>
      </c>
      <c r="M466" t="str">
        <f>_xlfn.CONCAT(TEXT(Table1[[#This Row],[Last_Restock_Date]],"mmm"), "-", YEAR(Table1[[#This Row],[Last_Restock_Date]]))</f>
        <v>Dec-2024</v>
      </c>
      <c r="N466">
        <f>MONTH(Table1[[#This Row],[Last_Restock_Date]])</f>
        <v>12</v>
      </c>
      <c r="O466" t="str" cm="1">
        <f t="array" ref="O466">_xlfn.SWITCH(Table1[[#This Row],[Month_Number]],
    1,"Q1",2,"Q1",3,"Q1",
    4,"Q2",5,"Q2",6,"Q2",
    7,"Q3",8,"Q3",9,"Q3",
    10,"Q4",11,"Q4",12,"Q4",
    "Invalid Month"
)</f>
        <v>Q4</v>
      </c>
      <c r="P466" t="str">
        <f>TEXT(Table1[[#This Row],[Last_Restock_Date]],"mmm")</f>
        <v>Dec</v>
      </c>
    </row>
    <row r="467" spans="1:16" x14ac:dyDescent="0.25">
      <c r="A467">
        <v>466</v>
      </c>
      <c r="B467" s="5" t="s">
        <v>36</v>
      </c>
      <c r="C467" s="5" t="s">
        <v>11</v>
      </c>
      <c r="D467" s="5" t="s">
        <v>17</v>
      </c>
      <c r="E467" s="5" t="s">
        <v>27</v>
      </c>
      <c r="F467" s="2">
        <v>162</v>
      </c>
      <c r="G467" s="3">
        <v>583.89</v>
      </c>
      <c r="H467">
        <v>55</v>
      </c>
      <c r="I467">
        <f>IF(Table1[[#This Row],[Status]]= "Sufficient",
     Table1[[#This Row],[Stock_Quantity]] - Table1[[#This Row],[Reorder_Level]],
     0)</f>
        <v>107</v>
      </c>
      <c r="J467" s="4">
        <v>45132</v>
      </c>
      <c r="K467" s="5" t="s">
        <v>14</v>
      </c>
      <c r="L467">
        <f>YEAR(Table1[[#This Row],[Last_Restock_Date]])</f>
        <v>2023</v>
      </c>
      <c r="M467" t="str">
        <f>_xlfn.CONCAT(TEXT(Table1[[#This Row],[Last_Restock_Date]],"mmm"), "-", YEAR(Table1[[#This Row],[Last_Restock_Date]]))</f>
        <v>Jul-2023</v>
      </c>
      <c r="N467">
        <f>MONTH(Table1[[#This Row],[Last_Restock_Date]])</f>
        <v>7</v>
      </c>
      <c r="O467" t="str" cm="1">
        <f t="array" ref="O467">_xlfn.SWITCH(Table1[[#This Row],[Month_Number]],
    1,"Q1",2,"Q1",3,"Q1",
    4,"Q2",5,"Q2",6,"Q2",
    7,"Q3",8,"Q3",9,"Q3",
    10,"Q4",11,"Q4",12,"Q4",
    "Invalid Month"
)</f>
        <v>Q3</v>
      </c>
      <c r="P467" t="str">
        <f>TEXT(Table1[[#This Row],[Last_Restock_Date]],"mmm")</f>
        <v>Jul</v>
      </c>
    </row>
    <row r="468" spans="1:16" x14ac:dyDescent="0.25">
      <c r="A468">
        <v>467</v>
      </c>
      <c r="B468" s="5" t="s">
        <v>29</v>
      </c>
      <c r="C468" s="5" t="s">
        <v>16</v>
      </c>
      <c r="D468" s="5" t="s">
        <v>17</v>
      </c>
      <c r="E468" s="5" t="s">
        <v>32</v>
      </c>
      <c r="F468" s="2">
        <v>367</v>
      </c>
      <c r="G468" s="3">
        <v>50.31</v>
      </c>
      <c r="H468">
        <v>52</v>
      </c>
      <c r="I468">
        <f>IF(Table1[[#This Row],[Status]]= "Sufficient",
     Table1[[#This Row],[Stock_Quantity]] - Table1[[#This Row],[Reorder_Level]],
     0)</f>
        <v>315</v>
      </c>
      <c r="J468" s="4">
        <v>44939</v>
      </c>
      <c r="K468" s="5" t="s">
        <v>14</v>
      </c>
      <c r="L468">
        <f>YEAR(Table1[[#This Row],[Last_Restock_Date]])</f>
        <v>2023</v>
      </c>
      <c r="M468" t="str">
        <f>_xlfn.CONCAT(TEXT(Table1[[#This Row],[Last_Restock_Date]],"mmm"), "-", YEAR(Table1[[#This Row],[Last_Restock_Date]]))</f>
        <v>Jan-2023</v>
      </c>
      <c r="N468">
        <f>MONTH(Table1[[#This Row],[Last_Restock_Date]])</f>
        <v>1</v>
      </c>
      <c r="O468" t="str" cm="1">
        <f t="array" ref="O468">_xlfn.SWITCH(Table1[[#This Row],[Month_Number]],
    1,"Q1",2,"Q1",3,"Q1",
    4,"Q2",5,"Q2",6,"Q2",
    7,"Q3",8,"Q3",9,"Q3",
    10,"Q4",11,"Q4",12,"Q4",
    "Invalid Month"
)</f>
        <v>Q1</v>
      </c>
      <c r="P468" t="str">
        <f>TEXT(Table1[[#This Row],[Last_Restock_Date]],"mmm")</f>
        <v>Jan</v>
      </c>
    </row>
    <row r="469" spans="1:16" x14ac:dyDescent="0.25">
      <c r="A469">
        <v>468</v>
      </c>
      <c r="B469" s="5" t="s">
        <v>15</v>
      </c>
      <c r="C469" s="5" t="s">
        <v>16</v>
      </c>
      <c r="D469" s="5" t="s">
        <v>24</v>
      </c>
      <c r="E469" s="5" t="s">
        <v>32</v>
      </c>
      <c r="F469" s="2">
        <v>368</v>
      </c>
      <c r="G469" s="3">
        <v>187.72</v>
      </c>
      <c r="H469">
        <v>96</v>
      </c>
      <c r="I469">
        <f>IF(Table1[[#This Row],[Status]]= "Sufficient",
     Table1[[#This Row],[Stock_Quantity]] - Table1[[#This Row],[Reorder_Level]],
     0)</f>
        <v>272</v>
      </c>
      <c r="J469" s="4">
        <v>45943</v>
      </c>
      <c r="K469" s="5" t="s">
        <v>14</v>
      </c>
      <c r="L469">
        <f>YEAR(Table1[[#This Row],[Last_Restock_Date]])</f>
        <v>2025</v>
      </c>
      <c r="M469" t="str">
        <f>_xlfn.CONCAT(TEXT(Table1[[#This Row],[Last_Restock_Date]],"mmm"), "-", YEAR(Table1[[#This Row],[Last_Restock_Date]]))</f>
        <v>Oct-2025</v>
      </c>
      <c r="N469">
        <f>MONTH(Table1[[#This Row],[Last_Restock_Date]])</f>
        <v>10</v>
      </c>
      <c r="O469" t="str" cm="1">
        <f t="array" ref="O469">_xlfn.SWITCH(Table1[[#This Row],[Month_Number]],
    1,"Q1",2,"Q1",3,"Q1",
    4,"Q2",5,"Q2",6,"Q2",
    7,"Q3",8,"Q3",9,"Q3",
    10,"Q4",11,"Q4",12,"Q4",
    "Invalid Month"
)</f>
        <v>Q4</v>
      </c>
      <c r="P469" t="str">
        <f>TEXT(Table1[[#This Row],[Last_Restock_Date]],"mmm")</f>
        <v>Oct</v>
      </c>
    </row>
    <row r="470" spans="1:16" x14ac:dyDescent="0.25">
      <c r="A470">
        <v>469</v>
      </c>
      <c r="B470" s="5" t="s">
        <v>46</v>
      </c>
      <c r="C470" s="5" t="s">
        <v>34</v>
      </c>
      <c r="D470" s="5" t="s">
        <v>21</v>
      </c>
      <c r="E470" s="5" t="s">
        <v>39</v>
      </c>
      <c r="F470" s="2">
        <v>186</v>
      </c>
      <c r="G470" s="3">
        <v>428.31</v>
      </c>
      <c r="H470">
        <v>68</v>
      </c>
      <c r="I470">
        <f>IF(Table1[[#This Row],[Status]]= "Sufficient",
     Table1[[#This Row],[Stock_Quantity]] - Table1[[#This Row],[Reorder_Level]],
     0)</f>
        <v>118</v>
      </c>
      <c r="J470" s="4">
        <v>45087</v>
      </c>
      <c r="K470" s="5" t="s">
        <v>14</v>
      </c>
      <c r="L470">
        <f>YEAR(Table1[[#This Row],[Last_Restock_Date]])</f>
        <v>2023</v>
      </c>
      <c r="M470" t="str">
        <f>_xlfn.CONCAT(TEXT(Table1[[#This Row],[Last_Restock_Date]],"mmm"), "-", YEAR(Table1[[#This Row],[Last_Restock_Date]]))</f>
        <v>Jun-2023</v>
      </c>
      <c r="N470">
        <f>MONTH(Table1[[#This Row],[Last_Restock_Date]])</f>
        <v>6</v>
      </c>
      <c r="O470" t="str" cm="1">
        <f t="array" ref="O470">_xlfn.SWITCH(Table1[[#This Row],[Month_Number]],
    1,"Q1",2,"Q1",3,"Q1",
    4,"Q2",5,"Q2",6,"Q2",
    7,"Q3",8,"Q3",9,"Q3",
    10,"Q4",11,"Q4",12,"Q4",
    "Invalid Month"
)</f>
        <v>Q2</v>
      </c>
      <c r="P470" t="str">
        <f>TEXT(Table1[[#This Row],[Last_Restock_Date]],"mmm")</f>
        <v>Jun</v>
      </c>
    </row>
    <row r="471" spans="1:16" x14ac:dyDescent="0.25">
      <c r="A471">
        <v>470</v>
      </c>
      <c r="B471" s="5" t="s">
        <v>45</v>
      </c>
      <c r="C471" s="5" t="s">
        <v>26</v>
      </c>
      <c r="D471" s="5" t="s">
        <v>17</v>
      </c>
      <c r="E471" s="5" t="s">
        <v>13</v>
      </c>
      <c r="F471" s="2">
        <v>204</v>
      </c>
      <c r="G471" s="3">
        <v>78.040000000000006</v>
      </c>
      <c r="H471">
        <v>144</v>
      </c>
      <c r="I471">
        <f>IF(Table1[[#This Row],[Status]]= "Sufficient",
     Table1[[#This Row],[Stock_Quantity]] - Table1[[#This Row],[Reorder_Level]],
     0)</f>
        <v>60</v>
      </c>
      <c r="J471" s="4">
        <v>45506</v>
      </c>
      <c r="K471" s="5" t="s">
        <v>14</v>
      </c>
      <c r="L471">
        <f>YEAR(Table1[[#This Row],[Last_Restock_Date]])</f>
        <v>2024</v>
      </c>
      <c r="M471" t="str">
        <f>_xlfn.CONCAT(TEXT(Table1[[#This Row],[Last_Restock_Date]],"mmm"), "-", YEAR(Table1[[#This Row],[Last_Restock_Date]]))</f>
        <v>Aug-2024</v>
      </c>
      <c r="N471">
        <f>MONTH(Table1[[#This Row],[Last_Restock_Date]])</f>
        <v>8</v>
      </c>
      <c r="O471" t="str" cm="1">
        <f t="array" ref="O471">_xlfn.SWITCH(Table1[[#This Row],[Month_Number]],
    1,"Q1",2,"Q1",3,"Q1",
    4,"Q2",5,"Q2",6,"Q2",
    7,"Q3",8,"Q3",9,"Q3",
    10,"Q4",11,"Q4",12,"Q4",
    "Invalid Month"
)</f>
        <v>Q3</v>
      </c>
      <c r="P471" t="str">
        <f>TEXT(Table1[[#This Row],[Last_Restock_Date]],"mmm")</f>
        <v>Aug</v>
      </c>
    </row>
    <row r="472" spans="1:16" x14ac:dyDescent="0.25">
      <c r="A472">
        <v>471</v>
      </c>
      <c r="B472" s="5" t="s">
        <v>51</v>
      </c>
      <c r="C472" s="5" t="s">
        <v>11</v>
      </c>
      <c r="D472" s="5" t="s">
        <v>24</v>
      </c>
      <c r="E472" s="5" t="s">
        <v>13</v>
      </c>
      <c r="F472" s="2">
        <v>110</v>
      </c>
      <c r="G472" s="3">
        <v>25.14</v>
      </c>
      <c r="H472">
        <v>63</v>
      </c>
      <c r="I472">
        <f>IF(Table1[[#This Row],[Status]]= "Sufficient",
     Table1[[#This Row],[Stock_Quantity]] - Table1[[#This Row],[Reorder_Level]],
     0)</f>
        <v>47</v>
      </c>
      <c r="J472" s="4">
        <v>44933</v>
      </c>
      <c r="K472" s="5" t="s">
        <v>14</v>
      </c>
      <c r="L472">
        <f>YEAR(Table1[[#This Row],[Last_Restock_Date]])</f>
        <v>2023</v>
      </c>
      <c r="M472" t="str">
        <f>_xlfn.CONCAT(TEXT(Table1[[#This Row],[Last_Restock_Date]],"mmm"), "-", YEAR(Table1[[#This Row],[Last_Restock_Date]]))</f>
        <v>Jan-2023</v>
      </c>
      <c r="N472">
        <f>MONTH(Table1[[#This Row],[Last_Restock_Date]])</f>
        <v>1</v>
      </c>
      <c r="O472" t="str" cm="1">
        <f t="array" ref="O472">_xlfn.SWITCH(Table1[[#This Row],[Month_Number]],
    1,"Q1",2,"Q1",3,"Q1",
    4,"Q2",5,"Q2",6,"Q2",
    7,"Q3",8,"Q3",9,"Q3",
    10,"Q4",11,"Q4",12,"Q4",
    "Invalid Month"
)</f>
        <v>Q1</v>
      </c>
      <c r="P472" t="str">
        <f>TEXT(Table1[[#This Row],[Last_Restock_Date]],"mmm")</f>
        <v>Jan</v>
      </c>
    </row>
    <row r="473" spans="1:16" x14ac:dyDescent="0.25">
      <c r="A473">
        <v>472</v>
      </c>
      <c r="B473" s="5" t="s">
        <v>40</v>
      </c>
      <c r="C473" s="5" t="s">
        <v>34</v>
      </c>
      <c r="D473" s="5" t="s">
        <v>30</v>
      </c>
      <c r="E473" s="5" t="s">
        <v>13</v>
      </c>
      <c r="F473" s="2">
        <v>56</v>
      </c>
      <c r="G473" s="3">
        <v>324.68</v>
      </c>
      <c r="H473">
        <v>60</v>
      </c>
      <c r="I473">
        <f>IF(Table1[[#This Row],[Status]]= "Sufficient",
     Table1[[#This Row],[Stock_Quantity]] - Table1[[#This Row],[Reorder_Level]],
     0)</f>
        <v>0</v>
      </c>
      <c r="J473" s="4">
        <v>45469</v>
      </c>
      <c r="K473" s="5" t="s">
        <v>28</v>
      </c>
      <c r="L473">
        <f>YEAR(Table1[[#This Row],[Last_Restock_Date]])</f>
        <v>2024</v>
      </c>
      <c r="M473" t="str">
        <f>_xlfn.CONCAT(TEXT(Table1[[#This Row],[Last_Restock_Date]],"mmm"), "-", YEAR(Table1[[#This Row],[Last_Restock_Date]]))</f>
        <v>Jun-2024</v>
      </c>
      <c r="N473">
        <f>MONTH(Table1[[#This Row],[Last_Restock_Date]])</f>
        <v>6</v>
      </c>
      <c r="O473" t="str" cm="1">
        <f t="array" ref="O473">_xlfn.SWITCH(Table1[[#This Row],[Month_Number]],
    1,"Q1",2,"Q1",3,"Q1",
    4,"Q2",5,"Q2",6,"Q2",
    7,"Q3",8,"Q3",9,"Q3",
    10,"Q4",11,"Q4",12,"Q4",
    "Invalid Month"
)</f>
        <v>Q2</v>
      </c>
      <c r="P473" t="str">
        <f>TEXT(Table1[[#This Row],[Last_Restock_Date]],"mmm")</f>
        <v>Jun</v>
      </c>
    </row>
    <row r="474" spans="1:16" x14ac:dyDescent="0.25">
      <c r="A474">
        <v>473</v>
      </c>
      <c r="B474" s="5" t="s">
        <v>36</v>
      </c>
      <c r="C474" s="5" t="s">
        <v>11</v>
      </c>
      <c r="D474" s="5" t="s">
        <v>30</v>
      </c>
      <c r="E474" s="5" t="s">
        <v>39</v>
      </c>
      <c r="F474" s="2">
        <v>16</v>
      </c>
      <c r="G474" s="3">
        <v>66.599999999999994</v>
      </c>
      <c r="H474">
        <v>102</v>
      </c>
      <c r="I474">
        <f>IF(Table1[[#This Row],[Status]]= "Sufficient",
     Table1[[#This Row],[Stock_Quantity]] - Table1[[#This Row],[Reorder_Level]],
     0)</f>
        <v>0</v>
      </c>
      <c r="J474" s="4">
        <v>45460</v>
      </c>
      <c r="K474" s="5" t="s">
        <v>28</v>
      </c>
      <c r="L474">
        <f>YEAR(Table1[[#This Row],[Last_Restock_Date]])</f>
        <v>2024</v>
      </c>
      <c r="M474" t="str">
        <f>_xlfn.CONCAT(TEXT(Table1[[#This Row],[Last_Restock_Date]],"mmm"), "-", YEAR(Table1[[#This Row],[Last_Restock_Date]]))</f>
        <v>Jun-2024</v>
      </c>
      <c r="N474">
        <f>MONTH(Table1[[#This Row],[Last_Restock_Date]])</f>
        <v>6</v>
      </c>
      <c r="O474" t="str" cm="1">
        <f t="array" ref="O474">_xlfn.SWITCH(Table1[[#This Row],[Month_Number]],
    1,"Q1",2,"Q1",3,"Q1",
    4,"Q2",5,"Q2",6,"Q2",
    7,"Q3",8,"Q3",9,"Q3",
    10,"Q4",11,"Q4",12,"Q4",
    "Invalid Month"
)</f>
        <v>Q2</v>
      </c>
      <c r="P474" t="str">
        <f>TEXT(Table1[[#This Row],[Last_Restock_Date]],"mmm")</f>
        <v>Jun</v>
      </c>
    </row>
    <row r="475" spans="1:16" x14ac:dyDescent="0.25">
      <c r="A475">
        <v>474</v>
      </c>
      <c r="B475" s="5" t="s">
        <v>22</v>
      </c>
      <c r="C475" s="5" t="s">
        <v>11</v>
      </c>
      <c r="D475" s="5" t="s">
        <v>24</v>
      </c>
      <c r="E475" s="5" t="s">
        <v>18</v>
      </c>
      <c r="F475" s="2">
        <v>51</v>
      </c>
      <c r="G475" s="3">
        <v>732.07</v>
      </c>
      <c r="H475">
        <v>55</v>
      </c>
      <c r="I475">
        <f>IF(Table1[[#This Row],[Status]]= "Sufficient",
     Table1[[#This Row],[Stock_Quantity]] - Table1[[#This Row],[Reorder_Level]],
     0)</f>
        <v>0</v>
      </c>
      <c r="J475" s="4">
        <v>45968</v>
      </c>
      <c r="K475" s="5" t="s">
        <v>28</v>
      </c>
      <c r="L475">
        <f>YEAR(Table1[[#This Row],[Last_Restock_Date]])</f>
        <v>2025</v>
      </c>
      <c r="M475" t="str">
        <f>_xlfn.CONCAT(TEXT(Table1[[#This Row],[Last_Restock_Date]],"mmm"), "-", YEAR(Table1[[#This Row],[Last_Restock_Date]]))</f>
        <v>Nov-2025</v>
      </c>
      <c r="N475">
        <f>MONTH(Table1[[#This Row],[Last_Restock_Date]])</f>
        <v>11</v>
      </c>
      <c r="O475" t="str" cm="1">
        <f t="array" ref="O475">_xlfn.SWITCH(Table1[[#This Row],[Month_Number]],
    1,"Q1",2,"Q1",3,"Q1",
    4,"Q2",5,"Q2",6,"Q2",
    7,"Q3",8,"Q3",9,"Q3",
    10,"Q4",11,"Q4",12,"Q4",
    "Invalid Month"
)</f>
        <v>Q4</v>
      </c>
      <c r="P475" t="str">
        <f>TEXT(Table1[[#This Row],[Last_Restock_Date]],"mmm")</f>
        <v>Nov</v>
      </c>
    </row>
    <row r="476" spans="1:16" x14ac:dyDescent="0.25">
      <c r="A476">
        <v>475</v>
      </c>
      <c r="B476" s="5" t="s">
        <v>48</v>
      </c>
      <c r="C476" s="5" t="s">
        <v>20</v>
      </c>
      <c r="D476" s="5" t="s">
        <v>17</v>
      </c>
      <c r="E476" s="5" t="s">
        <v>27</v>
      </c>
      <c r="F476" s="2">
        <v>246</v>
      </c>
      <c r="G476" s="3">
        <v>788.87</v>
      </c>
      <c r="H476">
        <v>131</v>
      </c>
      <c r="I476">
        <f>IF(Table1[[#This Row],[Status]]= "Sufficient",
     Table1[[#This Row],[Stock_Quantity]] - Table1[[#This Row],[Reorder_Level]],
     0)</f>
        <v>115</v>
      </c>
      <c r="J476" s="4">
        <v>45447</v>
      </c>
      <c r="K476" s="5" t="s">
        <v>14</v>
      </c>
      <c r="L476">
        <f>YEAR(Table1[[#This Row],[Last_Restock_Date]])</f>
        <v>2024</v>
      </c>
      <c r="M476" t="str">
        <f>_xlfn.CONCAT(TEXT(Table1[[#This Row],[Last_Restock_Date]],"mmm"), "-", YEAR(Table1[[#This Row],[Last_Restock_Date]]))</f>
        <v>Jun-2024</v>
      </c>
      <c r="N476">
        <f>MONTH(Table1[[#This Row],[Last_Restock_Date]])</f>
        <v>6</v>
      </c>
      <c r="O476" t="str" cm="1">
        <f t="array" ref="O476">_xlfn.SWITCH(Table1[[#This Row],[Month_Number]],
    1,"Q1",2,"Q1",3,"Q1",
    4,"Q2",5,"Q2",6,"Q2",
    7,"Q3",8,"Q3",9,"Q3",
    10,"Q4",11,"Q4",12,"Q4",
    "Invalid Month"
)</f>
        <v>Q2</v>
      </c>
      <c r="P476" t="str">
        <f>TEXT(Table1[[#This Row],[Last_Restock_Date]],"mmm")</f>
        <v>Jun</v>
      </c>
    </row>
    <row r="477" spans="1:16" x14ac:dyDescent="0.25">
      <c r="A477">
        <v>476</v>
      </c>
      <c r="B477" s="5" t="s">
        <v>22</v>
      </c>
      <c r="C477" s="5" t="s">
        <v>11</v>
      </c>
      <c r="D477" s="5" t="s">
        <v>21</v>
      </c>
      <c r="E477" s="5" t="s">
        <v>39</v>
      </c>
      <c r="F477" s="2">
        <v>392</v>
      </c>
      <c r="G477" s="3">
        <v>799.15</v>
      </c>
      <c r="H477">
        <v>142</v>
      </c>
      <c r="I477">
        <f>IF(Table1[[#This Row],[Status]]= "Sufficient",
     Table1[[#This Row],[Stock_Quantity]] - Table1[[#This Row],[Reorder_Level]],
     0)</f>
        <v>250</v>
      </c>
      <c r="J477" s="4">
        <v>45078</v>
      </c>
      <c r="K477" s="5" t="s">
        <v>14</v>
      </c>
      <c r="L477">
        <f>YEAR(Table1[[#This Row],[Last_Restock_Date]])</f>
        <v>2023</v>
      </c>
      <c r="M477" t="str">
        <f>_xlfn.CONCAT(TEXT(Table1[[#This Row],[Last_Restock_Date]],"mmm"), "-", YEAR(Table1[[#This Row],[Last_Restock_Date]]))</f>
        <v>Jun-2023</v>
      </c>
      <c r="N477">
        <f>MONTH(Table1[[#This Row],[Last_Restock_Date]])</f>
        <v>6</v>
      </c>
      <c r="O477" t="str" cm="1">
        <f t="array" ref="O477">_xlfn.SWITCH(Table1[[#This Row],[Month_Number]],
    1,"Q1",2,"Q1",3,"Q1",
    4,"Q2",5,"Q2",6,"Q2",
    7,"Q3",8,"Q3",9,"Q3",
    10,"Q4",11,"Q4",12,"Q4",
    "Invalid Month"
)</f>
        <v>Q2</v>
      </c>
      <c r="P477" t="str">
        <f>TEXT(Table1[[#This Row],[Last_Restock_Date]],"mmm")</f>
        <v>Jun</v>
      </c>
    </row>
    <row r="478" spans="1:16" x14ac:dyDescent="0.25">
      <c r="A478">
        <v>477</v>
      </c>
      <c r="B478" s="5" t="s">
        <v>22</v>
      </c>
      <c r="C478" s="5" t="s">
        <v>11</v>
      </c>
      <c r="D478" s="5" t="s">
        <v>30</v>
      </c>
      <c r="E478" s="5" t="s">
        <v>37</v>
      </c>
      <c r="F478" s="2">
        <v>191</v>
      </c>
      <c r="G478" s="3">
        <v>709.36</v>
      </c>
      <c r="H478">
        <v>90</v>
      </c>
      <c r="I478">
        <f>IF(Table1[[#This Row],[Status]]= "Sufficient",
     Table1[[#This Row],[Stock_Quantity]] - Table1[[#This Row],[Reorder_Level]],
     0)</f>
        <v>101</v>
      </c>
      <c r="J478" s="4">
        <v>45559</v>
      </c>
      <c r="K478" s="5" t="s">
        <v>14</v>
      </c>
      <c r="L478">
        <f>YEAR(Table1[[#This Row],[Last_Restock_Date]])</f>
        <v>2024</v>
      </c>
      <c r="M478" t="str">
        <f>_xlfn.CONCAT(TEXT(Table1[[#This Row],[Last_Restock_Date]],"mmm"), "-", YEAR(Table1[[#This Row],[Last_Restock_Date]]))</f>
        <v>Sep-2024</v>
      </c>
      <c r="N478">
        <f>MONTH(Table1[[#This Row],[Last_Restock_Date]])</f>
        <v>9</v>
      </c>
      <c r="O478" t="str" cm="1">
        <f t="array" ref="O478">_xlfn.SWITCH(Table1[[#This Row],[Month_Number]],
    1,"Q1",2,"Q1",3,"Q1",
    4,"Q2",5,"Q2",6,"Q2",
    7,"Q3",8,"Q3",9,"Q3",
    10,"Q4",11,"Q4",12,"Q4",
    "Invalid Month"
)</f>
        <v>Q3</v>
      </c>
      <c r="P478" t="str">
        <f>TEXT(Table1[[#This Row],[Last_Restock_Date]],"mmm")</f>
        <v>Sep</v>
      </c>
    </row>
    <row r="479" spans="1:16" x14ac:dyDescent="0.25">
      <c r="A479">
        <v>478</v>
      </c>
      <c r="B479" s="5" t="s">
        <v>46</v>
      </c>
      <c r="C479" s="5" t="s">
        <v>34</v>
      </c>
      <c r="D479" s="5" t="s">
        <v>24</v>
      </c>
      <c r="E479" s="5" t="s">
        <v>37</v>
      </c>
      <c r="F479" s="2">
        <v>15</v>
      </c>
      <c r="G479" s="3">
        <v>398.35</v>
      </c>
      <c r="H479">
        <v>66</v>
      </c>
      <c r="I479">
        <f>IF(Table1[[#This Row],[Status]]= "Sufficient",
     Table1[[#This Row],[Stock_Quantity]] - Table1[[#This Row],[Reorder_Level]],
     0)</f>
        <v>0</v>
      </c>
      <c r="J479" s="4">
        <v>45395</v>
      </c>
      <c r="K479" s="5" t="s">
        <v>28</v>
      </c>
      <c r="L479">
        <f>YEAR(Table1[[#This Row],[Last_Restock_Date]])</f>
        <v>2024</v>
      </c>
      <c r="M479" t="str">
        <f>_xlfn.CONCAT(TEXT(Table1[[#This Row],[Last_Restock_Date]],"mmm"), "-", YEAR(Table1[[#This Row],[Last_Restock_Date]]))</f>
        <v>Apr-2024</v>
      </c>
      <c r="N479">
        <f>MONTH(Table1[[#This Row],[Last_Restock_Date]])</f>
        <v>4</v>
      </c>
      <c r="O479" t="str" cm="1">
        <f t="array" ref="O479">_xlfn.SWITCH(Table1[[#This Row],[Month_Number]],
    1,"Q1",2,"Q1",3,"Q1",
    4,"Q2",5,"Q2",6,"Q2",
    7,"Q3",8,"Q3",9,"Q3",
    10,"Q4",11,"Q4",12,"Q4",
    "Invalid Month"
)</f>
        <v>Q2</v>
      </c>
      <c r="P479" t="str">
        <f>TEXT(Table1[[#This Row],[Last_Restock_Date]],"mmm")</f>
        <v>Apr</v>
      </c>
    </row>
    <row r="480" spans="1:16" x14ac:dyDescent="0.25">
      <c r="A480">
        <v>479</v>
      </c>
      <c r="B480" s="5" t="s">
        <v>36</v>
      </c>
      <c r="C480" s="5" t="s">
        <v>11</v>
      </c>
      <c r="D480" s="5" t="s">
        <v>30</v>
      </c>
      <c r="E480" s="5" t="s">
        <v>18</v>
      </c>
      <c r="F480" s="2">
        <v>164</v>
      </c>
      <c r="G480" s="3">
        <v>195.27</v>
      </c>
      <c r="H480">
        <v>146</v>
      </c>
      <c r="I480">
        <f>IF(Table1[[#This Row],[Status]]= "Sufficient",
     Table1[[#This Row],[Stock_Quantity]] - Table1[[#This Row],[Reorder_Level]],
     0)</f>
        <v>18</v>
      </c>
      <c r="J480" s="4">
        <v>45246</v>
      </c>
      <c r="K480" s="5" t="s">
        <v>14</v>
      </c>
      <c r="L480">
        <f>YEAR(Table1[[#This Row],[Last_Restock_Date]])</f>
        <v>2023</v>
      </c>
      <c r="M480" t="str">
        <f>_xlfn.CONCAT(TEXT(Table1[[#This Row],[Last_Restock_Date]],"mmm"), "-", YEAR(Table1[[#This Row],[Last_Restock_Date]]))</f>
        <v>Nov-2023</v>
      </c>
      <c r="N480">
        <f>MONTH(Table1[[#This Row],[Last_Restock_Date]])</f>
        <v>11</v>
      </c>
      <c r="O480" t="str" cm="1">
        <f t="array" ref="O480">_xlfn.SWITCH(Table1[[#This Row],[Month_Number]],
    1,"Q1",2,"Q1",3,"Q1",
    4,"Q2",5,"Q2",6,"Q2",
    7,"Q3",8,"Q3",9,"Q3",
    10,"Q4",11,"Q4",12,"Q4",
    "Invalid Month"
)</f>
        <v>Q4</v>
      </c>
      <c r="P480" t="str">
        <f>TEXT(Table1[[#This Row],[Last_Restock_Date]],"mmm")</f>
        <v>Nov</v>
      </c>
    </row>
    <row r="481" spans="1:16" x14ac:dyDescent="0.25">
      <c r="A481">
        <v>480</v>
      </c>
      <c r="B481" s="5" t="s">
        <v>10</v>
      </c>
      <c r="C481" s="5" t="s">
        <v>11</v>
      </c>
      <c r="D481" s="5" t="s">
        <v>12</v>
      </c>
      <c r="E481" s="5" t="s">
        <v>27</v>
      </c>
      <c r="F481" s="2">
        <v>142</v>
      </c>
      <c r="G481" s="3">
        <v>747.91</v>
      </c>
      <c r="H481">
        <v>114</v>
      </c>
      <c r="I481">
        <f>IF(Table1[[#This Row],[Status]]= "Sufficient",
     Table1[[#This Row],[Stock_Quantity]] - Table1[[#This Row],[Reorder_Level]],
     0)</f>
        <v>28</v>
      </c>
      <c r="J481" s="4">
        <v>45750</v>
      </c>
      <c r="K481" s="5" t="s">
        <v>14</v>
      </c>
      <c r="L481">
        <f>YEAR(Table1[[#This Row],[Last_Restock_Date]])</f>
        <v>2025</v>
      </c>
      <c r="M481" t="str">
        <f>_xlfn.CONCAT(TEXT(Table1[[#This Row],[Last_Restock_Date]],"mmm"), "-", YEAR(Table1[[#This Row],[Last_Restock_Date]]))</f>
        <v>Apr-2025</v>
      </c>
      <c r="N481">
        <f>MONTH(Table1[[#This Row],[Last_Restock_Date]])</f>
        <v>4</v>
      </c>
      <c r="O481" t="str" cm="1">
        <f t="array" ref="O481">_xlfn.SWITCH(Table1[[#This Row],[Month_Number]],
    1,"Q1",2,"Q1",3,"Q1",
    4,"Q2",5,"Q2",6,"Q2",
    7,"Q3",8,"Q3",9,"Q3",
    10,"Q4",11,"Q4",12,"Q4",
    "Invalid Month"
)</f>
        <v>Q2</v>
      </c>
      <c r="P481" t="str">
        <f>TEXT(Table1[[#This Row],[Last_Restock_Date]],"mmm")</f>
        <v>Apr</v>
      </c>
    </row>
    <row r="482" spans="1:16" x14ac:dyDescent="0.25">
      <c r="A482">
        <v>481</v>
      </c>
      <c r="B482" s="5" t="s">
        <v>36</v>
      </c>
      <c r="C482" s="5" t="s">
        <v>11</v>
      </c>
      <c r="D482" s="5" t="s">
        <v>30</v>
      </c>
      <c r="E482" s="5" t="s">
        <v>39</v>
      </c>
      <c r="F482" s="2">
        <v>36</v>
      </c>
      <c r="G482" s="3">
        <v>319.69</v>
      </c>
      <c r="H482">
        <v>135</v>
      </c>
      <c r="I482">
        <f>IF(Table1[[#This Row],[Status]]= "Sufficient",
     Table1[[#This Row],[Stock_Quantity]] - Table1[[#This Row],[Reorder_Level]],
     0)</f>
        <v>0</v>
      </c>
      <c r="J482" s="4">
        <v>45466</v>
      </c>
      <c r="K482" s="5" t="s">
        <v>28</v>
      </c>
      <c r="L482">
        <f>YEAR(Table1[[#This Row],[Last_Restock_Date]])</f>
        <v>2024</v>
      </c>
      <c r="M482" t="str">
        <f>_xlfn.CONCAT(TEXT(Table1[[#This Row],[Last_Restock_Date]],"mmm"), "-", YEAR(Table1[[#This Row],[Last_Restock_Date]]))</f>
        <v>Jun-2024</v>
      </c>
      <c r="N482">
        <f>MONTH(Table1[[#This Row],[Last_Restock_Date]])</f>
        <v>6</v>
      </c>
      <c r="O482" t="str" cm="1">
        <f t="array" ref="O482">_xlfn.SWITCH(Table1[[#This Row],[Month_Number]],
    1,"Q1",2,"Q1",3,"Q1",
    4,"Q2",5,"Q2",6,"Q2",
    7,"Q3",8,"Q3",9,"Q3",
    10,"Q4",11,"Q4",12,"Q4",
    "Invalid Month"
)</f>
        <v>Q2</v>
      </c>
      <c r="P482" t="str">
        <f>TEXT(Table1[[#This Row],[Last_Restock_Date]],"mmm")</f>
        <v>Jun</v>
      </c>
    </row>
    <row r="483" spans="1:16" x14ac:dyDescent="0.25">
      <c r="A483">
        <v>482</v>
      </c>
      <c r="B483" s="5" t="s">
        <v>45</v>
      </c>
      <c r="C483" s="5" t="s">
        <v>26</v>
      </c>
      <c r="D483" s="5" t="s">
        <v>24</v>
      </c>
      <c r="E483" s="5" t="s">
        <v>39</v>
      </c>
      <c r="F483" s="2">
        <v>94</v>
      </c>
      <c r="G483" s="3">
        <v>600.33000000000004</v>
      </c>
      <c r="H483">
        <v>77</v>
      </c>
      <c r="I483">
        <f>IF(Table1[[#This Row],[Status]]= "Sufficient",
     Table1[[#This Row],[Stock_Quantity]] - Table1[[#This Row],[Reorder_Level]],
     0)</f>
        <v>17</v>
      </c>
      <c r="J483" s="4">
        <v>45916</v>
      </c>
      <c r="K483" s="5" t="s">
        <v>14</v>
      </c>
      <c r="L483">
        <f>YEAR(Table1[[#This Row],[Last_Restock_Date]])</f>
        <v>2025</v>
      </c>
      <c r="M483" t="str">
        <f>_xlfn.CONCAT(TEXT(Table1[[#This Row],[Last_Restock_Date]],"mmm"), "-", YEAR(Table1[[#This Row],[Last_Restock_Date]]))</f>
        <v>Sep-2025</v>
      </c>
      <c r="N483">
        <f>MONTH(Table1[[#This Row],[Last_Restock_Date]])</f>
        <v>9</v>
      </c>
      <c r="O483" t="str" cm="1">
        <f t="array" ref="O483">_xlfn.SWITCH(Table1[[#This Row],[Month_Number]],
    1,"Q1",2,"Q1",3,"Q1",
    4,"Q2",5,"Q2",6,"Q2",
    7,"Q3",8,"Q3",9,"Q3",
    10,"Q4",11,"Q4",12,"Q4",
    "Invalid Month"
)</f>
        <v>Q3</v>
      </c>
      <c r="P483" t="str">
        <f>TEXT(Table1[[#This Row],[Last_Restock_Date]],"mmm")</f>
        <v>Sep</v>
      </c>
    </row>
    <row r="484" spans="1:16" x14ac:dyDescent="0.25">
      <c r="A484">
        <v>483</v>
      </c>
      <c r="B484" s="5" t="s">
        <v>36</v>
      </c>
      <c r="C484" s="5" t="s">
        <v>11</v>
      </c>
      <c r="D484" s="5" t="s">
        <v>12</v>
      </c>
      <c r="E484" s="5" t="s">
        <v>32</v>
      </c>
      <c r="F484" s="2">
        <v>327</v>
      </c>
      <c r="G484" s="3">
        <v>635.85</v>
      </c>
      <c r="H484">
        <v>90</v>
      </c>
      <c r="I484">
        <f>IF(Table1[[#This Row],[Status]]= "Sufficient",
     Table1[[#This Row],[Stock_Quantity]] - Table1[[#This Row],[Reorder_Level]],
     0)</f>
        <v>237</v>
      </c>
      <c r="J484" s="4">
        <v>45284</v>
      </c>
      <c r="K484" s="5" t="s">
        <v>14</v>
      </c>
      <c r="L484">
        <f>YEAR(Table1[[#This Row],[Last_Restock_Date]])</f>
        <v>2023</v>
      </c>
      <c r="M484" t="str">
        <f>_xlfn.CONCAT(TEXT(Table1[[#This Row],[Last_Restock_Date]],"mmm"), "-", YEAR(Table1[[#This Row],[Last_Restock_Date]]))</f>
        <v>Dec-2023</v>
      </c>
      <c r="N484">
        <f>MONTH(Table1[[#This Row],[Last_Restock_Date]])</f>
        <v>12</v>
      </c>
      <c r="O484" t="str" cm="1">
        <f t="array" ref="O484">_xlfn.SWITCH(Table1[[#This Row],[Month_Number]],
    1,"Q1",2,"Q1",3,"Q1",
    4,"Q2",5,"Q2",6,"Q2",
    7,"Q3",8,"Q3",9,"Q3",
    10,"Q4",11,"Q4",12,"Q4",
    "Invalid Month"
)</f>
        <v>Q4</v>
      </c>
      <c r="P484" t="str">
        <f>TEXT(Table1[[#This Row],[Last_Restock_Date]],"mmm")</f>
        <v>Dec</v>
      </c>
    </row>
    <row r="485" spans="1:16" x14ac:dyDescent="0.25">
      <c r="A485">
        <v>484</v>
      </c>
      <c r="B485" s="5" t="s">
        <v>40</v>
      </c>
      <c r="C485" s="5" t="s">
        <v>34</v>
      </c>
      <c r="D485" s="5" t="s">
        <v>24</v>
      </c>
      <c r="E485" s="5" t="s">
        <v>37</v>
      </c>
      <c r="F485" s="2">
        <v>444</v>
      </c>
      <c r="G485" s="3">
        <v>105.04</v>
      </c>
      <c r="H485">
        <v>61</v>
      </c>
      <c r="I485">
        <f>IF(Table1[[#This Row],[Status]]= "Sufficient",
     Table1[[#This Row],[Stock_Quantity]] - Table1[[#This Row],[Reorder_Level]],
     0)</f>
        <v>383</v>
      </c>
      <c r="J485" s="4">
        <v>45287</v>
      </c>
      <c r="K485" s="5" t="s">
        <v>14</v>
      </c>
      <c r="L485">
        <f>YEAR(Table1[[#This Row],[Last_Restock_Date]])</f>
        <v>2023</v>
      </c>
      <c r="M485" t="str">
        <f>_xlfn.CONCAT(TEXT(Table1[[#This Row],[Last_Restock_Date]],"mmm"), "-", YEAR(Table1[[#This Row],[Last_Restock_Date]]))</f>
        <v>Dec-2023</v>
      </c>
      <c r="N485">
        <f>MONTH(Table1[[#This Row],[Last_Restock_Date]])</f>
        <v>12</v>
      </c>
      <c r="O485" t="str" cm="1">
        <f t="array" ref="O485">_xlfn.SWITCH(Table1[[#This Row],[Month_Number]],
    1,"Q1",2,"Q1",3,"Q1",
    4,"Q2",5,"Q2",6,"Q2",
    7,"Q3",8,"Q3",9,"Q3",
    10,"Q4",11,"Q4",12,"Q4",
    "Invalid Month"
)</f>
        <v>Q4</v>
      </c>
      <c r="P485" t="str">
        <f>TEXT(Table1[[#This Row],[Last_Restock_Date]],"mmm")</f>
        <v>Dec</v>
      </c>
    </row>
    <row r="486" spans="1:16" x14ac:dyDescent="0.25">
      <c r="A486">
        <v>485</v>
      </c>
      <c r="B486" s="5" t="s">
        <v>43</v>
      </c>
      <c r="C486" s="5" t="s">
        <v>26</v>
      </c>
      <c r="D486" s="5" t="s">
        <v>30</v>
      </c>
      <c r="E486" s="5" t="s">
        <v>39</v>
      </c>
      <c r="F486" s="2">
        <v>190</v>
      </c>
      <c r="G486" s="3">
        <v>605.54999999999995</v>
      </c>
      <c r="H486">
        <v>143</v>
      </c>
      <c r="I486">
        <f>IF(Table1[[#This Row],[Status]]= "Sufficient",
     Table1[[#This Row],[Stock_Quantity]] - Table1[[#This Row],[Reorder_Level]],
     0)</f>
        <v>47</v>
      </c>
      <c r="J486" s="4">
        <v>45514</v>
      </c>
      <c r="K486" s="5" t="s">
        <v>14</v>
      </c>
      <c r="L486">
        <f>YEAR(Table1[[#This Row],[Last_Restock_Date]])</f>
        <v>2024</v>
      </c>
      <c r="M486" t="str">
        <f>_xlfn.CONCAT(TEXT(Table1[[#This Row],[Last_Restock_Date]],"mmm"), "-", YEAR(Table1[[#This Row],[Last_Restock_Date]]))</f>
        <v>Aug-2024</v>
      </c>
      <c r="N486">
        <f>MONTH(Table1[[#This Row],[Last_Restock_Date]])</f>
        <v>8</v>
      </c>
      <c r="O486" t="str" cm="1">
        <f t="array" ref="O486">_xlfn.SWITCH(Table1[[#This Row],[Month_Number]],
    1,"Q1",2,"Q1",3,"Q1",
    4,"Q2",5,"Q2",6,"Q2",
    7,"Q3",8,"Q3",9,"Q3",
    10,"Q4",11,"Q4",12,"Q4",
    "Invalid Month"
)</f>
        <v>Q3</v>
      </c>
      <c r="P486" t="str">
        <f>TEXT(Table1[[#This Row],[Last_Restock_Date]],"mmm")</f>
        <v>Aug</v>
      </c>
    </row>
    <row r="487" spans="1:16" x14ac:dyDescent="0.25">
      <c r="A487">
        <v>486</v>
      </c>
      <c r="B487" s="5" t="s">
        <v>48</v>
      </c>
      <c r="C487" s="5" t="s">
        <v>20</v>
      </c>
      <c r="D487" s="5" t="s">
        <v>17</v>
      </c>
      <c r="E487" s="5" t="s">
        <v>18</v>
      </c>
      <c r="F487" s="2">
        <v>47</v>
      </c>
      <c r="G487" s="3">
        <v>19.52</v>
      </c>
      <c r="H487">
        <v>122</v>
      </c>
      <c r="I487">
        <f>IF(Table1[[#This Row],[Status]]= "Sufficient",
     Table1[[#This Row],[Stock_Quantity]] - Table1[[#This Row],[Reorder_Level]],
     0)</f>
        <v>0</v>
      </c>
      <c r="J487" s="4">
        <v>45983</v>
      </c>
      <c r="K487" s="5" t="s">
        <v>28</v>
      </c>
      <c r="L487">
        <f>YEAR(Table1[[#This Row],[Last_Restock_Date]])</f>
        <v>2025</v>
      </c>
      <c r="M487" t="str">
        <f>_xlfn.CONCAT(TEXT(Table1[[#This Row],[Last_Restock_Date]],"mmm"), "-", YEAR(Table1[[#This Row],[Last_Restock_Date]]))</f>
        <v>Nov-2025</v>
      </c>
      <c r="N487">
        <f>MONTH(Table1[[#This Row],[Last_Restock_Date]])</f>
        <v>11</v>
      </c>
      <c r="O487" t="str" cm="1">
        <f t="array" ref="O487">_xlfn.SWITCH(Table1[[#This Row],[Month_Number]],
    1,"Q1",2,"Q1",3,"Q1",
    4,"Q2",5,"Q2",6,"Q2",
    7,"Q3",8,"Q3",9,"Q3",
    10,"Q4",11,"Q4",12,"Q4",
    "Invalid Month"
)</f>
        <v>Q4</v>
      </c>
      <c r="P487" t="str">
        <f>TEXT(Table1[[#This Row],[Last_Restock_Date]],"mmm")</f>
        <v>Nov</v>
      </c>
    </row>
    <row r="488" spans="1:16" x14ac:dyDescent="0.25">
      <c r="A488">
        <v>487</v>
      </c>
      <c r="B488" s="5" t="s">
        <v>41</v>
      </c>
      <c r="C488" s="5" t="s">
        <v>16</v>
      </c>
      <c r="D488" s="5" t="s">
        <v>30</v>
      </c>
      <c r="E488" s="5" t="s">
        <v>37</v>
      </c>
      <c r="F488" s="2">
        <v>352</v>
      </c>
      <c r="G488" s="3">
        <v>460.9</v>
      </c>
      <c r="H488">
        <v>133</v>
      </c>
      <c r="I488">
        <f>IF(Table1[[#This Row],[Status]]= "Sufficient",
     Table1[[#This Row],[Stock_Quantity]] - Table1[[#This Row],[Reorder_Level]],
     0)</f>
        <v>219</v>
      </c>
      <c r="J488" s="4">
        <v>45290</v>
      </c>
      <c r="K488" s="5" t="s">
        <v>14</v>
      </c>
      <c r="L488">
        <f>YEAR(Table1[[#This Row],[Last_Restock_Date]])</f>
        <v>2023</v>
      </c>
      <c r="M488" t="str">
        <f>_xlfn.CONCAT(TEXT(Table1[[#This Row],[Last_Restock_Date]],"mmm"), "-", YEAR(Table1[[#This Row],[Last_Restock_Date]]))</f>
        <v>Dec-2023</v>
      </c>
      <c r="N488">
        <f>MONTH(Table1[[#This Row],[Last_Restock_Date]])</f>
        <v>12</v>
      </c>
      <c r="O488" t="str" cm="1">
        <f t="array" ref="O488">_xlfn.SWITCH(Table1[[#This Row],[Month_Number]],
    1,"Q1",2,"Q1",3,"Q1",
    4,"Q2",5,"Q2",6,"Q2",
    7,"Q3",8,"Q3",9,"Q3",
    10,"Q4",11,"Q4",12,"Q4",
    "Invalid Month"
)</f>
        <v>Q4</v>
      </c>
      <c r="P488" t="str">
        <f>TEXT(Table1[[#This Row],[Last_Restock_Date]],"mmm")</f>
        <v>Dec</v>
      </c>
    </row>
    <row r="489" spans="1:16" x14ac:dyDescent="0.25">
      <c r="A489">
        <v>488</v>
      </c>
      <c r="B489" s="5" t="s">
        <v>25</v>
      </c>
      <c r="C489" s="5" t="s">
        <v>26</v>
      </c>
      <c r="D489" s="5" t="s">
        <v>12</v>
      </c>
      <c r="E489" s="5" t="s">
        <v>32</v>
      </c>
      <c r="F489" s="2">
        <v>330</v>
      </c>
      <c r="G489" s="3">
        <v>714.01</v>
      </c>
      <c r="H489">
        <v>109</v>
      </c>
      <c r="I489">
        <f>IF(Table1[[#This Row],[Status]]= "Sufficient",
     Table1[[#This Row],[Stock_Quantity]] - Table1[[#This Row],[Reorder_Level]],
     0)</f>
        <v>221</v>
      </c>
      <c r="J489" s="4">
        <v>45861</v>
      </c>
      <c r="K489" s="5" t="s">
        <v>14</v>
      </c>
      <c r="L489">
        <f>YEAR(Table1[[#This Row],[Last_Restock_Date]])</f>
        <v>2025</v>
      </c>
      <c r="M489" t="str">
        <f>_xlfn.CONCAT(TEXT(Table1[[#This Row],[Last_Restock_Date]],"mmm"), "-", YEAR(Table1[[#This Row],[Last_Restock_Date]]))</f>
        <v>Jul-2025</v>
      </c>
      <c r="N489">
        <f>MONTH(Table1[[#This Row],[Last_Restock_Date]])</f>
        <v>7</v>
      </c>
      <c r="O489" t="str" cm="1">
        <f t="array" ref="O489">_xlfn.SWITCH(Table1[[#This Row],[Month_Number]],
    1,"Q1",2,"Q1",3,"Q1",
    4,"Q2",5,"Q2",6,"Q2",
    7,"Q3",8,"Q3",9,"Q3",
    10,"Q4",11,"Q4",12,"Q4",
    "Invalid Month"
)</f>
        <v>Q3</v>
      </c>
      <c r="P489" t="str">
        <f>TEXT(Table1[[#This Row],[Last_Restock_Date]],"mmm")</f>
        <v>Jul</v>
      </c>
    </row>
    <row r="490" spans="1:16" x14ac:dyDescent="0.25">
      <c r="A490">
        <v>489</v>
      </c>
      <c r="B490" s="5" t="s">
        <v>45</v>
      </c>
      <c r="C490" s="5" t="s">
        <v>26</v>
      </c>
      <c r="D490" s="5" t="s">
        <v>30</v>
      </c>
      <c r="E490" s="5" t="s">
        <v>39</v>
      </c>
      <c r="F490" s="2">
        <v>434</v>
      </c>
      <c r="G490" s="3">
        <v>359.7</v>
      </c>
      <c r="H490">
        <v>85</v>
      </c>
      <c r="I490">
        <f>IF(Table1[[#This Row],[Status]]= "Sufficient",
     Table1[[#This Row],[Stock_Quantity]] - Table1[[#This Row],[Reorder_Level]],
     0)</f>
        <v>349</v>
      </c>
      <c r="J490" s="4">
        <v>45054</v>
      </c>
      <c r="K490" s="5" t="s">
        <v>14</v>
      </c>
      <c r="L490">
        <f>YEAR(Table1[[#This Row],[Last_Restock_Date]])</f>
        <v>2023</v>
      </c>
      <c r="M490" t="str">
        <f>_xlfn.CONCAT(TEXT(Table1[[#This Row],[Last_Restock_Date]],"mmm"), "-", YEAR(Table1[[#This Row],[Last_Restock_Date]]))</f>
        <v>May-2023</v>
      </c>
      <c r="N490">
        <f>MONTH(Table1[[#This Row],[Last_Restock_Date]])</f>
        <v>5</v>
      </c>
      <c r="O490" t="str" cm="1">
        <f t="array" ref="O490">_xlfn.SWITCH(Table1[[#This Row],[Month_Number]],
    1,"Q1",2,"Q1",3,"Q1",
    4,"Q2",5,"Q2",6,"Q2",
    7,"Q3",8,"Q3",9,"Q3",
    10,"Q4",11,"Q4",12,"Q4",
    "Invalid Month"
)</f>
        <v>Q2</v>
      </c>
      <c r="P490" t="str">
        <f>TEXT(Table1[[#This Row],[Last_Restock_Date]],"mmm")</f>
        <v>May</v>
      </c>
    </row>
    <row r="491" spans="1:16" x14ac:dyDescent="0.25">
      <c r="A491">
        <v>490</v>
      </c>
      <c r="B491" s="5" t="s">
        <v>22</v>
      </c>
      <c r="C491" s="5" t="s">
        <v>11</v>
      </c>
      <c r="D491" s="5" t="s">
        <v>21</v>
      </c>
      <c r="E491" s="5" t="s">
        <v>18</v>
      </c>
      <c r="F491" s="2">
        <v>349</v>
      </c>
      <c r="G491" s="3">
        <v>781.14</v>
      </c>
      <c r="H491">
        <v>122</v>
      </c>
      <c r="I491">
        <f>IF(Table1[[#This Row],[Status]]= "Sufficient",
     Table1[[#This Row],[Stock_Quantity]] - Table1[[#This Row],[Reorder_Level]],
     0)</f>
        <v>227</v>
      </c>
      <c r="J491" s="4">
        <v>45367</v>
      </c>
      <c r="K491" s="5" t="s">
        <v>14</v>
      </c>
      <c r="L491">
        <f>YEAR(Table1[[#This Row],[Last_Restock_Date]])</f>
        <v>2024</v>
      </c>
      <c r="M491" t="str">
        <f>_xlfn.CONCAT(TEXT(Table1[[#This Row],[Last_Restock_Date]],"mmm"), "-", YEAR(Table1[[#This Row],[Last_Restock_Date]]))</f>
        <v>Mar-2024</v>
      </c>
      <c r="N491">
        <f>MONTH(Table1[[#This Row],[Last_Restock_Date]])</f>
        <v>3</v>
      </c>
      <c r="O491" t="str" cm="1">
        <f t="array" ref="O491">_xlfn.SWITCH(Table1[[#This Row],[Month_Number]],
    1,"Q1",2,"Q1",3,"Q1",
    4,"Q2",5,"Q2",6,"Q2",
    7,"Q3",8,"Q3",9,"Q3",
    10,"Q4",11,"Q4",12,"Q4",
    "Invalid Month"
)</f>
        <v>Q1</v>
      </c>
      <c r="P491" t="str">
        <f>TEXT(Table1[[#This Row],[Last_Restock_Date]],"mmm")</f>
        <v>Mar</v>
      </c>
    </row>
    <row r="492" spans="1:16" x14ac:dyDescent="0.25">
      <c r="A492">
        <v>491</v>
      </c>
      <c r="B492" s="5" t="s">
        <v>50</v>
      </c>
      <c r="C492" s="5" t="s">
        <v>34</v>
      </c>
      <c r="D492" s="5" t="s">
        <v>24</v>
      </c>
      <c r="E492" s="5" t="s">
        <v>37</v>
      </c>
      <c r="F492" s="2">
        <v>263</v>
      </c>
      <c r="G492" s="3">
        <v>430.37</v>
      </c>
      <c r="H492">
        <v>120</v>
      </c>
      <c r="I492">
        <f>IF(Table1[[#This Row],[Status]]= "Sufficient",
     Table1[[#This Row],[Stock_Quantity]] - Table1[[#This Row],[Reorder_Level]],
     0)</f>
        <v>143</v>
      </c>
      <c r="J492" s="4">
        <v>45773</v>
      </c>
      <c r="K492" s="5" t="s">
        <v>14</v>
      </c>
      <c r="L492">
        <f>YEAR(Table1[[#This Row],[Last_Restock_Date]])</f>
        <v>2025</v>
      </c>
      <c r="M492" t="str">
        <f>_xlfn.CONCAT(TEXT(Table1[[#This Row],[Last_Restock_Date]],"mmm"), "-", YEAR(Table1[[#This Row],[Last_Restock_Date]]))</f>
        <v>Apr-2025</v>
      </c>
      <c r="N492">
        <f>MONTH(Table1[[#This Row],[Last_Restock_Date]])</f>
        <v>4</v>
      </c>
      <c r="O492" t="str" cm="1">
        <f t="array" ref="O492">_xlfn.SWITCH(Table1[[#This Row],[Month_Number]],
    1,"Q1",2,"Q1",3,"Q1",
    4,"Q2",5,"Q2",6,"Q2",
    7,"Q3",8,"Q3",9,"Q3",
    10,"Q4",11,"Q4",12,"Q4",
    "Invalid Month"
)</f>
        <v>Q2</v>
      </c>
      <c r="P492" t="str">
        <f>TEXT(Table1[[#This Row],[Last_Restock_Date]],"mmm")</f>
        <v>Apr</v>
      </c>
    </row>
    <row r="493" spans="1:16" x14ac:dyDescent="0.25">
      <c r="A493">
        <v>492</v>
      </c>
      <c r="B493" s="5" t="s">
        <v>41</v>
      </c>
      <c r="C493" s="5" t="s">
        <v>16</v>
      </c>
      <c r="D493" s="5" t="s">
        <v>12</v>
      </c>
      <c r="E493" s="5" t="s">
        <v>32</v>
      </c>
      <c r="F493" s="2">
        <v>367</v>
      </c>
      <c r="G493" s="3">
        <v>417.3</v>
      </c>
      <c r="H493">
        <v>124</v>
      </c>
      <c r="I493">
        <f>IF(Table1[[#This Row],[Status]]= "Sufficient",
     Table1[[#This Row],[Stock_Quantity]] - Table1[[#This Row],[Reorder_Level]],
     0)</f>
        <v>243</v>
      </c>
      <c r="J493" s="4">
        <v>45098</v>
      </c>
      <c r="K493" s="5" t="s">
        <v>14</v>
      </c>
      <c r="L493">
        <f>YEAR(Table1[[#This Row],[Last_Restock_Date]])</f>
        <v>2023</v>
      </c>
      <c r="M493" t="str">
        <f>_xlfn.CONCAT(TEXT(Table1[[#This Row],[Last_Restock_Date]],"mmm"), "-", YEAR(Table1[[#This Row],[Last_Restock_Date]]))</f>
        <v>Jun-2023</v>
      </c>
      <c r="N493">
        <f>MONTH(Table1[[#This Row],[Last_Restock_Date]])</f>
        <v>6</v>
      </c>
      <c r="O493" t="str" cm="1">
        <f t="array" ref="O493">_xlfn.SWITCH(Table1[[#This Row],[Month_Number]],
    1,"Q1",2,"Q1",3,"Q1",
    4,"Q2",5,"Q2",6,"Q2",
    7,"Q3",8,"Q3",9,"Q3",
    10,"Q4",11,"Q4",12,"Q4",
    "Invalid Month"
)</f>
        <v>Q2</v>
      </c>
      <c r="P493" t="str">
        <f>TEXT(Table1[[#This Row],[Last_Restock_Date]],"mmm")</f>
        <v>Jun</v>
      </c>
    </row>
    <row r="494" spans="1:16" x14ac:dyDescent="0.25">
      <c r="A494">
        <v>493</v>
      </c>
      <c r="B494" s="5" t="s">
        <v>23</v>
      </c>
      <c r="C494" s="5" t="s">
        <v>20</v>
      </c>
      <c r="D494" s="5" t="s">
        <v>21</v>
      </c>
      <c r="E494" s="5" t="s">
        <v>18</v>
      </c>
      <c r="F494" s="2">
        <v>337</v>
      </c>
      <c r="G494" s="3">
        <v>80.95</v>
      </c>
      <c r="H494">
        <v>119</v>
      </c>
      <c r="I494">
        <f>IF(Table1[[#This Row],[Status]]= "Sufficient",
     Table1[[#This Row],[Stock_Quantity]] - Table1[[#This Row],[Reorder_Level]],
     0)</f>
        <v>218</v>
      </c>
      <c r="J494" s="4">
        <v>45780</v>
      </c>
      <c r="K494" s="5" t="s">
        <v>14</v>
      </c>
      <c r="L494">
        <f>YEAR(Table1[[#This Row],[Last_Restock_Date]])</f>
        <v>2025</v>
      </c>
      <c r="M494" t="str">
        <f>_xlfn.CONCAT(TEXT(Table1[[#This Row],[Last_Restock_Date]],"mmm"), "-", YEAR(Table1[[#This Row],[Last_Restock_Date]]))</f>
        <v>May-2025</v>
      </c>
      <c r="N494">
        <f>MONTH(Table1[[#This Row],[Last_Restock_Date]])</f>
        <v>5</v>
      </c>
      <c r="O494" t="str" cm="1">
        <f t="array" ref="O494">_xlfn.SWITCH(Table1[[#This Row],[Month_Number]],
    1,"Q1",2,"Q1",3,"Q1",
    4,"Q2",5,"Q2",6,"Q2",
    7,"Q3",8,"Q3",9,"Q3",
    10,"Q4",11,"Q4",12,"Q4",
    "Invalid Month"
)</f>
        <v>Q2</v>
      </c>
      <c r="P494" t="str">
        <f>TEXT(Table1[[#This Row],[Last_Restock_Date]],"mmm")</f>
        <v>May</v>
      </c>
    </row>
    <row r="495" spans="1:16" x14ac:dyDescent="0.25">
      <c r="A495">
        <v>494</v>
      </c>
      <c r="B495" s="5" t="s">
        <v>35</v>
      </c>
      <c r="C495" s="5" t="s">
        <v>11</v>
      </c>
      <c r="D495" s="5" t="s">
        <v>21</v>
      </c>
      <c r="E495" s="5" t="s">
        <v>37</v>
      </c>
      <c r="F495" s="2">
        <v>363</v>
      </c>
      <c r="G495" s="3">
        <v>422.03</v>
      </c>
      <c r="H495">
        <v>122</v>
      </c>
      <c r="I495">
        <f>IF(Table1[[#This Row],[Status]]= "Sufficient",
     Table1[[#This Row],[Stock_Quantity]] - Table1[[#This Row],[Reorder_Level]],
     0)</f>
        <v>241</v>
      </c>
      <c r="J495" s="4">
        <v>45804</v>
      </c>
      <c r="K495" s="5" t="s">
        <v>14</v>
      </c>
      <c r="L495">
        <f>YEAR(Table1[[#This Row],[Last_Restock_Date]])</f>
        <v>2025</v>
      </c>
      <c r="M495" t="str">
        <f>_xlfn.CONCAT(TEXT(Table1[[#This Row],[Last_Restock_Date]],"mmm"), "-", YEAR(Table1[[#This Row],[Last_Restock_Date]]))</f>
        <v>May-2025</v>
      </c>
      <c r="N495">
        <f>MONTH(Table1[[#This Row],[Last_Restock_Date]])</f>
        <v>5</v>
      </c>
      <c r="O495" t="str" cm="1">
        <f t="array" ref="O495">_xlfn.SWITCH(Table1[[#This Row],[Month_Number]],
    1,"Q1",2,"Q1",3,"Q1",
    4,"Q2",5,"Q2",6,"Q2",
    7,"Q3",8,"Q3",9,"Q3",
    10,"Q4",11,"Q4",12,"Q4",
    "Invalid Month"
)</f>
        <v>Q2</v>
      </c>
      <c r="P495" t="str">
        <f>TEXT(Table1[[#This Row],[Last_Restock_Date]],"mmm")</f>
        <v>May</v>
      </c>
    </row>
    <row r="496" spans="1:16" x14ac:dyDescent="0.25">
      <c r="A496">
        <v>495</v>
      </c>
      <c r="B496" s="5" t="s">
        <v>29</v>
      </c>
      <c r="C496" s="5" t="s">
        <v>16</v>
      </c>
      <c r="D496" s="5" t="s">
        <v>21</v>
      </c>
      <c r="E496" s="5" t="s">
        <v>39</v>
      </c>
      <c r="F496" s="2">
        <v>430</v>
      </c>
      <c r="G496" s="3">
        <v>235.72</v>
      </c>
      <c r="H496">
        <v>59</v>
      </c>
      <c r="I496">
        <f>IF(Table1[[#This Row],[Status]]= "Sufficient",
     Table1[[#This Row],[Stock_Quantity]] - Table1[[#This Row],[Reorder_Level]],
     0)</f>
        <v>371</v>
      </c>
      <c r="J496" s="4">
        <v>45948</v>
      </c>
      <c r="K496" s="5" t="s">
        <v>14</v>
      </c>
      <c r="L496">
        <f>YEAR(Table1[[#This Row],[Last_Restock_Date]])</f>
        <v>2025</v>
      </c>
      <c r="M496" t="str">
        <f>_xlfn.CONCAT(TEXT(Table1[[#This Row],[Last_Restock_Date]],"mmm"), "-", YEAR(Table1[[#This Row],[Last_Restock_Date]]))</f>
        <v>Oct-2025</v>
      </c>
      <c r="N496">
        <f>MONTH(Table1[[#This Row],[Last_Restock_Date]])</f>
        <v>10</v>
      </c>
      <c r="O496" t="str" cm="1">
        <f t="array" ref="O496">_xlfn.SWITCH(Table1[[#This Row],[Month_Number]],
    1,"Q1",2,"Q1",3,"Q1",
    4,"Q2",5,"Q2",6,"Q2",
    7,"Q3",8,"Q3",9,"Q3",
    10,"Q4",11,"Q4",12,"Q4",
    "Invalid Month"
)</f>
        <v>Q4</v>
      </c>
      <c r="P496" t="str">
        <f>TEXT(Table1[[#This Row],[Last_Restock_Date]],"mmm")</f>
        <v>Oct</v>
      </c>
    </row>
    <row r="497" spans="1:16" x14ac:dyDescent="0.25">
      <c r="A497">
        <v>496</v>
      </c>
      <c r="B497" s="5" t="s">
        <v>35</v>
      </c>
      <c r="C497" s="5" t="s">
        <v>11</v>
      </c>
      <c r="D497" s="5" t="s">
        <v>12</v>
      </c>
      <c r="E497" s="5" t="s">
        <v>39</v>
      </c>
      <c r="F497" s="2">
        <v>301</v>
      </c>
      <c r="G497" s="3">
        <v>776.3</v>
      </c>
      <c r="H497">
        <v>55</v>
      </c>
      <c r="I497">
        <f>IF(Table1[[#This Row],[Status]]= "Sufficient",
     Table1[[#This Row],[Stock_Quantity]] - Table1[[#This Row],[Reorder_Level]],
     0)</f>
        <v>246</v>
      </c>
      <c r="J497" s="4">
        <v>45232</v>
      </c>
      <c r="K497" s="5" t="s">
        <v>14</v>
      </c>
      <c r="L497">
        <f>YEAR(Table1[[#This Row],[Last_Restock_Date]])</f>
        <v>2023</v>
      </c>
      <c r="M497" t="str">
        <f>_xlfn.CONCAT(TEXT(Table1[[#This Row],[Last_Restock_Date]],"mmm"), "-", YEAR(Table1[[#This Row],[Last_Restock_Date]]))</f>
        <v>Nov-2023</v>
      </c>
      <c r="N497">
        <f>MONTH(Table1[[#This Row],[Last_Restock_Date]])</f>
        <v>11</v>
      </c>
      <c r="O497" t="str" cm="1">
        <f t="array" ref="O497">_xlfn.SWITCH(Table1[[#This Row],[Month_Number]],
    1,"Q1",2,"Q1",3,"Q1",
    4,"Q2",5,"Q2",6,"Q2",
    7,"Q3",8,"Q3",9,"Q3",
    10,"Q4",11,"Q4",12,"Q4",
    "Invalid Month"
)</f>
        <v>Q4</v>
      </c>
      <c r="P497" t="str">
        <f>TEXT(Table1[[#This Row],[Last_Restock_Date]],"mmm")</f>
        <v>Nov</v>
      </c>
    </row>
    <row r="498" spans="1:16" x14ac:dyDescent="0.25">
      <c r="A498">
        <v>497</v>
      </c>
      <c r="B498" s="5" t="s">
        <v>46</v>
      </c>
      <c r="C498" s="5" t="s">
        <v>34</v>
      </c>
      <c r="D498" s="5" t="s">
        <v>21</v>
      </c>
      <c r="E498" s="5" t="s">
        <v>32</v>
      </c>
      <c r="F498" s="2">
        <v>162</v>
      </c>
      <c r="G498" s="3">
        <v>679.57</v>
      </c>
      <c r="H498">
        <v>108</v>
      </c>
      <c r="I498">
        <f>IF(Table1[[#This Row],[Status]]= "Sufficient",
     Table1[[#This Row],[Stock_Quantity]] - Table1[[#This Row],[Reorder_Level]],
     0)</f>
        <v>54</v>
      </c>
      <c r="J498" s="4">
        <v>45281</v>
      </c>
      <c r="K498" s="5" t="s">
        <v>14</v>
      </c>
      <c r="L498">
        <f>YEAR(Table1[[#This Row],[Last_Restock_Date]])</f>
        <v>2023</v>
      </c>
      <c r="M498" t="str">
        <f>_xlfn.CONCAT(TEXT(Table1[[#This Row],[Last_Restock_Date]],"mmm"), "-", YEAR(Table1[[#This Row],[Last_Restock_Date]]))</f>
        <v>Dec-2023</v>
      </c>
      <c r="N498">
        <f>MONTH(Table1[[#This Row],[Last_Restock_Date]])</f>
        <v>12</v>
      </c>
      <c r="O498" t="str" cm="1">
        <f t="array" ref="O498">_xlfn.SWITCH(Table1[[#This Row],[Month_Number]],
    1,"Q1",2,"Q1",3,"Q1",
    4,"Q2",5,"Q2",6,"Q2",
    7,"Q3",8,"Q3",9,"Q3",
    10,"Q4",11,"Q4",12,"Q4",
    "Invalid Month"
)</f>
        <v>Q4</v>
      </c>
      <c r="P498" t="str">
        <f>TEXT(Table1[[#This Row],[Last_Restock_Date]],"mmm")</f>
        <v>Dec</v>
      </c>
    </row>
    <row r="499" spans="1:16" x14ac:dyDescent="0.25">
      <c r="A499">
        <v>498</v>
      </c>
      <c r="B499" s="5" t="s">
        <v>25</v>
      </c>
      <c r="C499" s="5" t="s">
        <v>26</v>
      </c>
      <c r="D499" s="5" t="s">
        <v>12</v>
      </c>
      <c r="E499" s="5" t="s">
        <v>27</v>
      </c>
      <c r="F499" s="2">
        <v>336</v>
      </c>
      <c r="G499" s="3">
        <v>108.19</v>
      </c>
      <c r="H499">
        <v>110</v>
      </c>
      <c r="I499">
        <f>IF(Table1[[#This Row],[Status]]= "Sufficient",
     Table1[[#This Row],[Stock_Quantity]] - Table1[[#This Row],[Reorder_Level]],
     0)</f>
        <v>226</v>
      </c>
      <c r="J499" s="4">
        <v>45478</v>
      </c>
      <c r="K499" s="5" t="s">
        <v>14</v>
      </c>
      <c r="L499">
        <f>YEAR(Table1[[#This Row],[Last_Restock_Date]])</f>
        <v>2024</v>
      </c>
      <c r="M499" t="str">
        <f>_xlfn.CONCAT(TEXT(Table1[[#This Row],[Last_Restock_Date]],"mmm"), "-", YEAR(Table1[[#This Row],[Last_Restock_Date]]))</f>
        <v>Jul-2024</v>
      </c>
      <c r="N499">
        <f>MONTH(Table1[[#This Row],[Last_Restock_Date]])</f>
        <v>7</v>
      </c>
      <c r="O499" t="str" cm="1">
        <f t="array" ref="O499">_xlfn.SWITCH(Table1[[#This Row],[Month_Number]],
    1,"Q1",2,"Q1",3,"Q1",
    4,"Q2",5,"Q2",6,"Q2",
    7,"Q3",8,"Q3",9,"Q3",
    10,"Q4",11,"Q4",12,"Q4",
    "Invalid Month"
)</f>
        <v>Q3</v>
      </c>
      <c r="P499" t="str">
        <f>TEXT(Table1[[#This Row],[Last_Restock_Date]],"mmm")</f>
        <v>Jul</v>
      </c>
    </row>
    <row r="500" spans="1:16" x14ac:dyDescent="0.25">
      <c r="A500">
        <v>499</v>
      </c>
      <c r="B500" s="5" t="s">
        <v>19</v>
      </c>
      <c r="C500" s="5" t="s">
        <v>20</v>
      </c>
      <c r="D500" s="5" t="s">
        <v>12</v>
      </c>
      <c r="E500" s="5" t="s">
        <v>27</v>
      </c>
      <c r="F500" s="2">
        <v>480</v>
      </c>
      <c r="G500" s="3">
        <v>81.349999999999994</v>
      </c>
      <c r="H500">
        <v>115</v>
      </c>
      <c r="I500">
        <f>IF(Table1[[#This Row],[Status]]= "Sufficient",
     Table1[[#This Row],[Stock_Quantity]] - Table1[[#This Row],[Reorder_Level]],
     0)</f>
        <v>365</v>
      </c>
      <c r="J500" s="4">
        <v>45166</v>
      </c>
      <c r="K500" s="5" t="s">
        <v>14</v>
      </c>
      <c r="L500">
        <f>YEAR(Table1[[#This Row],[Last_Restock_Date]])</f>
        <v>2023</v>
      </c>
      <c r="M500" t="str">
        <f>_xlfn.CONCAT(TEXT(Table1[[#This Row],[Last_Restock_Date]],"mmm"), "-", YEAR(Table1[[#This Row],[Last_Restock_Date]]))</f>
        <v>Aug-2023</v>
      </c>
      <c r="N500">
        <f>MONTH(Table1[[#This Row],[Last_Restock_Date]])</f>
        <v>8</v>
      </c>
      <c r="O500" t="str" cm="1">
        <f t="array" ref="O500">_xlfn.SWITCH(Table1[[#This Row],[Month_Number]],
    1,"Q1",2,"Q1",3,"Q1",
    4,"Q2",5,"Q2",6,"Q2",
    7,"Q3",8,"Q3",9,"Q3",
    10,"Q4",11,"Q4",12,"Q4",
    "Invalid Month"
)</f>
        <v>Q3</v>
      </c>
      <c r="P500" t="str">
        <f>TEXT(Table1[[#This Row],[Last_Restock_Date]],"mmm")</f>
        <v>Aug</v>
      </c>
    </row>
    <row r="501" spans="1:16" x14ac:dyDescent="0.25">
      <c r="A501">
        <v>500</v>
      </c>
      <c r="B501" s="5" t="s">
        <v>43</v>
      </c>
      <c r="C501" s="5" t="s">
        <v>26</v>
      </c>
      <c r="D501" s="5" t="s">
        <v>24</v>
      </c>
      <c r="E501" s="5" t="s">
        <v>27</v>
      </c>
      <c r="F501" s="2">
        <v>308</v>
      </c>
      <c r="G501" s="3">
        <v>171.53</v>
      </c>
      <c r="H501">
        <v>130</v>
      </c>
      <c r="I501">
        <f>IF(Table1[[#This Row],[Status]]= "Sufficient",
     Table1[[#This Row],[Stock_Quantity]] - Table1[[#This Row],[Reorder_Level]],
     0)</f>
        <v>178</v>
      </c>
      <c r="J501" s="4">
        <v>45455</v>
      </c>
      <c r="K501" s="5" t="s">
        <v>14</v>
      </c>
      <c r="L501">
        <f>YEAR(Table1[[#This Row],[Last_Restock_Date]])</f>
        <v>2024</v>
      </c>
      <c r="M501" t="str">
        <f>_xlfn.CONCAT(TEXT(Table1[[#This Row],[Last_Restock_Date]],"mmm"), "-", YEAR(Table1[[#This Row],[Last_Restock_Date]]))</f>
        <v>Jun-2024</v>
      </c>
      <c r="N501">
        <f>MONTH(Table1[[#This Row],[Last_Restock_Date]])</f>
        <v>6</v>
      </c>
      <c r="O501" t="str" cm="1">
        <f t="array" ref="O501">_xlfn.SWITCH(Table1[[#This Row],[Month_Number]],
    1,"Q1",2,"Q1",3,"Q1",
    4,"Q2",5,"Q2",6,"Q2",
    7,"Q3",8,"Q3",9,"Q3",
    10,"Q4",11,"Q4",12,"Q4",
    "Invalid Month"
)</f>
        <v>Q2</v>
      </c>
      <c r="P501" t="str">
        <f>TEXT(Table1[[#This Row],[Last_Restock_Date]],"mmm")</f>
        <v>Jun</v>
      </c>
    </row>
    <row r="502" spans="1:16" x14ac:dyDescent="0.25">
      <c r="A502">
        <v>501</v>
      </c>
      <c r="B502" s="5" t="s">
        <v>15</v>
      </c>
      <c r="C502" s="5" t="s">
        <v>16</v>
      </c>
      <c r="D502" s="5" t="s">
        <v>24</v>
      </c>
      <c r="E502" s="5" t="s">
        <v>18</v>
      </c>
      <c r="F502" s="2">
        <v>193</v>
      </c>
      <c r="G502" s="3">
        <v>33.31</v>
      </c>
      <c r="H502">
        <v>63</v>
      </c>
      <c r="I502">
        <f>IF(Table1[[#This Row],[Status]]= "Sufficient",
     Table1[[#This Row],[Stock_Quantity]] - Table1[[#This Row],[Reorder_Level]],
     0)</f>
        <v>130</v>
      </c>
      <c r="J502" s="4">
        <v>45463</v>
      </c>
      <c r="K502" s="5" t="s">
        <v>14</v>
      </c>
      <c r="L502">
        <f>YEAR(Table1[[#This Row],[Last_Restock_Date]])</f>
        <v>2024</v>
      </c>
      <c r="M502" t="str">
        <f>_xlfn.CONCAT(TEXT(Table1[[#This Row],[Last_Restock_Date]],"mmm"), "-", YEAR(Table1[[#This Row],[Last_Restock_Date]]))</f>
        <v>Jun-2024</v>
      </c>
      <c r="N502">
        <f>MONTH(Table1[[#This Row],[Last_Restock_Date]])</f>
        <v>6</v>
      </c>
      <c r="O502" t="str" cm="1">
        <f t="array" ref="O502">_xlfn.SWITCH(Table1[[#This Row],[Month_Number]],
    1,"Q1",2,"Q1",3,"Q1",
    4,"Q2",5,"Q2",6,"Q2",
    7,"Q3",8,"Q3",9,"Q3",
    10,"Q4",11,"Q4",12,"Q4",
    "Invalid Month"
)</f>
        <v>Q2</v>
      </c>
      <c r="P502" t="str">
        <f>TEXT(Table1[[#This Row],[Last_Restock_Date]],"mmm")</f>
        <v>Jun</v>
      </c>
    </row>
    <row r="503" spans="1:16" x14ac:dyDescent="0.25">
      <c r="A503">
        <v>502</v>
      </c>
      <c r="B503" s="5" t="s">
        <v>51</v>
      </c>
      <c r="C503" s="5" t="s">
        <v>11</v>
      </c>
      <c r="D503" s="5" t="s">
        <v>24</v>
      </c>
      <c r="E503" s="5" t="s">
        <v>39</v>
      </c>
      <c r="F503" s="2">
        <v>439</v>
      </c>
      <c r="G503" s="3">
        <v>466.53</v>
      </c>
      <c r="H503">
        <v>130</v>
      </c>
      <c r="I503">
        <f>IF(Table1[[#This Row],[Status]]= "Sufficient",
     Table1[[#This Row],[Stock_Quantity]] - Table1[[#This Row],[Reorder_Level]],
     0)</f>
        <v>309</v>
      </c>
      <c r="J503" s="4">
        <v>45413</v>
      </c>
      <c r="K503" s="5" t="s">
        <v>14</v>
      </c>
      <c r="L503">
        <f>YEAR(Table1[[#This Row],[Last_Restock_Date]])</f>
        <v>2024</v>
      </c>
      <c r="M503" t="str">
        <f>_xlfn.CONCAT(TEXT(Table1[[#This Row],[Last_Restock_Date]],"mmm"), "-", YEAR(Table1[[#This Row],[Last_Restock_Date]]))</f>
        <v>May-2024</v>
      </c>
      <c r="N503">
        <f>MONTH(Table1[[#This Row],[Last_Restock_Date]])</f>
        <v>5</v>
      </c>
      <c r="O503" t="str" cm="1">
        <f t="array" ref="O503">_xlfn.SWITCH(Table1[[#This Row],[Month_Number]],
    1,"Q1",2,"Q1",3,"Q1",
    4,"Q2",5,"Q2",6,"Q2",
    7,"Q3",8,"Q3",9,"Q3",
    10,"Q4",11,"Q4",12,"Q4",
    "Invalid Month"
)</f>
        <v>Q2</v>
      </c>
      <c r="P503" t="str">
        <f>TEXT(Table1[[#This Row],[Last_Restock_Date]],"mmm")</f>
        <v>May</v>
      </c>
    </row>
    <row r="504" spans="1:16" x14ac:dyDescent="0.25">
      <c r="A504">
        <v>503</v>
      </c>
      <c r="B504" s="5" t="s">
        <v>15</v>
      </c>
      <c r="C504" s="5" t="s">
        <v>16</v>
      </c>
      <c r="D504" s="5" t="s">
        <v>24</v>
      </c>
      <c r="E504" s="5" t="s">
        <v>37</v>
      </c>
      <c r="F504" s="2">
        <v>363</v>
      </c>
      <c r="G504" s="3">
        <v>136.36000000000001</v>
      </c>
      <c r="H504">
        <v>67</v>
      </c>
      <c r="I504">
        <f>IF(Table1[[#This Row],[Status]]= "Sufficient",
     Table1[[#This Row],[Stock_Quantity]] - Table1[[#This Row],[Reorder_Level]],
     0)</f>
        <v>296</v>
      </c>
      <c r="J504" s="4">
        <v>45277</v>
      </c>
      <c r="K504" s="5" t="s">
        <v>14</v>
      </c>
      <c r="L504">
        <f>YEAR(Table1[[#This Row],[Last_Restock_Date]])</f>
        <v>2023</v>
      </c>
      <c r="M504" t="str">
        <f>_xlfn.CONCAT(TEXT(Table1[[#This Row],[Last_Restock_Date]],"mmm"), "-", YEAR(Table1[[#This Row],[Last_Restock_Date]]))</f>
        <v>Dec-2023</v>
      </c>
      <c r="N504">
        <f>MONTH(Table1[[#This Row],[Last_Restock_Date]])</f>
        <v>12</v>
      </c>
      <c r="O504" t="str" cm="1">
        <f t="array" ref="O504">_xlfn.SWITCH(Table1[[#This Row],[Month_Number]],
    1,"Q1",2,"Q1",3,"Q1",
    4,"Q2",5,"Q2",6,"Q2",
    7,"Q3",8,"Q3",9,"Q3",
    10,"Q4",11,"Q4",12,"Q4",
    "Invalid Month"
)</f>
        <v>Q4</v>
      </c>
      <c r="P504" t="str">
        <f>TEXT(Table1[[#This Row],[Last_Restock_Date]],"mmm")</f>
        <v>Dec</v>
      </c>
    </row>
    <row r="505" spans="1:16" x14ac:dyDescent="0.25">
      <c r="A505">
        <v>504</v>
      </c>
      <c r="B505" s="5" t="s">
        <v>53</v>
      </c>
      <c r="C505" s="5" t="s">
        <v>26</v>
      </c>
      <c r="D505" s="5" t="s">
        <v>24</v>
      </c>
      <c r="E505" s="5" t="s">
        <v>18</v>
      </c>
      <c r="F505" s="2">
        <v>63</v>
      </c>
      <c r="G505" s="3">
        <v>634.02</v>
      </c>
      <c r="H505">
        <v>100</v>
      </c>
      <c r="I505">
        <f>IF(Table1[[#This Row],[Status]]= "Sufficient",
     Table1[[#This Row],[Stock_Quantity]] - Table1[[#This Row],[Reorder_Level]],
     0)</f>
        <v>0</v>
      </c>
      <c r="J505" s="4">
        <v>45223</v>
      </c>
      <c r="K505" s="5" t="s">
        <v>28</v>
      </c>
      <c r="L505">
        <f>YEAR(Table1[[#This Row],[Last_Restock_Date]])</f>
        <v>2023</v>
      </c>
      <c r="M505" t="str">
        <f>_xlfn.CONCAT(TEXT(Table1[[#This Row],[Last_Restock_Date]],"mmm"), "-", YEAR(Table1[[#This Row],[Last_Restock_Date]]))</f>
        <v>Oct-2023</v>
      </c>
      <c r="N505">
        <f>MONTH(Table1[[#This Row],[Last_Restock_Date]])</f>
        <v>10</v>
      </c>
      <c r="O505" t="str" cm="1">
        <f t="array" ref="O505">_xlfn.SWITCH(Table1[[#This Row],[Month_Number]],
    1,"Q1",2,"Q1",3,"Q1",
    4,"Q2",5,"Q2",6,"Q2",
    7,"Q3",8,"Q3",9,"Q3",
    10,"Q4",11,"Q4",12,"Q4",
    "Invalid Month"
)</f>
        <v>Q4</v>
      </c>
      <c r="P505" t="str">
        <f>TEXT(Table1[[#This Row],[Last_Restock_Date]],"mmm")</f>
        <v>Oct</v>
      </c>
    </row>
    <row r="506" spans="1:16" x14ac:dyDescent="0.25">
      <c r="A506">
        <v>505</v>
      </c>
      <c r="B506" s="5" t="s">
        <v>49</v>
      </c>
      <c r="C506" s="5" t="s">
        <v>16</v>
      </c>
      <c r="D506" s="5" t="s">
        <v>24</v>
      </c>
      <c r="E506" s="5" t="s">
        <v>13</v>
      </c>
      <c r="F506" s="2">
        <v>155</v>
      </c>
      <c r="G506" s="3">
        <v>336.49</v>
      </c>
      <c r="H506">
        <v>99</v>
      </c>
      <c r="I506">
        <f>IF(Table1[[#This Row],[Status]]= "Sufficient",
     Table1[[#This Row],[Stock_Quantity]] - Table1[[#This Row],[Reorder_Level]],
     0)</f>
        <v>56</v>
      </c>
      <c r="J506" s="4">
        <v>45925</v>
      </c>
      <c r="K506" s="5" t="s">
        <v>14</v>
      </c>
      <c r="L506">
        <f>YEAR(Table1[[#This Row],[Last_Restock_Date]])</f>
        <v>2025</v>
      </c>
      <c r="M506" t="str">
        <f>_xlfn.CONCAT(TEXT(Table1[[#This Row],[Last_Restock_Date]],"mmm"), "-", YEAR(Table1[[#This Row],[Last_Restock_Date]]))</f>
        <v>Sep-2025</v>
      </c>
      <c r="N506">
        <f>MONTH(Table1[[#This Row],[Last_Restock_Date]])</f>
        <v>9</v>
      </c>
      <c r="O506" t="str" cm="1">
        <f t="array" ref="O506">_xlfn.SWITCH(Table1[[#This Row],[Month_Number]],
    1,"Q1",2,"Q1",3,"Q1",
    4,"Q2",5,"Q2",6,"Q2",
    7,"Q3",8,"Q3",9,"Q3",
    10,"Q4",11,"Q4",12,"Q4",
    "Invalid Month"
)</f>
        <v>Q3</v>
      </c>
      <c r="P506" t="str">
        <f>TEXT(Table1[[#This Row],[Last_Restock_Date]],"mmm")</f>
        <v>Sep</v>
      </c>
    </row>
    <row r="507" spans="1:16" x14ac:dyDescent="0.25">
      <c r="A507">
        <v>506</v>
      </c>
      <c r="B507" s="5" t="s">
        <v>50</v>
      </c>
      <c r="C507" s="5" t="s">
        <v>34</v>
      </c>
      <c r="D507" s="5" t="s">
        <v>12</v>
      </c>
      <c r="E507" s="5" t="s">
        <v>37</v>
      </c>
      <c r="F507" s="2">
        <v>485</v>
      </c>
      <c r="G507" s="3">
        <v>622.91999999999996</v>
      </c>
      <c r="H507">
        <v>93</v>
      </c>
      <c r="I507">
        <f>IF(Table1[[#This Row],[Status]]= "Sufficient",
     Table1[[#This Row],[Stock_Quantity]] - Table1[[#This Row],[Reorder_Level]],
     0)</f>
        <v>392</v>
      </c>
      <c r="J507" s="4">
        <v>45568</v>
      </c>
      <c r="K507" s="5" t="s">
        <v>14</v>
      </c>
      <c r="L507">
        <f>YEAR(Table1[[#This Row],[Last_Restock_Date]])</f>
        <v>2024</v>
      </c>
      <c r="M507" t="str">
        <f>_xlfn.CONCAT(TEXT(Table1[[#This Row],[Last_Restock_Date]],"mmm"), "-", YEAR(Table1[[#This Row],[Last_Restock_Date]]))</f>
        <v>Oct-2024</v>
      </c>
      <c r="N507">
        <f>MONTH(Table1[[#This Row],[Last_Restock_Date]])</f>
        <v>10</v>
      </c>
      <c r="O507" t="str" cm="1">
        <f t="array" ref="O507">_xlfn.SWITCH(Table1[[#This Row],[Month_Number]],
    1,"Q1",2,"Q1",3,"Q1",
    4,"Q2",5,"Q2",6,"Q2",
    7,"Q3",8,"Q3",9,"Q3",
    10,"Q4",11,"Q4",12,"Q4",
    "Invalid Month"
)</f>
        <v>Q4</v>
      </c>
      <c r="P507" t="str">
        <f>TEXT(Table1[[#This Row],[Last_Restock_Date]],"mmm")</f>
        <v>Oct</v>
      </c>
    </row>
    <row r="508" spans="1:16" x14ac:dyDescent="0.25">
      <c r="A508">
        <v>507</v>
      </c>
      <c r="B508" s="5" t="s">
        <v>42</v>
      </c>
      <c r="C508" s="5" t="s">
        <v>16</v>
      </c>
      <c r="D508" s="5" t="s">
        <v>21</v>
      </c>
      <c r="E508" s="5" t="s">
        <v>32</v>
      </c>
      <c r="F508" s="2">
        <v>248</v>
      </c>
      <c r="G508" s="3">
        <v>680.66</v>
      </c>
      <c r="H508">
        <v>128</v>
      </c>
      <c r="I508">
        <f>IF(Table1[[#This Row],[Status]]= "Sufficient",
     Table1[[#This Row],[Stock_Quantity]] - Table1[[#This Row],[Reorder_Level]],
     0)</f>
        <v>120</v>
      </c>
      <c r="J508" s="4">
        <v>45495</v>
      </c>
      <c r="K508" s="5" t="s">
        <v>14</v>
      </c>
      <c r="L508">
        <f>YEAR(Table1[[#This Row],[Last_Restock_Date]])</f>
        <v>2024</v>
      </c>
      <c r="M508" t="str">
        <f>_xlfn.CONCAT(TEXT(Table1[[#This Row],[Last_Restock_Date]],"mmm"), "-", YEAR(Table1[[#This Row],[Last_Restock_Date]]))</f>
        <v>Jul-2024</v>
      </c>
      <c r="N508">
        <f>MONTH(Table1[[#This Row],[Last_Restock_Date]])</f>
        <v>7</v>
      </c>
      <c r="O508" t="str" cm="1">
        <f t="array" ref="O508">_xlfn.SWITCH(Table1[[#This Row],[Month_Number]],
    1,"Q1",2,"Q1",3,"Q1",
    4,"Q2",5,"Q2",6,"Q2",
    7,"Q3",8,"Q3",9,"Q3",
    10,"Q4",11,"Q4",12,"Q4",
    "Invalid Month"
)</f>
        <v>Q3</v>
      </c>
      <c r="P508" t="str">
        <f>TEXT(Table1[[#This Row],[Last_Restock_Date]],"mmm")</f>
        <v>Jul</v>
      </c>
    </row>
    <row r="509" spans="1:16" x14ac:dyDescent="0.25">
      <c r="A509">
        <v>508</v>
      </c>
      <c r="B509" s="5" t="s">
        <v>31</v>
      </c>
      <c r="C509" s="5" t="s">
        <v>20</v>
      </c>
      <c r="D509" s="5" t="s">
        <v>17</v>
      </c>
      <c r="E509" s="5" t="s">
        <v>32</v>
      </c>
      <c r="F509" s="2">
        <v>472</v>
      </c>
      <c r="G509" s="3">
        <v>729.48</v>
      </c>
      <c r="H509">
        <v>149</v>
      </c>
      <c r="I509">
        <f>IF(Table1[[#This Row],[Status]]= "Sufficient",
     Table1[[#This Row],[Stock_Quantity]] - Table1[[#This Row],[Reorder_Level]],
     0)</f>
        <v>323</v>
      </c>
      <c r="J509" s="4">
        <v>45125</v>
      </c>
      <c r="K509" s="5" t="s">
        <v>14</v>
      </c>
      <c r="L509">
        <f>YEAR(Table1[[#This Row],[Last_Restock_Date]])</f>
        <v>2023</v>
      </c>
      <c r="M509" t="str">
        <f>_xlfn.CONCAT(TEXT(Table1[[#This Row],[Last_Restock_Date]],"mmm"), "-", YEAR(Table1[[#This Row],[Last_Restock_Date]]))</f>
        <v>Jul-2023</v>
      </c>
      <c r="N509">
        <f>MONTH(Table1[[#This Row],[Last_Restock_Date]])</f>
        <v>7</v>
      </c>
      <c r="O509" t="str" cm="1">
        <f t="array" ref="O509">_xlfn.SWITCH(Table1[[#This Row],[Month_Number]],
    1,"Q1",2,"Q1",3,"Q1",
    4,"Q2",5,"Q2",6,"Q2",
    7,"Q3",8,"Q3",9,"Q3",
    10,"Q4",11,"Q4",12,"Q4",
    "Invalid Month"
)</f>
        <v>Q3</v>
      </c>
      <c r="P509" t="str">
        <f>TEXT(Table1[[#This Row],[Last_Restock_Date]],"mmm")</f>
        <v>Jul</v>
      </c>
    </row>
    <row r="510" spans="1:16" x14ac:dyDescent="0.25">
      <c r="A510">
        <v>509</v>
      </c>
      <c r="B510" s="5" t="s">
        <v>25</v>
      </c>
      <c r="C510" s="5" t="s">
        <v>26</v>
      </c>
      <c r="D510" s="5" t="s">
        <v>12</v>
      </c>
      <c r="E510" s="5" t="s">
        <v>13</v>
      </c>
      <c r="F510" s="2">
        <v>482</v>
      </c>
      <c r="G510" s="3">
        <v>344.73</v>
      </c>
      <c r="H510">
        <v>138</v>
      </c>
      <c r="I510">
        <f>IF(Table1[[#This Row],[Status]]= "Sufficient",
     Table1[[#This Row],[Stock_Quantity]] - Table1[[#This Row],[Reorder_Level]],
     0)</f>
        <v>344</v>
      </c>
      <c r="J510" s="4">
        <v>45892</v>
      </c>
      <c r="K510" s="5" t="s">
        <v>14</v>
      </c>
      <c r="L510">
        <f>YEAR(Table1[[#This Row],[Last_Restock_Date]])</f>
        <v>2025</v>
      </c>
      <c r="M510" t="str">
        <f>_xlfn.CONCAT(TEXT(Table1[[#This Row],[Last_Restock_Date]],"mmm"), "-", YEAR(Table1[[#This Row],[Last_Restock_Date]]))</f>
        <v>Aug-2025</v>
      </c>
      <c r="N510">
        <f>MONTH(Table1[[#This Row],[Last_Restock_Date]])</f>
        <v>8</v>
      </c>
      <c r="O510" t="str" cm="1">
        <f t="array" ref="O510">_xlfn.SWITCH(Table1[[#This Row],[Month_Number]],
    1,"Q1",2,"Q1",3,"Q1",
    4,"Q2",5,"Q2",6,"Q2",
    7,"Q3",8,"Q3",9,"Q3",
    10,"Q4",11,"Q4",12,"Q4",
    "Invalid Month"
)</f>
        <v>Q3</v>
      </c>
      <c r="P510" t="str">
        <f>TEXT(Table1[[#This Row],[Last_Restock_Date]],"mmm")</f>
        <v>Aug</v>
      </c>
    </row>
    <row r="511" spans="1:16" x14ac:dyDescent="0.25">
      <c r="A511">
        <v>510</v>
      </c>
      <c r="B511" s="5" t="s">
        <v>33</v>
      </c>
      <c r="C511" s="5" t="s">
        <v>34</v>
      </c>
      <c r="D511" s="5" t="s">
        <v>21</v>
      </c>
      <c r="E511" s="5" t="s">
        <v>39</v>
      </c>
      <c r="F511" s="2">
        <v>194</v>
      </c>
      <c r="G511" s="3">
        <v>280.08999999999997</v>
      </c>
      <c r="H511">
        <v>101</v>
      </c>
      <c r="I511">
        <f>IF(Table1[[#This Row],[Status]]= "Sufficient",
     Table1[[#This Row],[Stock_Quantity]] - Table1[[#This Row],[Reorder_Level]],
     0)</f>
        <v>93</v>
      </c>
      <c r="J511" s="4">
        <v>45192</v>
      </c>
      <c r="K511" s="5" t="s">
        <v>14</v>
      </c>
      <c r="L511">
        <f>YEAR(Table1[[#This Row],[Last_Restock_Date]])</f>
        <v>2023</v>
      </c>
      <c r="M511" t="str">
        <f>_xlfn.CONCAT(TEXT(Table1[[#This Row],[Last_Restock_Date]],"mmm"), "-", YEAR(Table1[[#This Row],[Last_Restock_Date]]))</f>
        <v>Sep-2023</v>
      </c>
      <c r="N511">
        <f>MONTH(Table1[[#This Row],[Last_Restock_Date]])</f>
        <v>9</v>
      </c>
      <c r="O511" t="str" cm="1">
        <f t="array" ref="O511">_xlfn.SWITCH(Table1[[#This Row],[Month_Number]],
    1,"Q1",2,"Q1",3,"Q1",
    4,"Q2",5,"Q2",6,"Q2",
    7,"Q3",8,"Q3",9,"Q3",
    10,"Q4",11,"Q4",12,"Q4",
    "Invalid Month"
)</f>
        <v>Q3</v>
      </c>
      <c r="P511" t="str">
        <f>TEXT(Table1[[#This Row],[Last_Restock_Date]],"mmm")</f>
        <v>Sep</v>
      </c>
    </row>
    <row r="512" spans="1:16" x14ac:dyDescent="0.25">
      <c r="A512">
        <v>511</v>
      </c>
      <c r="B512" s="5" t="s">
        <v>36</v>
      </c>
      <c r="C512" s="5" t="s">
        <v>11</v>
      </c>
      <c r="D512" s="5" t="s">
        <v>21</v>
      </c>
      <c r="E512" s="5" t="s">
        <v>27</v>
      </c>
      <c r="F512" s="2">
        <v>404</v>
      </c>
      <c r="G512" s="3">
        <v>668.7</v>
      </c>
      <c r="H512">
        <v>60</v>
      </c>
      <c r="I512">
        <f>IF(Table1[[#This Row],[Status]]= "Sufficient",
     Table1[[#This Row],[Stock_Quantity]] - Table1[[#This Row],[Reorder_Level]],
     0)</f>
        <v>344</v>
      </c>
      <c r="J512" s="4">
        <v>45549</v>
      </c>
      <c r="K512" s="5" t="s">
        <v>14</v>
      </c>
      <c r="L512">
        <f>YEAR(Table1[[#This Row],[Last_Restock_Date]])</f>
        <v>2024</v>
      </c>
      <c r="M512" t="str">
        <f>_xlfn.CONCAT(TEXT(Table1[[#This Row],[Last_Restock_Date]],"mmm"), "-", YEAR(Table1[[#This Row],[Last_Restock_Date]]))</f>
        <v>Sep-2024</v>
      </c>
      <c r="N512">
        <f>MONTH(Table1[[#This Row],[Last_Restock_Date]])</f>
        <v>9</v>
      </c>
      <c r="O512" t="str" cm="1">
        <f t="array" ref="O512">_xlfn.SWITCH(Table1[[#This Row],[Month_Number]],
    1,"Q1",2,"Q1",3,"Q1",
    4,"Q2",5,"Q2",6,"Q2",
    7,"Q3",8,"Q3",9,"Q3",
    10,"Q4",11,"Q4",12,"Q4",
    "Invalid Month"
)</f>
        <v>Q3</v>
      </c>
      <c r="P512" t="str">
        <f>TEXT(Table1[[#This Row],[Last_Restock_Date]],"mmm")</f>
        <v>Sep</v>
      </c>
    </row>
    <row r="513" spans="1:16" x14ac:dyDescent="0.25">
      <c r="A513">
        <v>512</v>
      </c>
      <c r="B513" s="5" t="s">
        <v>31</v>
      </c>
      <c r="C513" s="5" t="s">
        <v>20</v>
      </c>
      <c r="D513" s="5" t="s">
        <v>21</v>
      </c>
      <c r="E513" s="5" t="s">
        <v>13</v>
      </c>
      <c r="F513" s="2">
        <v>216</v>
      </c>
      <c r="G513" s="3">
        <v>260.18</v>
      </c>
      <c r="H513">
        <v>128</v>
      </c>
      <c r="I513">
        <f>IF(Table1[[#This Row],[Status]]= "Sufficient",
     Table1[[#This Row],[Stock_Quantity]] - Table1[[#This Row],[Reorder_Level]],
     0)</f>
        <v>88</v>
      </c>
      <c r="J513" s="4">
        <v>45288</v>
      </c>
      <c r="K513" s="5" t="s">
        <v>14</v>
      </c>
      <c r="L513">
        <f>YEAR(Table1[[#This Row],[Last_Restock_Date]])</f>
        <v>2023</v>
      </c>
      <c r="M513" t="str">
        <f>_xlfn.CONCAT(TEXT(Table1[[#This Row],[Last_Restock_Date]],"mmm"), "-", YEAR(Table1[[#This Row],[Last_Restock_Date]]))</f>
        <v>Dec-2023</v>
      </c>
      <c r="N513">
        <f>MONTH(Table1[[#This Row],[Last_Restock_Date]])</f>
        <v>12</v>
      </c>
      <c r="O513" t="str" cm="1">
        <f t="array" ref="O513">_xlfn.SWITCH(Table1[[#This Row],[Month_Number]],
    1,"Q1",2,"Q1",3,"Q1",
    4,"Q2",5,"Q2",6,"Q2",
    7,"Q3",8,"Q3",9,"Q3",
    10,"Q4",11,"Q4",12,"Q4",
    "Invalid Month"
)</f>
        <v>Q4</v>
      </c>
      <c r="P513" t="str">
        <f>TEXT(Table1[[#This Row],[Last_Restock_Date]],"mmm")</f>
        <v>Dec</v>
      </c>
    </row>
    <row r="514" spans="1:16" x14ac:dyDescent="0.25">
      <c r="A514">
        <v>513</v>
      </c>
      <c r="B514" s="5" t="s">
        <v>47</v>
      </c>
      <c r="C514" s="5" t="s">
        <v>20</v>
      </c>
      <c r="D514" s="5" t="s">
        <v>17</v>
      </c>
      <c r="E514" s="5" t="s">
        <v>13</v>
      </c>
      <c r="F514" s="2">
        <v>1</v>
      </c>
      <c r="G514" s="3">
        <v>679.3</v>
      </c>
      <c r="H514">
        <v>146</v>
      </c>
      <c r="I514">
        <f>IF(Table1[[#This Row],[Status]]= "Sufficient",
     Table1[[#This Row],[Stock_Quantity]] - Table1[[#This Row],[Reorder_Level]],
     0)</f>
        <v>0</v>
      </c>
      <c r="J514" s="4">
        <v>45576</v>
      </c>
      <c r="K514" s="5" t="s">
        <v>28</v>
      </c>
      <c r="L514">
        <f>YEAR(Table1[[#This Row],[Last_Restock_Date]])</f>
        <v>2024</v>
      </c>
      <c r="M514" t="str">
        <f>_xlfn.CONCAT(TEXT(Table1[[#This Row],[Last_Restock_Date]],"mmm"), "-", YEAR(Table1[[#This Row],[Last_Restock_Date]]))</f>
        <v>Oct-2024</v>
      </c>
      <c r="N514">
        <f>MONTH(Table1[[#This Row],[Last_Restock_Date]])</f>
        <v>10</v>
      </c>
      <c r="O514" t="str" cm="1">
        <f t="array" ref="O514">_xlfn.SWITCH(Table1[[#This Row],[Month_Number]],
    1,"Q1",2,"Q1",3,"Q1",
    4,"Q2",5,"Q2",6,"Q2",
    7,"Q3",8,"Q3",9,"Q3",
    10,"Q4",11,"Q4",12,"Q4",
    "Invalid Month"
)</f>
        <v>Q4</v>
      </c>
      <c r="P514" t="str">
        <f>TEXT(Table1[[#This Row],[Last_Restock_Date]],"mmm")</f>
        <v>Oct</v>
      </c>
    </row>
    <row r="515" spans="1:16" x14ac:dyDescent="0.25">
      <c r="A515">
        <v>514</v>
      </c>
      <c r="B515" s="5" t="s">
        <v>33</v>
      </c>
      <c r="C515" s="5" t="s">
        <v>34</v>
      </c>
      <c r="D515" s="5" t="s">
        <v>12</v>
      </c>
      <c r="E515" s="5" t="s">
        <v>39</v>
      </c>
      <c r="F515" s="2">
        <v>367</v>
      </c>
      <c r="G515" s="3">
        <v>783.92</v>
      </c>
      <c r="H515">
        <v>63</v>
      </c>
      <c r="I515">
        <f>IF(Table1[[#This Row],[Status]]= "Sufficient",
     Table1[[#This Row],[Stock_Quantity]] - Table1[[#This Row],[Reorder_Level]],
     0)</f>
        <v>304</v>
      </c>
      <c r="J515" s="4">
        <v>45721</v>
      </c>
      <c r="K515" s="5" t="s">
        <v>14</v>
      </c>
      <c r="L515">
        <f>YEAR(Table1[[#This Row],[Last_Restock_Date]])</f>
        <v>2025</v>
      </c>
      <c r="M515" t="str">
        <f>_xlfn.CONCAT(TEXT(Table1[[#This Row],[Last_Restock_Date]],"mmm"), "-", YEAR(Table1[[#This Row],[Last_Restock_Date]]))</f>
        <v>Mar-2025</v>
      </c>
      <c r="N515">
        <f>MONTH(Table1[[#This Row],[Last_Restock_Date]])</f>
        <v>3</v>
      </c>
      <c r="O515" t="str" cm="1">
        <f t="array" ref="O515">_xlfn.SWITCH(Table1[[#This Row],[Month_Number]],
    1,"Q1",2,"Q1",3,"Q1",
    4,"Q2",5,"Q2",6,"Q2",
    7,"Q3",8,"Q3",9,"Q3",
    10,"Q4",11,"Q4",12,"Q4",
    "Invalid Month"
)</f>
        <v>Q1</v>
      </c>
      <c r="P515" t="str">
        <f>TEXT(Table1[[#This Row],[Last_Restock_Date]],"mmm")</f>
        <v>Mar</v>
      </c>
    </row>
    <row r="516" spans="1:16" x14ac:dyDescent="0.25">
      <c r="A516">
        <v>515</v>
      </c>
      <c r="B516" s="5" t="s">
        <v>54</v>
      </c>
      <c r="C516" s="5" t="s">
        <v>20</v>
      </c>
      <c r="D516" s="5" t="s">
        <v>30</v>
      </c>
      <c r="E516" s="5" t="s">
        <v>39</v>
      </c>
      <c r="F516" s="2">
        <v>154</v>
      </c>
      <c r="G516" s="3">
        <v>388.35</v>
      </c>
      <c r="H516">
        <v>87</v>
      </c>
      <c r="I516">
        <f>IF(Table1[[#This Row],[Status]]= "Sufficient",
     Table1[[#This Row],[Stock_Quantity]] - Table1[[#This Row],[Reorder_Level]],
     0)</f>
        <v>67</v>
      </c>
      <c r="J516" s="4">
        <v>45006</v>
      </c>
      <c r="K516" s="5" t="s">
        <v>14</v>
      </c>
      <c r="L516">
        <f>YEAR(Table1[[#This Row],[Last_Restock_Date]])</f>
        <v>2023</v>
      </c>
      <c r="M516" t="str">
        <f>_xlfn.CONCAT(TEXT(Table1[[#This Row],[Last_Restock_Date]],"mmm"), "-", YEAR(Table1[[#This Row],[Last_Restock_Date]]))</f>
        <v>Mar-2023</v>
      </c>
      <c r="N516">
        <f>MONTH(Table1[[#This Row],[Last_Restock_Date]])</f>
        <v>3</v>
      </c>
      <c r="O516" t="str" cm="1">
        <f t="array" ref="O516">_xlfn.SWITCH(Table1[[#This Row],[Month_Number]],
    1,"Q1",2,"Q1",3,"Q1",
    4,"Q2",5,"Q2",6,"Q2",
    7,"Q3",8,"Q3",9,"Q3",
    10,"Q4",11,"Q4",12,"Q4",
    "Invalid Month"
)</f>
        <v>Q1</v>
      </c>
      <c r="P516" t="str">
        <f>TEXT(Table1[[#This Row],[Last_Restock_Date]],"mmm")</f>
        <v>Mar</v>
      </c>
    </row>
    <row r="517" spans="1:16" x14ac:dyDescent="0.25">
      <c r="A517">
        <v>516</v>
      </c>
      <c r="B517" s="5" t="s">
        <v>36</v>
      </c>
      <c r="C517" s="5" t="s">
        <v>11</v>
      </c>
      <c r="D517" s="5" t="s">
        <v>17</v>
      </c>
      <c r="E517" s="5" t="s">
        <v>18</v>
      </c>
      <c r="F517" s="2">
        <v>423</v>
      </c>
      <c r="G517" s="3">
        <v>7.98</v>
      </c>
      <c r="H517">
        <v>87</v>
      </c>
      <c r="I517">
        <f>IF(Table1[[#This Row],[Status]]= "Sufficient",
     Table1[[#This Row],[Stock_Quantity]] - Table1[[#This Row],[Reorder_Level]],
     0)</f>
        <v>336</v>
      </c>
      <c r="J517" s="4">
        <v>45234</v>
      </c>
      <c r="K517" s="5" t="s">
        <v>14</v>
      </c>
      <c r="L517">
        <f>YEAR(Table1[[#This Row],[Last_Restock_Date]])</f>
        <v>2023</v>
      </c>
      <c r="M517" t="str">
        <f>_xlfn.CONCAT(TEXT(Table1[[#This Row],[Last_Restock_Date]],"mmm"), "-", YEAR(Table1[[#This Row],[Last_Restock_Date]]))</f>
        <v>Nov-2023</v>
      </c>
      <c r="N517">
        <f>MONTH(Table1[[#This Row],[Last_Restock_Date]])</f>
        <v>11</v>
      </c>
      <c r="O517" t="str" cm="1">
        <f t="array" ref="O517">_xlfn.SWITCH(Table1[[#This Row],[Month_Number]],
    1,"Q1",2,"Q1",3,"Q1",
    4,"Q2",5,"Q2",6,"Q2",
    7,"Q3",8,"Q3",9,"Q3",
    10,"Q4",11,"Q4",12,"Q4",
    "Invalid Month"
)</f>
        <v>Q4</v>
      </c>
      <c r="P517" t="str">
        <f>TEXT(Table1[[#This Row],[Last_Restock_Date]],"mmm")</f>
        <v>Nov</v>
      </c>
    </row>
    <row r="518" spans="1:16" x14ac:dyDescent="0.25">
      <c r="A518">
        <v>517</v>
      </c>
      <c r="B518" s="5" t="s">
        <v>31</v>
      </c>
      <c r="C518" s="5" t="s">
        <v>20</v>
      </c>
      <c r="D518" s="5" t="s">
        <v>30</v>
      </c>
      <c r="E518" s="5" t="s">
        <v>32</v>
      </c>
      <c r="F518" s="2">
        <v>327</v>
      </c>
      <c r="G518" s="3">
        <v>749.45</v>
      </c>
      <c r="H518">
        <v>67</v>
      </c>
      <c r="I518">
        <f>IF(Table1[[#This Row],[Status]]= "Sufficient",
     Table1[[#This Row],[Stock_Quantity]] - Table1[[#This Row],[Reorder_Level]],
     0)</f>
        <v>260</v>
      </c>
      <c r="J518" s="4">
        <v>45804</v>
      </c>
      <c r="K518" s="5" t="s">
        <v>14</v>
      </c>
      <c r="L518">
        <f>YEAR(Table1[[#This Row],[Last_Restock_Date]])</f>
        <v>2025</v>
      </c>
      <c r="M518" t="str">
        <f>_xlfn.CONCAT(TEXT(Table1[[#This Row],[Last_Restock_Date]],"mmm"), "-", YEAR(Table1[[#This Row],[Last_Restock_Date]]))</f>
        <v>May-2025</v>
      </c>
      <c r="N518">
        <f>MONTH(Table1[[#This Row],[Last_Restock_Date]])</f>
        <v>5</v>
      </c>
      <c r="O518" t="str" cm="1">
        <f t="array" ref="O518">_xlfn.SWITCH(Table1[[#This Row],[Month_Number]],
    1,"Q1",2,"Q1",3,"Q1",
    4,"Q2",5,"Q2",6,"Q2",
    7,"Q3",8,"Q3",9,"Q3",
    10,"Q4",11,"Q4",12,"Q4",
    "Invalid Month"
)</f>
        <v>Q2</v>
      </c>
      <c r="P518" t="str">
        <f>TEXT(Table1[[#This Row],[Last_Restock_Date]],"mmm")</f>
        <v>May</v>
      </c>
    </row>
    <row r="519" spans="1:16" x14ac:dyDescent="0.25">
      <c r="A519">
        <v>518</v>
      </c>
      <c r="B519" s="5" t="s">
        <v>38</v>
      </c>
      <c r="C519" s="5" t="s">
        <v>26</v>
      </c>
      <c r="D519" s="5" t="s">
        <v>21</v>
      </c>
      <c r="E519" s="5" t="s">
        <v>37</v>
      </c>
      <c r="F519" s="2">
        <v>196</v>
      </c>
      <c r="G519" s="3">
        <v>392.27</v>
      </c>
      <c r="H519">
        <v>54</v>
      </c>
      <c r="I519">
        <f>IF(Table1[[#This Row],[Status]]= "Sufficient",
     Table1[[#This Row],[Stock_Quantity]] - Table1[[#This Row],[Reorder_Level]],
     0)</f>
        <v>142</v>
      </c>
      <c r="J519" s="4">
        <v>45288</v>
      </c>
      <c r="K519" s="5" t="s">
        <v>14</v>
      </c>
      <c r="L519">
        <f>YEAR(Table1[[#This Row],[Last_Restock_Date]])</f>
        <v>2023</v>
      </c>
      <c r="M519" t="str">
        <f>_xlfn.CONCAT(TEXT(Table1[[#This Row],[Last_Restock_Date]],"mmm"), "-", YEAR(Table1[[#This Row],[Last_Restock_Date]]))</f>
        <v>Dec-2023</v>
      </c>
      <c r="N519">
        <f>MONTH(Table1[[#This Row],[Last_Restock_Date]])</f>
        <v>12</v>
      </c>
      <c r="O519" t="str" cm="1">
        <f t="array" ref="O519">_xlfn.SWITCH(Table1[[#This Row],[Month_Number]],
    1,"Q1",2,"Q1",3,"Q1",
    4,"Q2",5,"Q2",6,"Q2",
    7,"Q3",8,"Q3",9,"Q3",
    10,"Q4",11,"Q4",12,"Q4",
    "Invalid Month"
)</f>
        <v>Q4</v>
      </c>
      <c r="P519" t="str">
        <f>TEXT(Table1[[#This Row],[Last_Restock_Date]],"mmm")</f>
        <v>Dec</v>
      </c>
    </row>
    <row r="520" spans="1:16" x14ac:dyDescent="0.25">
      <c r="A520">
        <v>519</v>
      </c>
      <c r="B520" s="5" t="s">
        <v>35</v>
      </c>
      <c r="C520" s="5" t="s">
        <v>11</v>
      </c>
      <c r="D520" s="5" t="s">
        <v>17</v>
      </c>
      <c r="E520" s="5" t="s">
        <v>32</v>
      </c>
      <c r="F520" s="2">
        <v>474</v>
      </c>
      <c r="G520" s="3">
        <v>217.9</v>
      </c>
      <c r="H520">
        <v>100</v>
      </c>
      <c r="I520">
        <f>IF(Table1[[#This Row],[Status]]= "Sufficient",
     Table1[[#This Row],[Stock_Quantity]] - Table1[[#This Row],[Reorder_Level]],
     0)</f>
        <v>374</v>
      </c>
      <c r="J520" s="4">
        <v>45271</v>
      </c>
      <c r="K520" s="5" t="s">
        <v>14</v>
      </c>
      <c r="L520">
        <f>YEAR(Table1[[#This Row],[Last_Restock_Date]])</f>
        <v>2023</v>
      </c>
      <c r="M520" t="str">
        <f>_xlfn.CONCAT(TEXT(Table1[[#This Row],[Last_Restock_Date]],"mmm"), "-", YEAR(Table1[[#This Row],[Last_Restock_Date]]))</f>
        <v>Dec-2023</v>
      </c>
      <c r="N520">
        <f>MONTH(Table1[[#This Row],[Last_Restock_Date]])</f>
        <v>12</v>
      </c>
      <c r="O520" t="str" cm="1">
        <f t="array" ref="O520">_xlfn.SWITCH(Table1[[#This Row],[Month_Number]],
    1,"Q1",2,"Q1",3,"Q1",
    4,"Q2",5,"Q2",6,"Q2",
    7,"Q3",8,"Q3",9,"Q3",
    10,"Q4",11,"Q4",12,"Q4",
    "Invalid Month"
)</f>
        <v>Q4</v>
      </c>
      <c r="P520" t="str">
        <f>TEXT(Table1[[#This Row],[Last_Restock_Date]],"mmm")</f>
        <v>Dec</v>
      </c>
    </row>
    <row r="521" spans="1:16" x14ac:dyDescent="0.25">
      <c r="A521">
        <v>520</v>
      </c>
      <c r="B521" s="5" t="s">
        <v>10</v>
      </c>
      <c r="C521" s="5" t="s">
        <v>11</v>
      </c>
      <c r="D521" s="5" t="s">
        <v>21</v>
      </c>
      <c r="E521" s="5" t="s">
        <v>32</v>
      </c>
      <c r="F521" s="2">
        <v>97</v>
      </c>
      <c r="G521" s="3">
        <v>660.46</v>
      </c>
      <c r="H521">
        <v>88</v>
      </c>
      <c r="I521">
        <f>IF(Table1[[#This Row],[Status]]= "Sufficient",
     Table1[[#This Row],[Stock_Quantity]] - Table1[[#This Row],[Reorder_Level]],
     0)</f>
        <v>9</v>
      </c>
      <c r="J521" s="4">
        <v>45583</v>
      </c>
      <c r="K521" s="5" t="s">
        <v>14</v>
      </c>
      <c r="L521">
        <f>YEAR(Table1[[#This Row],[Last_Restock_Date]])</f>
        <v>2024</v>
      </c>
      <c r="M521" t="str">
        <f>_xlfn.CONCAT(TEXT(Table1[[#This Row],[Last_Restock_Date]],"mmm"), "-", YEAR(Table1[[#This Row],[Last_Restock_Date]]))</f>
        <v>Oct-2024</v>
      </c>
      <c r="N521">
        <f>MONTH(Table1[[#This Row],[Last_Restock_Date]])</f>
        <v>10</v>
      </c>
      <c r="O521" t="str" cm="1">
        <f t="array" ref="O521">_xlfn.SWITCH(Table1[[#This Row],[Month_Number]],
    1,"Q1",2,"Q1",3,"Q1",
    4,"Q2",5,"Q2",6,"Q2",
    7,"Q3",8,"Q3",9,"Q3",
    10,"Q4",11,"Q4",12,"Q4",
    "Invalid Month"
)</f>
        <v>Q4</v>
      </c>
      <c r="P521" t="str">
        <f>TEXT(Table1[[#This Row],[Last_Restock_Date]],"mmm")</f>
        <v>Oct</v>
      </c>
    </row>
    <row r="522" spans="1:16" x14ac:dyDescent="0.25">
      <c r="A522">
        <v>521</v>
      </c>
      <c r="B522" s="5" t="s">
        <v>54</v>
      </c>
      <c r="C522" s="5" t="s">
        <v>20</v>
      </c>
      <c r="D522" s="5" t="s">
        <v>17</v>
      </c>
      <c r="E522" s="5" t="s">
        <v>32</v>
      </c>
      <c r="F522" s="2">
        <v>315</v>
      </c>
      <c r="G522" s="3">
        <v>434.27</v>
      </c>
      <c r="H522">
        <v>103</v>
      </c>
      <c r="I522">
        <f>IF(Table1[[#This Row],[Status]]= "Sufficient",
     Table1[[#This Row],[Stock_Quantity]] - Table1[[#This Row],[Reorder_Level]],
     0)</f>
        <v>212</v>
      </c>
      <c r="J522" s="4">
        <v>44977</v>
      </c>
      <c r="K522" s="5" t="s">
        <v>14</v>
      </c>
      <c r="L522">
        <f>YEAR(Table1[[#This Row],[Last_Restock_Date]])</f>
        <v>2023</v>
      </c>
      <c r="M522" t="str">
        <f>_xlfn.CONCAT(TEXT(Table1[[#This Row],[Last_Restock_Date]],"mmm"), "-", YEAR(Table1[[#This Row],[Last_Restock_Date]]))</f>
        <v>Feb-2023</v>
      </c>
      <c r="N522">
        <f>MONTH(Table1[[#This Row],[Last_Restock_Date]])</f>
        <v>2</v>
      </c>
      <c r="O522" t="str" cm="1">
        <f t="array" ref="O522">_xlfn.SWITCH(Table1[[#This Row],[Month_Number]],
    1,"Q1",2,"Q1",3,"Q1",
    4,"Q2",5,"Q2",6,"Q2",
    7,"Q3",8,"Q3",9,"Q3",
    10,"Q4",11,"Q4",12,"Q4",
    "Invalid Month"
)</f>
        <v>Q1</v>
      </c>
      <c r="P522" t="str">
        <f>TEXT(Table1[[#This Row],[Last_Restock_Date]],"mmm")</f>
        <v>Feb</v>
      </c>
    </row>
    <row r="523" spans="1:16" x14ac:dyDescent="0.25">
      <c r="A523">
        <v>522</v>
      </c>
      <c r="B523" s="5" t="s">
        <v>52</v>
      </c>
      <c r="C523" s="5" t="s">
        <v>16</v>
      </c>
      <c r="D523" s="5" t="s">
        <v>30</v>
      </c>
      <c r="E523" s="5" t="s">
        <v>39</v>
      </c>
      <c r="F523" s="2">
        <v>458</v>
      </c>
      <c r="G523" s="3">
        <v>28.54</v>
      </c>
      <c r="H523">
        <v>125</v>
      </c>
      <c r="I523">
        <f>IF(Table1[[#This Row],[Status]]= "Sufficient",
     Table1[[#This Row],[Stock_Quantity]] - Table1[[#This Row],[Reorder_Level]],
     0)</f>
        <v>333</v>
      </c>
      <c r="J523" s="4">
        <v>45947</v>
      </c>
      <c r="K523" s="5" t="s">
        <v>14</v>
      </c>
      <c r="L523">
        <f>YEAR(Table1[[#This Row],[Last_Restock_Date]])</f>
        <v>2025</v>
      </c>
      <c r="M523" t="str">
        <f>_xlfn.CONCAT(TEXT(Table1[[#This Row],[Last_Restock_Date]],"mmm"), "-", YEAR(Table1[[#This Row],[Last_Restock_Date]]))</f>
        <v>Oct-2025</v>
      </c>
      <c r="N523">
        <f>MONTH(Table1[[#This Row],[Last_Restock_Date]])</f>
        <v>10</v>
      </c>
      <c r="O523" t="str" cm="1">
        <f t="array" ref="O523">_xlfn.SWITCH(Table1[[#This Row],[Month_Number]],
    1,"Q1",2,"Q1",3,"Q1",
    4,"Q2",5,"Q2",6,"Q2",
    7,"Q3",8,"Q3",9,"Q3",
    10,"Q4",11,"Q4",12,"Q4",
    "Invalid Month"
)</f>
        <v>Q4</v>
      </c>
      <c r="P523" t="str">
        <f>TEXT(Table1[[#This Row],[Last_Restock_Date]],"mmm")</f>
        <v>Oct</v>
      </c>
    </row>
    <row r="524" spans="1:16" x14ac:dyDescent="0.25">
      <c r="A524">
        <v>523</v>
      </c>
      <c r="B524" s="5" t="s">
        <v>45</v>
      </c>
      <c r="C524" s="5" t="s">
        <v>26</v>
      </c>
      <c r="D524" s="5" t="s">
        <v>17</v>
      </c>
      <c r="E524" s="5" t="s">
        <v>39</v>
      </c>
      <c r="F524" s="2">
        <v>462</v>
      </c>
      <c r="G524" s="3">
        <v>489.4</v>
      </c>
      <c r="H524">
        <v>67</v>
      </c>
      <c r="I524">
        <f>IF(Table1[[#This Row],[Status]]= "Sufficient",
     Table1[[#This Row],[Stock_Quantity]] - Table1[[#This Row],[Reorder_Level]],
     0)</f>
        <v>395</v>
      </c>
      <c r="J524" s="4">
        <v>45810</v>
      </c>
      <c r="K524" s="5" t="s">
        <v>14</v>
      </c>
      <c r="L524">
        <f>YEAR(Table1[[#This Row],[Last_Restock_Date]])</f>
        <v>2025</v>
      </c>
      <c r="M524" t="str">
        <f>_xlfn.CONCAT(TEXT(Table1[[#This Row],[Last_Restock_Date]],"mmm"), "-", YEAR(Table1[[#This Row],[Last_Restock_Date]]))</f>
        <v>Jun-2025</v>
      </c>
      <c r="N524">
        <f>MONTH(Table1[[#This Row],[Last_Restock_Date]])</f>
        <v>6</v>
      </c>
      <c r="O524" t="str" cm="1">
        <f t="array" ref="O524">_xlfn.SWITCH(Table1[[#This Row],[Month_Number]],
    1,"Q1",2,"Q1",3,"Q1",
    4,"Q2",5,"Q2",6,"Q2",
    7,"Q3",8,"Q3",9,"Q3",
    10,"Q4",11,"Q4",12,"Q4",
    "Invalid Month"
)</f>
        <v>Q2</v>
      </c>
      <c r="P524" t="str">
        <f>TEXT(Table1[[#This Row],[Last_Restock_Date]],"mmm")</f>
        <v>Jun</v>
      </c>
    </row>
    <row r="525" spans="1:16" x14ac:dyDescent="0.25">
      <c r="A525">
        <v>524</v>
      </c>
      <c r="B525" s="5" t="s">
        <v>33</v>
      </c>
      <c r="C525" s="5" t="s">
        <v>34</v>
      </c>
      <c r="D525" s="5" t="s">
        <v>24</v>
      </c>
      <c r="E525" s="5" t="s">
        <v>32</v>
      </c>
      <c r="F525" s="2">
        <v>468</v>
      </c>
      <c r="G525" s="3">
        <v>388.04</v>
      </c>
      <c r="H525">
        <v>132</v>
      </c>
      <c r="I525">
        <f>IF(Table1[[#This Row],[Status]]= "Sufficient",
     Table1[[#This Row],[Stock_Quantity]] - Table1[[#This Row],[Reorder_Level]],
     0)</f>
        <v>336</v>
      </c>
      <c r="J525" s="4">
        <v>45408</v>
      </c>
      <c r="K525" s="5" t="s">
        <v>14</v>
      </c>
      <c r="L525">
        <f>YEAR(Table1[[#This Row],[Last_Restock_Date]])</f>
        <v>2024</v>
      </c>
      <c r="M525" t="str">
        <f>_xlfn.CONCAT(TEXT(Table1[[#This Row],[Last_Restock_Date]],"mmm"), "-", YEAR(Table1[[#This Row],[Last_Restock_Date]]))</f>
        <v>Apr-2024</v>
      </c>
      <c r="N525">
        <f>MONTH(Table1[[#This Row],[Last_Restock_Date]])</f>
        <v>4</v>
      </c>
      <c r="O525" t="str" cm="1">
        <f t="array" ref="O525">_xlfn.SWITCH(Table1[[#This Row],[Month_Number]],
    1,"Q1",2,"Q1",3,"Q1",
    4,"Q2",5,"Q2",6,"Q2",
    7,"Q3",8,"Q3",9,"Q3",
    10,"Q4",11,"Q4",12,"Q4",
    "Invalid Month"
)</f>
        <v>Q2</v>
      </c>
      <c r="P525" t="str">
        <f>TEXT(Table1[[#This Row],[Last_Restock_Date]],"mmm")</f>
        <v>Apr</v>
      </c>
    </row>
    <row r="526" spans="1:16" x14ac:dyDescent="0.25">
      <c r="A526">
        <v>525</v>
      </c>
      <c r="B526" s="5" t="s">
        <v>51</v>
      </c>
      <c r="C526" s="5" t="s">
        <v>11</v>
      </c>
      <c r="D526" s="5" t="s">
        <v>12</v>
      </c>
      <c r="E526" s="5" t="s">
        <v>13</v>
      </c>
      <c r="F526" s="2">
        <v>106</v>
      </c>
      <c r="G526" s="3">
        <v>256.01</v>
      </c>
      <c r="H526">
        <v>58</v>
      </c>
      <c r="I526">
        <f>IF(Table1[[#This Row],[Status]]= "Sufficient",
     Table1[[#This Row],[Stock_Quantity]] - Table1[[#This Row],[Reorder_Level]],
     0)</f>
        <v>48</v>
      </c>
      <c r="J526" s="4">
        <v>45494</v>
      </c>
      <c r="K526" s="5" t="s">
        <v>14</v>
      </c>
      <c r="L526">
        <f>YEAR(Table1[[#This Row],[Last_Restock_Date]])</f>
        <v>2024</v>
      </c>
      <c r="M526" t="str">
        <f>_xlfn.CONCAT(TEXT(Table1[[#This Row],[Last_Restock_Date]],"mmm"), "-", YEAR(Table1[[#This Row],[Last_Restock_Date]]))</f>
        <v>Jul-2024</v>
      </c>
      <c r="N526">
        <f>MONTH(Table1[[#This Row],[Last_Restock_Date]])</f>
        <v>7</v>
      </c>
      <c r="O526" t="str" cm="1">
        <f t="array" ref="O526">_xlfn.SWITCH(Table1[[#This Row],[Month_Number]],
    1,"Q1",2,"Q1",3,"Q1",
    4,"Q2",5,"Q2",6,"Q2",
    7,"Q3",8,"Q3",9,"Q3",
    10,"Q4",11,"Q4",12,"Q4",
    "Invalid Month"
)</f>
        <v>Q3</v>
      </c>
      <c r="P526" t="str">
        <f>TEXT(Table1[[#This Row],[Last_Restock_Date]],"mmm")</f>
        <v>Jul</v>
      </c>
    </row>
    <row r="527" spans="1:16" x14ac:dyDescent="0.25">
      <c r="A527">
        <v>526</v>
      </c>
      <c r="B527" s="5" t="s">
        <v>51</v>
      </c>
      <c r="C527" s="5" t="s">
        <v>11</v>
      </c>
      <c r="D527" s="5" t="s">
        <v>21</v>
      </c>
      <c r="E527" s="5" t="s">
        <v>37</v>
      </c>
      <c r="F527" s="2">
        <v>382</v>
      </c>
      <c r="G527" s="3">
        <v>495.61</v>
      </c>
      <c r="H527">
        <v>88</v>
      </c>
      <c r="I527">
        <f>IF(Table1[[#This Row],[Status]]= "Sufficient",
     Table1[[#This Row],[Stock_Quantity]] - Table1[[#This Row],[Reorder_Level]],
     0)</f>
        <v>294</v>
      </c>
      <c r="J527" s="4">
        <v>45968</v>
      </c>
      <c r="K527" s="5" t="s">
        <v>14</v>
      </c>
      <c r="L527">
        <f>YEAR(Table1[[#This Row],[Last_Restock_Date]])</f>
        <v>2025</v>
      </c>
      <c r="M527" t="str">
        <f>_xlfn.CONCAT(TEXT(Table1[[#This Row],[Last_Restock_Date]],"mmm"), "-", YEAR(Table1[[#This Row],[Last_Restock_Date]]))</f>
        <v>Nov-2025</v>
      </c>
      <c r="N527">
        <f>MONTH(Table1[[#This Row],[Last_Restock_Date]])</f>
        <v>11</v>
      </c>
      <c r="O527" t="str" cm="1">
        <f t="array" ref="O527">_xlfn.SWITCH(Table1[[#This Row],[Month_Number]],
    1,"Q1",2,"Q1",3,"Q1",
    4,"Q2",5,"Q2",6,"Q2",
    7,"Q3",8,"Q3",9,"Q3",
    10,"Q4",11,"Q4",12,"Q4",
    "Invalid Month"
)</f>
        <v>Q4</v>
      </c>
      <c r="P527" t="str">
        <f>TEXT(Table1[[#This Row],[Last_Restock_Date]],"mmm")</f>
        <v>Nov</v>
      </c>
    </row>
    <row r="528" spans="1:16" x14ac:dyDescent="0.25">
      <c r="A528">
        <v>527</v>
      </c>
      <c r="B528" s="5" t="s">
        <v>53</v>
      </c>
      <c r="C528" s="5" t="s">
        <v>26</v>
      </c>
      <c r="D528" s="5" t="s">
        <v>12</v>
      </c>
      <c r="E528" s="5" t="s">
        <v>18</v>
      </c>
      <c r="F528" s="2">
        <v>54</v>
      </c>
      <c r="G528" s="3">
        <v>126.35</v>
      </c>
      <c r="H528">
        <v>59</v>
      </c>
      <c r="I528">
        <f>IF(Table1[[#This Row],[Status]]= "Sufficient",
     Table1[[#This Row],[Stock_Quantity]] - Table1[[#This Row],[Reorder_Level]],
     0)</f>
        <v>0</v>
      </c>
      <c r="J528" s="4">
        <v>45045</v>
      </c>
      <c r="K528" s="5" t="s">
        <v>28</v>
      </c>
      <c r="L528">
        <f>YEAR(Table1[[#This Row],[Last_Restock_Date]])</f>
        <v>2023</v>
      </c>
      <c r="M528" t="str">
        <f>_xlfn.CONCAT(TEXT(Table1[[#This Row],[Last_Restock_Date]],"mmm"), "-", YEAR(Table1[[#This Row],[Last_Restock_Date]]))</f>
        <v>Apr-2023</v>
      </c>
      <c r="N528">
        <f>MONTH(Table1[[#This Row],[Last_Restock_Date]])</f>
        <v>4</v>
      </c>
      <c r="O528" t="str" cm="1">
        <f t="array" ref="O528">_xlfn.SWITCH(Table1[[#This Row],[Month_Number]],
    1,"Q1",2,"Q1",3,"Q1",
    4,"Q2",5,"Q2",6,"Q2",
    7,"Q3",8,"Q3",9,"Q3",
    10,"Q4",11,"Q4",12,"Q4",
    "Invalid Month"
)</f>
        <v>Q2</v>
      </c>
      <c r="P528" t="str">
        <f>TEXT(Table1[[#This Row],[Last_Restock_Date]],"mmm")</f>
        <v>Apr</v>
      </c>
    </row>
    <row r="529" spans="1:16" x14ac:dyDescent="0.25">
      <c r="A529">
        <v>528</v>
      </c>
      <c r="B529" s="5" t="s">
        <v>23</v>
      </c>
      <c r="C529" s="5" t="s">
        <v>20</v>
      </c>
      <c r="D529" s="5" t="s">
        <v>12</v>
      </c>
      <c r="E529" s="5" t="s">
        <v>39</v>
      </c>
      <c r="F529" s="2">
        <v>140</v>
      </c>
      <c r="G529" s="3">
        <v>124.28</v>
      </c>
      <c r="H529">
        <v>81</v>
      </c>
      <c r="I529">
        <f>IF(Table1[[#This Row],[Status]]= "Sufficient",
     Table1[[#This Row],[Stock_Quantity]] - Table1[[#This Row],[Reorder_Level]],
     0)</f>
        <v>59</v>
      </c>
      <c r="J529" s="4">
        <v>45377</v>
      </c>
      <c r="K529" s="5" t="s">
        <v>14</v>
      </c>
      <c r="L529">
        <f>YEAR(Table1[[#This Row],[Last_Restock_Date]])</f>
        <v>2024</v>
      </c>
      <c r="M529" t="str">
        <f>_xlfn.CONCAT(TEXT(Table1[[#This Row],[Last_Restock_Date]],"mmm"), "-", YEAR(Table1[[#This Row],[Last_Restock_Date]]))</f>
        <v>Mar-2024</v>
      </c>
      <c r="N529">
        <f>MONTH(Table1[[#This Row],[Last_Restock_Date]])</f>
        <v>3</v>
      </c>
      <c r="O529" t="str" cm="1">
        <f t="array" ref="O529">_xlfn.SWITCH(Table1[[#This Row],[Month_Number]],
    1,"Q1",2,"Q1",3,"Q1",
    4,"Q2",5,"Q2",6,"Q2",
    7,"Q3",8,"Q3",9,"Q3",
    10,"Q4",11,"Q4",12,"Q4",
    "Invalid Month"
)</f>
        <v>Q1</v>
      </c>
      <c r="P529" t="str">
        <f>TEXT(Table1[[#This Row],[Last_Restock_Date]],"mmm")</f>
        <v>Mar</v>
      </c>
    </row>
    <row r="530" spans="1:16" x14ac:dyDescent="0.25">
      <c r="A530">
        <v>529</v>
      </c>
      <c r="B530" s="5" t="s">
        <v>50</v>
      </c>
      <c r="C530" s="5" t="s">
        <v>34</v>
      </c>
      <c r="D530" s="5" t="s">
        <v>30</v>
      </c>
      <c r="E530" s="5" t="s">
        <v>18</v>
      </c>
      <c r="F530" s="2">
        <v>7</v>
      </c>
      <c r="G530" s="3">
        <v>598.72</v>
      </c>
      <c r="H530">
        <v>54</v>
      </c>
      <c r="I530">
        <f>IF(Table1[[#This Row],[Status]]= "Sufficient",
     Table1[[#This Row],[Stock_Quantity]] - Table1[[#This Row],[Reorder_Level]],
     0)</f>
        <v>0</v>
      </c>
      <c r="J530" s="4">
        <v>45187</v>
      </c>
      <c r="K530" s="5" t="s">
        <v>28</v>
      </c>
      <c r="L530">
        <f>YEAR(Table1[[#This Row],[Last_Restock_Date]])</f>
        <v>2023</v>
      </c>
      <c r="M530" t="str">
        <f>_xlfn.CONCAT(TEXT(Table1[[#This Row],[Last_Restock_Date]],"mmm"), "-", YEAR(Table1[[#This Row],[Last_Restock_Date]]))</f>
        <v>Sep-2023</v>
      </c>
      <c r="N530">
        <f>MONTH(Table1[[#This Row],[Last_Restock_Date]])</f>
        <v>9</v>
      </c>
      <c r="O530" t="str" cm="1">
        <f t="array" ref="O530">_xlfn.SWITCH(Table1[[#This Row],[Month_Number]],
    1,"Q1",2,"Q1",3,"Q1",
    4,"Q2",5,"Q2",6,"Q2",
    7,"Q3",8,"Q3",9,"Q3",
    10,"Q4",11,"Q4",12,"Q4",
    "Invalid Month"
)</f>
        <v>Q3</v>
      </c>
      <c r="P530" t="str">
        <f>TEXT(Table1[[#This Row],[Last_Restock_Date]],"mmm")</f>
        <v>Sep</v>
      </c>
    </row>
    <row r="531" spans="1:16" x14ac:dyDescent="0.25">
      <c r="A531">
        <v>530</v>
      </c>
      <c r="B531" s="5" t="s">
        <v>33</v>
      </c>
      <c r="C531" s="5" t="s">
        <v>34</v>
      </c>
      <c r="D531" s="5" t="s">
        <v>30</v>
      </c>
      <c r="E531" s="5" t="s">
        <v>27</v>
      </c>
      <c r="F531" s="2">
        <v>154</v>
      </c>
      <c r="G531" s="3">
        <v>213.85</v>
      </c>
      <c r="H531">
        <v>116</v>
      </c>
      <c r="I531">
        <f>IF(Table1[[#This Row],[Status]]= "Sufficient",
     Table1[[#This Row],[Stock_Quantity]] - Table1[[#This Row],[Reorder_Level]],
     0)</f>
        <v>38</v>
      </c>
      <c r="J531" s="4">
        <v>45245</v>
      </c>
      <c r="K531" s="5" t="s">
        <v>14</v>
      </c>
      <c r="L531">
        <f>YEAR(Table1[[#This Row],[Last_Restock_Date]])</f>
        <v>2023</v>
      </c>
      <c r="M531" t="str">
        <f>_xlfn.CONCAT(TEXT(Table1[[#This Row],[Last_Restock_Date]],"mmm"), "-", YEAR(Table1[[#This Row],[Last_Restock_Date]]))</f>
        <v>Nov-2023</v>
      </c>
      <c r="N531">
        <f>MONTH(Table1[[#This Row],[Last_Restock_Date]])</f>
        <v>11</v>
      </c>
      <c r="O531" t="str" cm="1">
        <f t="array" ref="O531">_xlfn.SWITCH(Table1[[#This Row],[Month_Number]],
    1,"Q1",2,"Q1",3,"Q1",
    4,"Q2",5,"Q2",6,"Q2",
    7,"Q3",8,"Q3",9,"Q3",
    10,"Q4",11,"Q4",12,"Q4",
    "Invalid Month"
)</f>
        <v>Q4</v>
      </c>
      <c r="P531" t="str">
        <f>TEXT(Table1[[#This Row],[Last_Restock_Date]],"mmm")</f>
        <v>Nov</v>
      </c>
    </row>
    <row r="532" spans="1:16" x14ac:dyDescent="0.25">
      <c r="A532">
        <v>531</v>
      </c>
      <c r="B532" s="5" t="s">
        <v>15</v>
      </c>
      <c r="C532" s="5" t="s">
        <v>16</v>
      </c>
      <c r="D532" s="5" t="s">
        <v>12</v>
      </c>
      <c r="E532" s="5" t="s">
        <v>37</v>
      </c>
      <c r="F532" s="2">
        <v>259</v>
      </c>
      <c r="G532" s="3">
        <v>479.08</v>
      </c>
      <c r="H532">
        <v>55</v>
      </c>
      <c r="I532">
        <f>IF(Table1[[#This Row],[Status]]= "Sufficient",
     Table1[[#This Row],[Stock_Quantity]] - Table1[[#This Row],[Reorder_Level]],
     0)</f>
        <v>204</v>
      </c>
      <c r="J532" s="4">
        <v>45724</v>
      </c>
      <c r="K532" s="5" t="s">
        <v>14</v>
      </c>
      <c r="L532">
        <f>YEAR(Table1[[#This Row],[Last_Restock_Date]])</f>
        <v>2025</v>
      </c>
      <c r="M532" t="str">
        <f>_xlfn.CONCAT(TEXT(Table1[[#This Row],[Last_Restock_Date]],"mmm"), "-", YEAR(Table1[[#This Row],[Last_Restock_Date]]))</f>
        <v>Mar-2025</v>
      </c>
      <c r="N532">
        <f>MONTH(Table1[[#This Row],[Last_Restock_Date]])</f>
        <v>3</v>
      </c>
      <c r="O532" t="str" cm="1">
        <f t="array" ref="O532">_xlfn.SWITCH(Table1[[#This Row],[Month_Number]],
    1,"Q1",2,"Q1",3,"Q1",
    4,"Q2",5,"Q2",6,"Q2",
    7,"Q3",8,"Q3",9,"Q3",
    10,"Q4",11,"Q4",12,"Q4",
    "Invalid Month"
)</f>
        <v>Q1</v>
      </c>
      <c r="P532" t="str">
        <f>TEXT(Table1[[#This Row],[Last_Restock_Date]],"mmm")</f>
        <v>Mar</v>
      </c>
    </row>
    <row r="533" spans="1:16" x14ac:dyDescent="0.25">
      <c r="A533">
        <v>532</v>
      </c>
      <c r="B533" s="5" t="s">
        <v>53</v>
      </c>
      <c r="C533" s="5" t="s">
        <v>26</v>
      </c>
      <c r="D533" s="5" t="s">
        <v>12</v>
      </c>
      <c r="E533" s="5" t="s">
        <v>39</v>
      </c>
      <c r="F533" s="2">
        <v>124</v>
      </c>
      <c r="G533" s="3">
        <v>274.45</v>
      </c>
      <c r="H533">
        <v>87</v>
      </c>
      <c r="I533">
        <f>IF(Table1[[#This Row],[Status]]= "Sufficient",
     Table1[[#This Row],[Stock_Quantity]] - Table1[[#This Row],[Reorder_Level]],
     0)</f>
        <v>37</v>
      </c>
      <c r="J533" s="4">
        <v>45201</v>
      </c>
      <c r="K533" s="5" t="s">
        <v>14</v>
      </c>
      <c r="L533">
        <f>YEAR(Table1[[#This Row],[Last_Restock_Date]])</f>
        <v>2023</v>
      </c>
      <c r="M533" t="str">
        <f>_xlfn.CONCAT(TEXT(Table1[[#This Row],[Last_Restock_Date]],"mmm"), "-", YEAR(Table1[[#This Row],[Last_Restock_Date]]))</f>
        <v>Oct-2023</v>
      </c>
      <c r="N533">
        <f>MONTH(Table1[[#This Row],[Last_Restock_Date]])</f>
        <v>10</v>
      </c>
      <c r="O533" t="str" cm="1">
        <f t="array" ref="O533">_xlfn.SWITCH(Table1[[#This Row],[Month_Number]],
    1,"Q1",2,"Q1",3,"Q1",
    4,"Q2",5,"Q2",6,"Q2",
    7,"Q3",8,"Q3",9,"Q3",
    10,"Q4",11,"Q4",12,"Q4",
    "Invalid Month"
)</f>
        <v>Q4</v>
      </c>
      <c r="P533" t="str">
        <f>TEXT(Table1[[#This Row],[Last_Restock_Date]],"mmm")</f>
        <v>Oct</v>
      </c>
    </row>
    <row r="534" spans="1:16" x14ac:dyDescent="0.25">
      <c r="A534">
        <v>533</v>
      </c>
      <c r="B534" s="5" t="s">
        <v>25</v>
      </c>
      <c r="C534" s="5" t="s">
        <v>26</v>
      </c>
      <c r="D534" s="5" t="s">
        <v>30</v>
      </c>
      <c r="E534" s="5" t="s">
        <v>39</v>
      </c>
      <c r="F534" s="2">
        <v>5</v>
      </c>
      <c r="G534" s="3">
        <v>740.01</v>
      </c>
      <c r="H534">
        <v>68</v>
      </c>
      <c r="I534">
        <f>IF(Table1[[#This Row],[Status]]= "Sufficient",
     Table1[[#This Row],[Stock_Quantity]] - Table1[[#This Row],[Reorder_Level]],
     0)</f>
        <v>0</v>
      </c>
      <c r="J534" s="4">
        <v>44938</v>
      </c>
      <c r="K534" s="5" t="s">
        <v>28</v>
      </c>
      <c r="L534">
        <f>YEAR(Table1[[#This Row],[Last_Restock_Date]])</f>
        <v>2023</v>
      </c>
      <c r="M534" t="str">
        <f>_xlfn.CONCAT(TEXT(Table1[[#This Row],[Last_Restock_Date]],"mmm"), "-", YEAR(Table1[[#This Row],[Last_Restock_Date]]))</f>
        <v>Jan-2023</v>
      </c>
      <c r="N534">
        <f>MONTH(Table1[[#This Row],[Last_Restock_Date]])</f>
        <v>1</v>
      </c>
      <c r="O534" t="str" cm="1">
        <f t="array" ref="O534">_xlfn.SWITCH(Table1[[#This Row],[Month_Number]],
    1,"Q1",2,"Q1",3,"Q1",
    4,"Q2",5,"Q2",6,"Q2",
    7,"Q3",8,"Q3",9,"Q3",
    10,"Q4",11,"Q4",12,"Q4",
    "Invalid Month"
)</f>
        <v>Q1</v>
      </c>
      <c r="P534" t="str">
        <f>TEXT(Table1[[#This Row],[Last_Restock_Date]],"mmm")</f>
        <v>Jan</v>
      </c>
    </row>
    <row r="535" spans="1:16" x14ac:dyDescent="0.25">
      <c r="A535">
        <v>534</v>
      </c>
      <c r="B535" s="5" t="s">
        <v>47</v>
      </c>
      <c r="C535" s="5" t="s">
        <v>20</v>
      </c>
      <c r="D535" s="5" t="s">
        <v>21</v>
      </c>
      <c r="E535" s="5" t="s">
        <v>32</v>
      </c>
      <c r="F535" s="2">
        <v>205</v>
      </c>
      <c r="G535" s="3">
        <v>703.33</v>
      </c>
      <c r="H535">
        <v>78</v>
      </c>
      <c r="I535">
        <f>IF(Table1[[#This Row],[Status]]= "Sufficient",
     Table1[[#This Row],[Stock_Quantity]] - Table1[[#This Row],[Reorder_Level]],
     0)</f>
        <v>127</v>
      </c>
      <c r="J535" s="4">
        <v>45189</v>
      </c>
      <c r="K535" s="5" t="s">
        <v>14</v>
      </c>
      <c r="L535">
        <f>YEAR(Table1[[#This Row],[Last_Restock_Date]])</f>
        <v>2023</v>
      </c>
      <c r="M535" t="str">
        <f>_xlfn.CONCAT(TEXT(Table1[[#This Row],[Last_Restock_Date]],"mmm"), "-", YEAR(Table1[[#This Row],[Last_Restock_Date]]))</f>
        <v>Sep-2023</v>
      </c>
      <c r="N535">
        <f>MONTH(Table1[[#This Row],[Last_Restock_Date]])</f>
        <v>9</v>
      </c>
      <c r="O535" t="str" cm="1">
        <f t="array" ref="O535">_xlfn.SWITCH(Table1[[#This Row],[Month_Number]],
    1,"Q1",2,"Q1",3,"Q1",
    4,"Q2",5,"Q2",6,"Q2",
    7,"Q3",8,"Q3",9,"Q3",
    10,"Q4",11,"Q4",12,"Q4",
    "Invalid Month"
)</f>
        <v>Q3</v>
      </c>
      <c r="P535" t="str">
        <f>TEXT(Table1[[#This Row],[Last_Restock_Date]],"mmm")</f>
        <v>Sep</v>
      </c>
    </row>
    <row r="536" spans="1:16" x14ac:dyDescent="0.25">
      <c r="A536">
        <v>535</v>
      </c>
      <c r="B536" s="5" t="s">
        <v>41</v>
      </c>
      <c r="C536" s="5" t="s">
        <v>16</v>
      </c>
      <c r="D536" s="5" t="s">
        <v>12</v>
      </c>
      <c r="E536" s="5" t="s">
        <v>18</v>
      </c>
      <c r="F536" s="2">
        <v>45</v>
      </c>
      <c r="G536" s="3">
        <v>619.87</v>
      </c>
      <c r="H536">
        <v>87</v>
      </c>
      <c r="I536">
        <f>IF(Table1[[#This Row],[Status]]= "Sufficient",
     Table1[[#This Row],[Stock_Quantity]] - Table1[[#This Row],[Reorder_Level]],
     0)</f>
        <v>0</v>
      </c>
      <c r="J536" s="4">
        <v>45749</v>
      </c>
      <c r="K536" s="5" t="s">
        <v>28</v>
      </c>
      <c r="L536">
        <f>YEAR(Table1[[#This Row],[Last_Restock_Date]])</f>
        <v>2025</v>
      </c>
      <c r="M536" t="str">
        <f>_xlfn.CONCAT(TEXT(Table1[[#This Row],[Last_Restock_Date]],"mmm"), "-", YEAR(Table1[[#This Row],[Last_Restock_Date]]))</f>
        <v>Apr-2025</v>
      </c>
      <c r="N536">
        <f>MONTH(Table1[[#This Row],[Last_Restock_Date]])</f>
        <v>4</v>
      </c>
      <c r="O536" t="str" cm="1">
        <f t="array" ref="O536">_xlfn.SWITCH(Table1[[#This Row],[Month_Number]],
    1,"Q1",2,"Q1",3,"Q1",
    4,"Q2",5,"Q2",6,"Q2",
    7,"Q3",8,"Q3",9,"Q3",
    10,"Q4",11,"Q4",12,"Q4",
    "Invalid Month"
)</f>
        <v>Q2</v>
      </c>
      <c r="P536" t="str">
        <f>TEXT(Table1[[#This Row],[Last_Restock_Date]],"mmm")</f>
        <v>Apr</v>
      </c>
    </row>
    <row r="537" spans="1:16" x14ac:dyDescent="0.25">
      <c r="A537">
        <v>536</v>
      </c>
      <c r="B537" s="5" t="s">
        <v>48</v>
      </c>
      <c r="C537" s="5" t="s">
        <v>20</v>
      </c>
      <c r="D537" s="5" t="s">
        <v>21</v>
      </c>
      <c r="E537" s="5" t="s">
        <v>27</v>
      </c>
      <c r="F537" s="2">
        <v>360</v>
      </c>
      <c r="G537" s="3">
        <v>492.9</v>
      </c>
      <c r="H537">
        <v>148</v>
      </c>
      <c r="I537">
        <f>IF(Table1[[#This Row],[Status]]= "Sufficient",
     Table1[[#This Row],[Stock_Quantity]] - Table1[[#This Row],[Reorder_Level]],
     0)</f>
        <v>212</v>
      </c>
      <c r="J537" s="4">
        <v>45449</v>
      </c>
      <c r="K537" s="5" t="s">
        <v>14</v>
      </c>
      <c r="L537">
        <f>YEAR(Table1[[#This Row],[Last_Restock_Date]])</f>
        <v>2024</v>
      </c>
      <c r="M537" t="str">
        <f>_xlfn.CONCAT(TEXT(Table1[[#This Row],[Last_Restock_Date]],"mmm"), "-", YEAR(Table1[[#This Row],[Last_Restock_Date]]))</f>
        <v>Jun-2024</v>
      </c>
      <c r="N537">
        <f>MONTH(Table1[[#This Row],[Last_Restock_Date]])</f>
        <v>6</v>
      </c>
      <c r="O537" t="str" cm="1">
        <f t="array" ref="O537">_xlfn.SWITCH(Table1[[#This Row],[Month_Number]],
    1,"Q1",2,"Q1",3,"Q1",
    4,"Q2",5,"Q2",6,"Q2",
    7,"Q3",8,"Q3",9,"Q3",
    10,"Q4",11,"Q4",12,"Q4",
    "Invalid Month"
)</f>
        <v>Q2</v>
      </c>
      <c r="P537" t="str">
        <f>TEXT(Table1[[#This Row],[Last_Restock_Date]],"mmm")</f>
        <v>Jun</v>
      </c>
    </row>
    <row r="538" spans="1:16" x14ac:dyDescent="0.25">
      <c r="A538">
        <v>537</v>
      </c>
      <c r="B538" s="5" t="s">
        <v>52</v>
      </c>
      <c r="C538" s="5" t="s">
        <v>16</v>
      </c>
      <c r="D538" s="5" t="s">
        <v>12</v>
      </c>
      <c r="E538" s="5" t="s">
        <v>39</v>
      </c>
      <c r="F538" s="2">
        <v>169</v>
      </c>
      <c r="G538" s="3">
        <v>233.22</v>
      </c>
      <c r="H538">
        <v>100</v>
      </c>
      <c r="I538">
        <f>IF(Table1[[#This Row],[Status]]= "Sufficient",
     Table1[[#This Row],[Stock_Quantity]] - Table1[[#This Row],[Reorder_Level]],
     0)</f>
        <v>69</v>
      </c>
      <c r="J538" s="4">
        <v>45453</v>
      </c>
      <c r="K538" s="5" t="s">
        <v>14</v>
      </c>
      <c r="L538">
        <f>YEAR(Table1[[#This Row],[Last_Restock_Date]])</f>
        <v>2024</v>
      </c>
      <c r="M538" t="str">
        <f>_xlfn.CONCAT(TEXT(Table1[[#This Row],[Last_Restock_Date]],"mmm"), "-", YEAR(Table1[[#This Row],[Last_Restock_Date]]))</f>
        <v>Jun-2024</v>
      </c>
      <c r="N538">
        <f>MONTH(Table1[[#This Row],[Last_Restock_Date]])</f>
        <v>6</v>
      </c>
      <c r="O538" t="str" cm="1">
        <f t="array" ref="O538">_xlfn.SWITCH(Table1[[#This Row],[Month_Number]],
    1,"Q1",2,"Q1",3,"Q1",
    4,"Q2",5,"Q2",6,"Q2",
    7,"Q3",8,"Q3",9,"Q3",
    10,"Q4",11,"Q4",12,"Q4",
    "Invalid Month"
)</f>
        <v>Q2</v>
      </c>
      <c r="P538" t="str">
        <f>TEXT(Table1[[#This Row],[Last_Restock_Date]],"mmm")</f>
        <v>Jun</v>
      </c>
    </row>
    <row r="539" spans="1:16" x14ac:dyDescent="0.25">
      <c r="A539">
        <v>538</v>
      </c>
      <c r="B539" s="5" t="s">
        <v>15</v>
      </c>
      <c r="C539" s="5" t="s">
        <v>16</v>
      </c>
      <c r="D539" s="5" t="s">
        <v>30</v>
      </c>
      <c r="E539" s="5" t="s">
        <v>18</v>
      </c>
      <c r="F539" s="2">
        <v>176</v>
      </c>
      <c r="G539" s="3">
        <v>226.14</v>
      </c>
      <c r="H539">
        <v>116</v>
      </c>
      <c r="I539">
        <f>IF(Table1[[#This Row],[Status]]= "Sufficient",
     Table1[[#This Row],[Stock_Quantity]] - Table1[[#This Row],[Reorder_Level]],
     0)</f>
        <v>60</v>
      </c>
      <c r="J539" s="4">
        <v>45293</v>
      </c>
      <c r="K539" s="5" t="s">
        <v>14</v>
      </c>
      <c r="L539">
        <f>YEAR(Table1[[#This Row],[Last_Restock_Date]])</f>
        <v>2024</v>
      </c>
      <c r="M539" t="str">
        <f>_xlfn.CONCAT(TEXT(Table1[[#This Row],[Last_Restock_Date]],"mmm"), "-", YEAR(Table1[[#This Row],[Last_Restock_Date]]))</f>
        <v>Jan-2024</v>
      </c>
      <c r="N539">
        <f>MONTH(Table1[[#This Row],[Last_Restock_Date]])</f>
        <v>1</v>
      </c>
      <c r="O539" t="str" cm="1">
        <f t="array" ref="O539">_xlfn.SWITCH(Table1[[#This Row],[Month_Number]],
    1,"Q1",2,"Q1",3,"Q1",
    4,"Q2",5,"Q2",6,"Q2",
    7,"Q3",8,"Q3",9,"Q3",
    10,"Q4",11,"Q4",12,"Q4",
    "Invalid Month"
)</f>
        <v>Q1</v>
      </c>
      <c r="P539" t="str">
        <f>TEXT(Table1[[#This Row],[Last_Restock_Date]],"mmm")</f>
        <v>Jan</v>
      </c>
    </row>
    <row r="540" spans="1:16" x14ac:dyDescent="0.25">
      <c r="A540">
        <v>539</v>
      </c>
      <c r="B540" s="5" t="s">
        <v>42</v>
      </c>
      <c r="C540" s="5" t="s">
        <v>16</v>
      </c>
      <c r="D540" s="5" t="s">
        <v>17</v>
      </c>
      <c r="E540" s="5" t="s">
        <v>18</v>
      </c>
      <c r="F540" s="2">
        <v>414</v>
      </c>
      <c r="G540" s="3">
        <v>299.14</v>
      </c>
      <c r="H540">
        <v>131</v>
      </c>
      <c r="I540">
        <f>IF(Table1[[#This Row],[Status]]= "Sufficient",
     Table1[[#This Row],[Stock_Quantity]] - Table1[[#This Row],[Reorder_Level]],
     0)</f>
        <v>283</v>
      </c>
      <c r="J540" s="4">
        <v>45846</v>
      </c>
      <c r="K540" s="5" t="s">
        <v>14</v>
      </c>
      <c r="L540">
        <f>YEAR(Table1[[#This Row],[Last_Restock_Date]])</f>
        <v>2025</v>
      </c>
      <c r="M540" t="str">
        <f>_xlfn.CONCAT(TEXT(Table1[[#This Row],[Last_Restock_Date]],"mmm"), "-", YEAR(Table1[[#This Row],[Last_Restock_Date]]))</f>
        <v>Jul-2025</v>
      </c>
      <c r="N540">
        <f>MONTH(Table1[[#This Row],[Last_Restock_Date]])</f>
        <v>7</v>
      </c>
      <c r="O540" t="str" cm="1">
        <f t="array" ref="O540">_xlfn.SWITCH(Table1[[#This Row],[Month_Number]],
    1,"Q1",2,"Q1",3,"Q1",
    4,"Q2",5,"Q2",6,"Q2",
    7,"Q3",8,"Q3",9,"Q3",
    10,"Q4",11,"Q4",12,"Q4",
    "Invalid Month"
)</f>
        <v>Q3</v>
      </c>
      <c r="P540" t="str">
        <f>TEXT(Table1[[#This Row],[Last_Restock_Date]],"mmm")</f>
        <v>Jul</v>
      </c>
    </row>
    <row r="541" spans="1:16" x14ac:dyDescent="0.25">
      <c r="A541">
        <v>540</v>
      </c>
      <c r="B541" s="5" t="s">
        <v>43</v>
      </c>
      <c r="C541" s="5" t="s">
        <v>26</v>
      </c>
      <c r="D541" s="5" t="s">
        <v>24</v>
      </c>
      <c r="E541" s="5" t="s">
        <v>37</v>
      </c>
      <c r="F541" s="2">
        <v>136</v>
      </c>
      <c r="G541" s="3">
        <v>334.81</v>
      </c>
      <c r="H541">
        <v>90</v>
      </c>
      <c r="I541">
        <f>IF(Table1[[#This Row],[Status]]= "Sufficient",
     Table1[[#This Row],[Stock_Quantity]] - Table1[[#This Row],[Reorder_Level]],
     0)</f>
        <v>46</v>
      </c>
      <c r="J541" s="4">
        <v>45380</v>
      </c>
      <c r="K541" s="5" t="s">
        <v>14</v>
      </c>
      <c r="L541">
        <f>YEAR(Table1[[#This Row],[Last_Restock_Date]])</f>
        <v>2024</v>
      </c>
      <c r="M541" t="str">
        <f>_xlfn.CONCAT(TEXT(Table1[[#This Row],[Last_Restock_Date]],"mmm"), "-", YEAR(Table1[[#This Row],[Last_Restock_Date]]))</f>
        <v>Mar-2024</v>
      </c>
      <c r="N541">
        <f>MONTH(Table1[[#This Row],[Last_Restock_Date]])</f>
        <v>3</v>
      </c>
      <c r="O541" t="str" cm="1">
        <f t="array" ref="O541">_xlfn.SWITCH(Table1[[#This Row],[Month_Number]],
    1,"Q1",2,"Q1",3,"Q1",
    4,"Q2",5,"Q2",6,"Q2",
    7,"Q3",8,"Q3",9,"Q3",
    10,"Q4",11,"Q4",12,"Q4",
    "Invalid Month"
)</f>
        <v>Q1</v>
      </c>
      <c r="P541" t="str">
        <f>TEXT(Table1[[#This Row],[Last_Restock_Date]],"mmm")</f>
        <v>Mar</v>
      </c>
    </row>
    <row r="542" spans="1:16" x14ac:dyDescent="0.25">
      <c r="A542">
        <v>541</v>
      </c>
      <c r="B542" s="5" t="s">
        <v>38</v>
      </c>
      <c r="C542" s="5" t="s">
        <v>26</v>
      </c>
      <c r="D542" s="5" t="s">
        <v>21</v>
      </c>
      <c r="E542" s="5" t="s">
        <v>37</v>
      </c>
      <c r="F542" s="2">
        <v>113</v>
      </c>
      <c r="G542" s="3">
        <v>403.57</v>
      </c>
      <c r="H542">
        <v>67</v>
      </c>
      <c r="I542">
        <f>IF(Table1[[#This Row],[Status]]= "Sufficient",
     Table1[[#This Row],[Stock_Quantity]] - Table1[[#This Row],[Reorder_Level]],
     0)</f>
        <v>46</v>
      </c>
      <c r="J542" s="4">
        <v>45522</v>
      </c>
      <c r="K542" s="5" t="s">
        <v>14</v>
      </c>
      <c r="L542">
        <f>YEAR(Table1[[#This Row],[Last_Restock_Date]])</f>
        <v>2024</v>
      </c>
      <c r="M542" t="str">
        <f>_xlfn.CONCAT(TEXT(Table1[[#This Row],[Last_Restock_Date]],"mmm"), "-", YEAR(Table1[[#This Row],[Last_Restock_Date]]))</f>
        <v>Aug-2024</v>
      </c>
      <c r="N542">
        <f>MONTH(Table1[[#This Row],[Last_Restock_Date]])</f>
        <v>8</v>
      </c>
      <c r="O542" t="str" cm="1">
        <f t="array" ref="O542">_xlfn.SWITCH(Table1[[#This Row],[Month_Number]],
    1,"Q1",2,"Q1",3,"Q1",
    4,"Q2",5,"Q2",6,"Q2",
    7,"Q3",8,"Q3",9,"Q3",
    10,"Q4",11,"Q4",12,"Q4",
    "Invalid Month"
)</f>
        <v>Q3</v>
      </c>
      <c r="P542" t="str">
        <f>TEXT(Table1[[#This Row],[Last_Restock_Date]],"mmm")</f>
        <v>Aug</v>
      </c>
    </row>
    <row r="543" spans="1:16" x14ac:dyDescent="0.25">
      <c r="A543">
        <v>542</v>
      </c>
      <c r="B543" s="5" t="s">
        <v>31</v>
      </c>
      <c r="C543" s="5" t="s">
        <v>20</v>
      </c>
      <c r="D543" s="5" t="s">
        <v>30</v>
      </c>
      <c r="E543" s="5" t="s">
        <v>32</v>
      </c>
      <c r="F543" s="2">
        <v>399</v>
      </c>
      <c r="G543" s="3">
        <v>763.94</v>
      </c>
      <c r="H543">
        <v>94</v>
      </c>
      <c r="I543">
        <f>IF(Table1[[#This Row],[Status]]= "Sufficient",
     Table1[[#This Row],[Stock_Quantity]] - Table1[[#This Row],[Reorder_Level]],
     0)</f>
        <v>305</v>
      </c>
      <c r="J543" s="4">
        <v>45139</v>
      </c>
      <c r="K543" s="5" t="s">
        <v>14</v>
      </c>
      <c r="L543">
        <f>YEAR(Table1[[#This Row],[Last_Restock_Date]])</f>
        <v>2023</v>
      </c>
      <c r="M543" t="str">
        <f>_xlfn.CONCAT(TEXT(Table1[[#This Row],[Last_Restock_Date]],"mmm"), "-", YEAR(Table1[[#This Row],[Last_Restock_Date]]))</f>
        <v>Aug-2023</v>
      </c>
      <c r="N543">
        <f>MONTH(Table1[[#This Row],[Last_Restock_Date]])</f>
        <v>8</v>
      </c>
      <c r="O543" t="str" cm="1">
        <f t="array" ref="O543">_xlfn.SWITCH(Table1[[#This Row],[Month_Number]],
    1,"Q1",2,"Q1",3,"Q1",
    4,"Q2",5,"Q2",6,"Q2",
    7,"Q3",8,"Q3",9,"Q3",
    10,"Q4",11,"Q4",12,"Q4",
    "Invalid Month"
)</f>
        <v>Q3</v>
      </c>
      <c r="P543" t="str">
        <f>TEXT(Table1[[#This Row],[Last_Restock_Date]],"mmm")</f>
        <v>Aug</v>
      </c>
    </row>
    <row r="544" spans="1:16" x14ac:dyDescent="0.25">
      <c r="A544">
        <v>543</v>
      </c>
      <c r="B544" s="5" t="s">
        <v>19</v>
      </c>
      <c r="C544" s="5" t="s">
        <v>20</v>
      </c>
      <c r="D544" s="5" t="s">
        <v>17</v>
      </c>
      <c r="E544" s="5" t="s">
        <v>37</v>
      </c>
      <c r="F544" s="2">
        <v>281</v>
      </c>
      <c r="G544" s="3">
        <v>279.57</v>
      </c>
      <c r="H544">
        <v>56</v>
      </c>
      <c r="I544">
        <f>IF(Table1[[#This Row],[Status]]= "Sufficient",
     Table1[[#This Row],[Stock_Quantity]] - Table1[[#This Row],[Reorder_Level]],
     0)</f>
        <v>225</v>
      </c>
      <c r="J544" s="4">
        <v>45685</v>
      </c>
      <c r="K544" s="5" t="s">
        <v>14</v>
      </c>
      <c r="L544">
        <f>YEAR(Table1[[#This Row],[Last_Restock_Date]])</f>
        <v>2025</v>
      </c>
      <c r="M544" t="str">
        <f>_xlfn.CONCAT(TEXT(Table1[[#This Row],[Last_Restock_Date]],"mmm"), "-", YEAR(Table1[[#This Row],[Last_Restock_Date]]))</f>
        <v>Jan-2025</v>
      </c>
      <c r="N544">
        <f>MONTH(Table1[[#This Row],[Last_Restock_Date]])</f>
        <v>1</v>
      </c>
      <c r="O544" t="str" cm="1">
        <f t="array" ref="O544">_xlfn.SWITCH(Table1[[#This Row],[Month_Number]],
    1,"Q1",2,"Q1",3,"Q1",
    4,"Q2",5,"Q2",6,"Q2",
    7,"Q3",8,"Q3",9,"Q3",
    10,"Q4",11,"Q4",12,"Q4",
    "Invalid Month"
)</f>
        <v>Q1</v>
      </c>
      <c r="P544" t="str">
        <f>TEXT(Table1[[#This Row],[Last_Restock_Date]],"mmm")</f>
        <v>Jan</v>
      </c>
    </row>
    <row r="545" spans="1:16" x14ac:dyDescent="0.25">
      <c r="A545">
        <v>544</v>
      </c>
      <c r="B545" s="5" t="s">
        <v>50</v>
      </c>
      <c r="C545" s="5" t="s">
        <v>34</v>
      </c>
      <c r="D545" s="5" t="s">
        <v>30</v>
      </c>
      <c r="E545" s="5" t="s">
        <v>27</v>
      </c>
      <c r="F545" s="2">
        <v>484</v>
      </c>
      <c r="G545" s="3">
        <v>440.77</v>
      </c>
      <c r="H545">
        <v>91</v>
      </c>
      <c r="I545">
        <f>IF(Table1[[#This Row],[Status]]= "Sufficient",
     Table1[[#This Row],[Stock_Quantity]] - Table1[[#This Row],[Reorder_Level]],
     0)</f>
        <v>393</v>
      </c>
      <c r="J545" s="4">
        <v>45194</v>
      </c>
      <c r="K545" s="5" t="s">
        <v>14</v>
      </c>
      <c r="L545">
        <f>YEAR(Table1[[#This Row],[Last_Restock_Date]])</f>
        <v>2023</v>
      </c>
      <c r="M545" t="str">
        <f>_xlfn.CONCAT(TEXT(Table1[[#This Row],[Last_Restock_Date]],"mmm"), "-", YEAR(Table1[[#This Row],[Last_Restock_Date]]))</f>
        <v>Sep-2023</v>
      </c>
      <c r="N545">
        <f>MONTH(Table1[[#This Row],[Last_Restock_Date]])</f>
        <v>9</v>
      </c>
      <c r="O545" t="str" cm="1">
        <f t="array" ref="O545">_xlfn.SWITCH(Table1[[#This Row],[Month_Number]],
    1,"Q1",2,"Q1",3,"Q1",
    4,"Q2",5,"Q2",6,"Q2",
    7,"Q3",8,"Q3",9,"Q3",
    10,"Q4",11,"Q4",12,"Q4",
    "Invalid Month"
)</f>
        <v>Q3</v>
      </c>
      <c r="P545" t="str">
        <f>TEXT(Table1[[#This Row],[Last_Restock_Date]],"mmm")</f>
        <v>Sep</v>
      </c>
    </row>
    <row r="546" spans="1:16" x14ac:dyDescent="0.25">
      <c r="A546">
        <v>545</v>
      </c>
      <c r="B546" s="5" t="s">
        <v>46</v>
      </c>
      <c r="C546" s="5" t="s">
        <v>34</v>
      </c>
      <c r="D546" s="5" t="s">
        <v>17</v>
      </c>
      <c r="E546" s="5" t="s">
        <v>37</v>
      </c>
      <c r="F546" s="2">
        <v>12</v>
      </c>
      <c r="G546" s="3">
        <v>110.23</v>
      </c>
      <c r="H546">
        <v>84</v>
      </c>
      <c r="I546">
        <f>IF(Table1[[#This Row],[Status]]= "Sufficient",
     Table1[[#This Row],[Stock_Quantity]] - Table1[[#This Row],[Reorder_Level]],
     0)</f>
        <v>0</v>
      </c>
      <c r="J546" s="4">
        <v>45264</v>
      </c>
      <c r="K546" s="5" t="s">
        <v>28</v>
      </c>
      <c r="L546">
        <f>YEAR(Table1[[#This Row],[Last_Restock_Date]])</f>
        <v>2023</v>
      </c>
      <c r="M546" t="str">
        <f>_xlfn.CONCAT(TEXT(Table1[[#This Row],[Last_Restock_Date]],"mmm"), "-", YEAR(Table1[[#This Row],[Last_Restock_Date]]))</f>
        <v>Dec-2023</v>
      </c>
      <c r="N546">
        <f>MONTH(Table1[[#This Row],[Last_Restock_Date]])</f>
        <v>12</v>
      </c>
      <c r="O546" t="str" cm="1">
        <f t="array" ref="O546">_xlfn.SWITCH(Table1[[#This Row],[Month_Number]],
    1,"Q1",2,"Q1",3,"Q1",
    4,"Q2",5,"Q2",6,"Q2",
    7,"Q3",8,"Q3",9,"Q3",
    10,"Q4",11,"Q4",12,"Q4",
    "Invalid Month"
)</f>
        <v>Q4</v>
      </c>
      <c r="P546" t="str">
        <f>TEXT(Table1[[#This Row],[Last_Restock_Date]],"mmm")</f>
        <v>Dec</v>
      </c>
    </row>
    <row r="547" spans="1:16" x14ac:dyDescent="0.25">
      <c r="A547">
        <v>546</v>
      </c>
      <c r="B547" s="5" t="s">
        <v>49</v>
      </c>
      <c r="C547" s="5" t="s">
        <v>16</v>
      </c>
      <c r="D547" s="5" t="s">
        <v>17</v>
      </c>
      <c r="E547" s="5" t="s">
        <v>13</v>
      </c>
      <c r="F547" s="2">
        <v>314</v>
      </c>
      <c r="G547" s="3">
        <v>749.88</v>
      </c>
      <c r="H547">
        <v>95</v>
      </c>
      <c r="I547">
        <f>IF(Table1[[#This Row],[Status]]= "Sufficient",
     Table1[[#This Row],[Stock_Quantity]] - Table1[[#This Row],[Reorder_Level]],
     0)</f>
        <v>219</v>
      </c>
      <c r="J547" s="4">
        <v>45268</v>
      </c>
      <c r="K547" s="5" t="s">
        <v>14</v>
      </c>
      <c r="L547">
        <f>YEAR(Table1[[#This Row],[Last_Restock_Date]])</f>
        <v>2023</v>
      </c>
      <c r="M547" t="str">
        <f>_xlfn.CONCAT(TEXT(Table1[[#This Row],[Last_Restock_Date]],"mmm"), "-", YEAR(Table1[[#This Row],[Last_Restock_Date]]))</f>
        <v>Dec-2023</v>
      </c>
      <c r="N547">
        <f>MONTH(Table1[[#This Row],[Last_Restock_Date]])</f>
        <v>12</v>
      </c>
      <c r="O547" t="str" cm="1">
        <f t="array" ref="O547">_xlfn.SWITCH(Table1[[#This Row],[Month_Number]],
    1,"Q1",2,"Q1",3,"Q1",
    4,"Q2",5,"Q2",6,"Q2",
    7,"Q3",8,"Q3",9,"Q3",
    10,"Q4",11,"Q4",12,"Q4",
    "Invalid Month"
)</f>
        <v>Q4</v>
      </c>
      <c r="P547" t="str">
        <f>TEXT(Table1[[#This Row],[Last_Restock_Date]],"mmm")</f>
        <v>Dec</v>
      </c>
    </row>
    <row r="548" spans="1:16" x14ac:dyDescent="0.25">
      <c r="A548">
        <v>547</v>
      </c>
      <c r="B548" s="5" t="s">
        <v>54</v>
      </c>
      <c r="C548" s="5" t="s">
        <v>20</v>
      </c>
      <c r="D548" s="5" t="s">
        <v>12</v>
      </c>
      <c r="E548" s="5" t="s">
        <v>39</v>
      </c>
      <c r="F548" s="2">
        <v>343</v>
      </c>
      <c r="G548" s="3">
        <v>283.72000000000003</v>
      </c>
      <c r="H548">
        <v>136</v>
      </c>
      <c r="I548">
        <f>IF(Table1[[#This Row],[Status]]= "Sufficient",
     Table1[[#This Row],[Stock_Quantity]] - Table1[[#This Row],[Reorder_Level]],
     0)</f>
        <v>207</v>
      </c>
      <c r="J548" s="4">
        <v>45338</v>
      </c>
      <c r="K548" s="5" t="s">
        <v>14</v>
      </c>
      <c r="L548">
        <f>YEAR(Table1[[#This Row],[Last_Restock_Date]])</f>
        <v>2024</v>
      </c>
      <c r="M548" t="str">
        <f>_xlfn.CONCAT(TEXT(Table1[[#This Row],[Last_Restock_Date]],"mmm"), "-", YEAR(Table1[[#This Row],[Last_Restock_Date]]))</f>
        <v>Feb-2024</v>
      </c>
      <c r="N548">
        <f>MONTH(Table1[[#This Row],[Last_Restock_Date]])</f>
        <v>2</v>
      </c>
      <c r="O548" t="str" cm="1">
        <f t="array" ref="O548">_xlfn.SWITCH(Table1[[#This Row],[Month_Number]],
    1,"Q1",2,"Q1",3,"Q1",
    4,"Q2",5,"Q2",6,"Q2",
    7,"Q3",8,"Q3",9,"Q3",
    10,"Q4",11,"Q4",12,"Q4",
    "Invalid Month"
)</f>
        <v>Q1</v>
      </c>
      <c r="P548" t="str">
        <f>TEXT(Table1[[#This Row],[Last_Restock_Date]],"mmm")</f>
        <v>Feb</v>
      </c>
    </row>
    <row r="549" spans="1:16" x14ac:dyDescent="0.25">
      <c r="A549">
        <v>548</v>
      </c>
      <c r="B549" s="5" t="s">
        <v>44</v>
      </c>
      <c r="C549" s="5" t="s">
        <v>34</v>
      </c>
      <c r="D549" s="5" t="s">
        <v>24</v>
      </c>
      <c r="E549" s="5" t="s">
        <v>37</v>
      </c>
      <c r="F549" s="2">
        <v>220</v>
      </c>
      <c r="G549" s="3">
        <v>542.29</v>
      </c>
      <c r="H549">
        <v>76</v>
      </c>
      <c r="I549">
        <f>IF(Table1[[#This Row],[Status]]= "Sufficient",
     Table1[[#This Row],[Stock_Quantity]] - Table1[[#This Row],[Reorder_Level]],
     0)</f>
        <v>144</v>
      </c>
      <c r="J549" s="4">
        <v>45212</v>
      </c>
      <c r="K549" s="5" t="s">
        <v>14</v>
      </c>
      <c r="L549">
        <f>YEAR(Table1[[#This Row],[Last_Restock_Date]])</f>
        <v>2023</v>
      </c>
      <c r="M549" t="str">
        <f>_xlfn.CONCAT(TEXT(Table1[[#This Row],[Last_Restock_Date]],"mmm"), "-", YEAR(Table1[[#This Row],[Last_Restock_Date]]))</f>
        <v>Oct-2023</v>
      </c>
      <c r="N549">
        <f>MONTH(Table1[[#This Row],[Last_Restock_Date]])</f>
        <v>10</v>
      </c>
      <c r="O549" t="str" cm="1">
        <f t="array" ref="O549">_xlfn.SWITCH(Table1[[#This Row],[Month_Number]],
    1,"Q1",2,"Q1",3,"Q1",
    4,"Q2",5,"Q2",6,"Q2",
    7,"Q3",8,"Q3",9,"Q3",
    10,"Q4",11,"Q4",12,"Q4",
    "Invalid Month"
)</f>
        <v>Q4</v>
      </c>
      <c r="P549" t="str">
        <f>TEXT(Table1[[#This Row],[Last_Restock_Date]],"mmm")</f>
        <v>Oct</v>
      </c>
    </row>
    <row r="550" spans="1:16" x14ac:dyDescent="0.25">
      <c r="A550">
        <v>549</v>
      </c>
      <c r="B550" s="5" t="s">
        <v>48</v>
      </c>
      <c r="C550" s="5" t="s">
        <v>20</v>
      </c>
      <c r="D550" s="5" t="s">
        <v>24</v>
      </c>
      <c r="E550" s="5" t="s">
        <v>39</v>
      </c>
      <c r="F550" s="2">
        <v>463</v>
      </c>
      <c r="G550" s="3">
        <v>750.48</v>
      </c>
      <c r="H550">
        <v>103</v>
      </c>
      <c r="I550">
        <f>IF(Table1[[#This Row],[Status]]= "Sufficient",
     Table1[[#This Row],[Stock_Quantity]] - Table1[[#This Row],[Reorder_Level]],
     0)</f>
        <v>360</v>
      </c>
      <c r="J550" s="4">
        <v>45509</v>
      </c>
      <c r="K550" s="5" t="s">
        <v>14</v>
      </c>
      <c r="L550">
        <f>YEAR(Table1[[#This Row],[Last_Restock_Date]])</f>
        <v>2024</v>
      </c>
      <c r="M550" t="str">
        <f>_xlfn.CONCAT(TEXT(Table1[[#This Row],[Last_Restock_Date]],"mmm"), "-", YEAR(Table1[[#This Row],[Last_Restock_Date]]))</f>
        <v>Aug-2024</v>
      </c>
      <c r="N550">
        <f>MONTH(Table1[[#This Row],[Last_Restock_Date]])</f>
        <v>8</v>
      </c>
      <c r="O550" t="str" cm="1">
        <f t="array" ref="O550">_xlfn.SWITCH(Table1[[#This Row],[Month_Number]],
    1,"Q1",2,"Q1",3,"Q1",
    4,"Q2",5,"Q2",6,"Q2",
    7,"Q3",8,"Q3",9,"Q3",
    10,"Q4",11,"Q4",12,"Q4",
    "Invalid Month"
)</f>
        <v>Q3</v>
      </c>
      <c r="P550" t="str">
        <f>TEXT(Table1[[#This Row],[Last_Restock_Date]],"mmm")</f>
        <v>Aug</v>
      </c>
    </row>
    <row r="551" spans="1:16" x14ac:dyDescent="0.25">
      <c r="A551">
        <v>550</v>
      </c>
      <c r="B551" s="5" t="s">
        <v>38</v>
      </c>
      <c r="C551" s="5" t="s">
        <v>26</v>
      </c>
      <c r="D551" s="5" t="s">
        <v>30</v>
      </c>
      <c r="E551" s="5" t="s">
        <v>13</v>
      </c>
      <c r="F551" s="2">
        <v>134</v>
      </c>
      <c r="G551" s="3">
        <v>19.170000000000002</v>
      </c>
      <c r="H551">
        <v>133</v>
      </c>
      <c r="I551">
        <f>IF(Table1[[#This Row],[Status]]= "Sufficient",
     Table1[[#This Row],[Stock_Quantity]] - Table1[[#This Row],[Reorder_Level]],
     0)</f>
        <v>1</v>
      </c>
      <c r="J551" s="4">
        <v>45840</v>
      </c>
      <c r="K551" s="5" t="s">
        <v>14</v>
      </c>
      <c r="L551">
        <f>YEAR(Table1[[#This Row],[Last_Restock_Date]])</f>
        <v>2025</v>
      </c>
      <c r="M551" t="str">
        <f>_xlfn.CONCAT(TEXT(Table1[[#This Row],[Last_Restock_Date]],"mmm"), "-", YEAR(Table1[[#This Row],[Last_Restock_Date]]))</f>
        <v>Jul-2025</v>
      </c>
      <c r="N551">
        <f>MONTH(Table1[[#This Row],[Last_Restock_Date]])</f>
        <v>7</v>
      </c>
      <c r="O551" t="str" cm="1">
        <f t="array" ref="O551">_xlfn.SWITCH(Table1[[#This Row],[Month_Number]],
    1,"Q1",2,"Q1",3,"Q1",
    4,"Q2",5,"Q2",6,"Q2",
    7,"Q3",8,"Q3",9,"Q3",
    10,"Q4",11,"Q4",12,"Q4",
    "Invalid Month"
)</f>
        <v>Q3</v>
      </c>
      <c r="P551" t="str">
        <f>TEXT(Table1[[#This Row],[Last_Restock_Date]],"mmm")</f>
        <v>Jul</v>
      </c>
    </row>
    <row r="552" spans="1:16" x14ac:dyDescent="0.25">
      <c r="A552">
        <v>551</v>
      </c>
      <c r="B552" s="5" t="s">
        <v>41</v>
      </c>
      <c r="C552" s="5" t="s">
        <v>16</v>
      </c>
      <c r="D552" s="5" t="s">
        <v>30</v>
      </c>
      <c r="E552" s="5" t="s">
        <v>13</v>
      </c>
      <c r="F552" s="2">
        <v>323</v>
      </c>
      <c r="G552" s="3">
        <v>468.91</v>
      </c>
      <c r="H552">
        <v>123</v>
      </c>
      <c r="I552">
        <f>IF(Table1[[#This Row],[Status]]= "Sufficient",
     Table1[[#This Row],[Stock_Quantity]] - Table1[[#This Row],[Reorder_Level]],
     0)</f>
        <v>200</v>
      </c>
      <c r="J552" s="4">
        <v>45573</v>
      </c>
      <c r="K552" s="5" t="s">
        <v>14</v>
      </c>
      <c r="L552">
        <f>YEAR(Table1[[#This Row],[Last_Restock_Date]])</f>
        <v>2024</v>
      </c>
      <c r="M552" t="str">
        <f>_xlfn.CONCAT(TEXT(Table1[[#This Row],[Last_Restock_Date]],"mmm"), "-", YEAR(Table1[[#This Row],[Last_Restock_Date]]))</f>
        <v>Oct-2024</v>
      </c>
      <c r="N552">
        <f>MONTH(Table1[[#This Row],[Last_Restock_Date]])</f>
        <v>10</v>
      </c>
      <c r="O552" t="str" cm="1">
        <f t="array" ref="O552">_xlfn.SWITCH(Table1[[#This Row],[Month_Number]],
    1,"Q1",2,"Q1",3,"Q1",
    4,"Q2",5,"Q2",6,"Q2",
    7,"Q3",8,"Q3",9,"Q3",
    10,"Q4",11,"Q4",12,"Q4",
    "Invalid Month"
)</f>
        <v>Q4</v>
      </c>
      <c r="P552" t="str">
        <f>TEXT(Table1[[#This Row],[Last_Restock_Date]],"mmm")</f>
        <v>Oct</v>
      </c>
    </row>
    <row r="553" spans="1:16" x14ac:dyDescent="0.25">
      <c r="A553">
        <v>552</v>
      </c>
      <c r="B553" s="5" t="s">
        <v>44</v>
      </c>
      <c r="C553" s="5" t="s">
        <v>34</v>
      </c>
      <c r="D553" s="5" t="s">
        <v>12</v>
      </c>
      <c r="E553" s="5" t="s">
        <v>39</v>
      </c>
      <c r="F553" s="2">
        <v>413</v>
      </c>
      <c r="G553" s="3">
        <v>132.71</v>
      </c>
      <c r="H553">
        <v>123</v>
      </c>
      <c r="I553">
        <f>IF(Table1[[#This Row],[Status]]= "Sufficient",
     Table1[[#This Row],[Stock_Quantity]] - Table1[[#This Row],[Reorder_Level]],
     0)</f>
        <v>290</v>
      </c>
      <c r="J553" s="4">
        <v>45879</v>
      </c>
      <c r="K553" s="5" t="s">
        <v>14</v>
      </c>
      <c r="L553">
        <f>YEAR(Table1[[#This Row],[Last_Restock_Date]])</f>
        <v>2025</v>
      </c>
      <c r="M553" t="str">
        <f>_xlfn.CONCAT(TEXT(Table1[[#This Row],[Last_Restock_Date]],"mmm"), "-", YEAR(Table1[[#This Row],[Last_Restock_Date]]))</f>
        <v>Aug-2025</v>
      </c>
      <c r="N553">
        <f>MONTH(Table1[[#This Row],[Last_Restock_Date]])</f>
        <v>8</v>
      </c>
      <c r="O553" t="str" cm="1">
        <f t="array" ref="O553">_xlfn.SWITCH(Table1[[#This Row],[Month_Number]],
    1,"Q1",2,"Q1",3,"Q1",
    4,"Q2",5,"Q2",6,"Q2",
    7,"Q3",8,"Q3",9,"Q3",
    10,"Q4",11,"Q4",12,"Q4",
    "Invalid Month"
)</f>
        <v>Q3</v>
      </c>
      <c r="P553" t="str">
        <f>TEXT(Table1[[#This Row],[Last_Restock_Date]],"mmm")</f>
        <v>Aug</v>
      </c>
    </row>
    <row r="554" spans="1:16" x14ac:dyDescent="0.25">
      <c r="A554">
        <v>553</v>
      </c>
      <c r="B554" s="5" t="s">
        <v>36</v>
      </c>
      <c r="C554" s="5" t="s">
        <v>11</v>
      </c>
      <c r="D554" s="5" t="s">
        <v>17</v>
      </c>
      <c r="E554" s="5" t="s">
        <v>39</v>
      </c>
      <c r="F554" s="2">
        <v>411</v>
      </c>
      <c r="G554" s="3">
        <v>330.13</v>
      </c>
      <c r="H554">
        <v>81</v>
      </c>
      <c r="I554">
        <f>IF(Table1[[#This Row],[Status]]= "Sufficient",
     Table1[[#This Row],[Stock_Quantity]] - Table1[[#This Row],[Reorder_Level]],
     0)</f>
        <v>330</v>
      </c>
      <c r="J554" s="4">
        <v>45536</v>
      </c>
      <c r="K554" s="5" t="s">
        <v>14</v>
      </c>
      <c r="L554">
        <f>YEAR(Table1[[#This Row],[Last_Restock_Date]])</f>
        <v>2024</v>
      </c>
      <c r="M554" t="str">
        <f>_xlfn.CONCAT(TEXT(Table1[[#This Row],[Last_Restock_Date]],"mmm"), "-", YEAR(Table1[[#This Row],[Last_Restock_Date]]))</f>
        <v>Sep-2024</v>
      </c>
      <c r="N554">
        <f>MONTH(Table1[[#This Row],[Last_Restock_Date]])</f>
        <v>9</v>
      </c>
      <c r="O554" t="str" cm="1">
        <f t="array" ref="O554">_xlfn.SWITCH(Table1[[#This Row],[Month_Number]],
    1,"Q1",2,"Q1",3,"Q1",
    4,"Q2",5,"Q2",6,"Q2",
    7,"Q3",8,"Q3",9,"Q3",
    10,"Q4",11,"Q4",12,"Q4",
    "Invalid Month"
)</f>
        <v>Q3</v>
      </c>
      <c r="P554" t="str">
        <f>TEXT(Table1[[#This Row],[Last_Restock_Date]],"mmm")</f>
        <v>Sep</v>
      </c>
    </row>
    <row r="555" spans="1:16" x14ac:dyDescent="0.25">
      <c r="A555">
        <v>554</v>
      </c>
      <c r="B555" s="5" t="s">
        <v>22</v>
      </c>
      <c r="C555" s="5" t="s">
        <v>11</v>
      </c>
      <c r="D555" s="5" t="s">
        <v>17</v>
      </c>
      <c r="E555" s="5" t="s">
        <v>37</v>
      </c>
      <c r="F555" s="2">
        <v>402</v>
      </c>
      <c r="G555" s="3">
        <v>193.88</v>
      </c>
      <c r="H555">
        <v>63</v>
      </c>
      <c r="I555">
        <f>IF(Table1[[#This Row],[Status]]= "Sufficient",
     Table1[[#This Row],[Stock_Quantity]] - Table1[[#This Row],[Reorder_Level]],
     0)</f>
        <v>339</v>
      </c>
      <c r="J555" s="4">
        <v>45269</v>
      </c>
      <c r="K555" s="5" t="s">
        <v>14</v>
      </c>
      <c r="L555">
        <f>YEAR(Table1[[#This Row],[Last_Restock_Date]])</f>
        <v>2023</v>
      </c>
      <c r="M555" t="str">
        <f>_xlfn.CONCAT(TEXT(Table1[[#This Row],[Last_Restock_Date]],"mmm"), "-", YEAR(Table1[[#This Row],[Last_Restock_Date]]))</f>
        <v>Dec-2023</v>
      </c>
      <c r="N555">
        <f>MONTH(Table1[[#This Row],[Last_Restock_Date]])</f>
        <v>12</v>
      </c>
      <c r="O555" t="str" cm="1">
        <f t="array" ref="O555">_xlfn.SWITCH(Table1[[#This Row],[Month_Number]],
    1,"Q1",2,"Q1",3,"Q1",
    4,"Q2",5,"Q2",6,"Q2",
    7,"Q3",8,"Q3",9,"Q3",
    10,"Q4",11,"Q4",12,"Q4",
    "Invalid Month"
)</f>
        <v>Q4</v>
      </c>
      <c r="P555" t="str">
        <f>TEXT(Table1[[#This Row],[Last_Restock_Date]],"mmm")</f>
        <v>Dec</v>
      </c>
    </row>
    <row r="556" spans="1:16" x14ac:dyDescent="0.25">
      <c r="A556">
        <v>555</v>
      </c>
      <c r="B556" s="5" t="s">
        <v>54</v>
      </c>
      <c r="C556" s="5" t="s">
        <v>20</v>
      </c>
      <c r="D556" s="5" t="s">
        <v>21</v>
      </c>
      <c r="E556" s="5" t="s">
        <v>13</v>
      </c>
      <c r="F556" s="2">
        <v>233</v>
      </c>
      <c r="G556" s="3">
        <v>244.06</v>
      </c>
      <c r="H556">
        <v>147</v>
      </c>
      <c r="I556">
        <f>IF(Table1[[#This Row],[Status]]= "Sufficient",
     Table1[[#This Row],[Stock_Quantity]] - Table1[[#This Row],[Reorder_Level]],
     0)</f>
        <v>86</v>
      </c>
      <c r="J556" s="4">
        <v>45304</v>
      </c>
      <c r="K556" s="5" t="s">
        <v>14</v>
      </c>
      <c r="L556">
        <f>YEAR(Table1[[#This Row],[Last_Restock_Date]])</f>
        <v>2024</v>
      </c>
      <c r="M556" t="str">
        <f>_xlfn.CONCAT(TEXT(Table1[[#This Row],[Last_Restock_Date]],"mmm"), "-", YEAR(Table1[[#This Row],[Last_Restock_Date]]))</f>
        <v>Jan-2024</v>
      </c>
      <c r="N556">
        <f>MONTH(Table1[[#This Row],[Last_Restock_Date]])</f>
        <v>1</v>
      </c>
      <c r="O556" t="str" cm="1">
        <f t="array" ref="O556">_xlfn.SWITCH(Table1[[#This Row],[Month_Number]],
    1,"Q1",2,"Q1",3,"Q1",
    4,"Q2",5,"Q2",6,"Q2",
    7,"Q3",8,"Q3",9,"Q3",
    10,"Q4",11,"Q4",12,"Q4",
    "Invalid Month"
)</f>
        <v>Q1</v>
      </c>
      <c r="P556" t="str">
        <f>TEXT(Table1[[#This Row],[Last_Restock_Date]],"mmm")</f>
        <v>Jan</v>
      </c>
    </row>
    <row r="557" spans="1:16" x14ac:dyDescent="0.25">
      <c r="A557">
        <v>556</v>
      </c>
      <c r="B557" s="5" t="s">
        <v>43</v>
      </c>
      <c r="C557" s="5" t="s">
        <v>26</v>
      </c>
      <c r="D557" s="5" t="s">
        <v>21</v>
      </c>
      <c r="E557" s="5" t="s">
        <v>37</v>
      </c>
      <c r="F557" s="2">
        <v>487</v>
      </c>
      <c r="G557" s="3">
        <v>745.06</v>
      </c>
      <c r="H557">
        <v>89</v>
      </c>
      <c r="I557">
        <f>IF(Table1[[#This Row],[Status]]= "Sufficient",
     Table1[[#This Row],[Stock_Quantity]] - Table1[[#This Row],[Reorder_Level]],
     0)</f>
        <v>398</v>
      </c>
      <c r="J557" s="4">
        <v>45336</v>
      </c>
      <c r="K557" s="5" t="s">
        <v>14</v>
      </c>
      <c r="L557">
        <f>YEAR(Table1[[#This Row],[Last_Restock_Date]])</f>
        <v>2024</v>
      </c>
      <c r="M557" t="str">
        <f>_xlfn.CONCAT(TEXT(Table1[[#This Row],[Last_Restock_Date]],"mmm"), "-", YEAR(Table1[[#This Row],[Last_Restock_Date]]))</f>
        <v>Feb-2024</v>
      </c>
      <c r="N557">
        <f>MONTH(Table1[[#This Row],[Last_Restock_Date]])</f>
        <v>2</v>
      </c>
      <c r="O557" t="str" cm="1">
        <f t="array" ref="O557">_xlfn.SWITCH(Table1[[#This Row],[Month_Number]],
    1,"Q1",2,"Q1",3,"Q1",
    4,"Q2",5,"Q2",6,"Q2",
    7,"Q3",8,"Q3",9,"Q3",
    10,"Q4",11,"Q4",12,"Q4",
    "Invalid Month"
)</f>
        <v>Q1</v>
      </c>
      <c r="P557" t="str">
        <f>TEXT(Table1[[#This Row],[Last_Restock_Date]],"mmm")</f>
        <v>Feb</v>
      </c>
    </row>
    <row r="558" spans="1:16" x14ac:dyDescent="0.25">
      <c r="A558">
        <v>557</v>
      </c>
      <c r="B558" s="5" t="s">
        <v>15</v>
      </c>
      <c r="C558" s="5" t="s">
        <v>16</v>
      </c>
      <c r="D558" s="5" t="s">
        <v>17</v>
      </c>
      <c r="E558" s="5" t="s">
        <v>39</v>
      </c>
      <c r="F558" s="2">
        <v>340</v>
      </c>
      <c r="G558" s="3">
        <v>434.72</v>
      </c>
      <c r="H558">
        <v>125</v>
      </c>
      <c r="I558">
        <f>IF(Table1[[#This Row],[Status]]= "Sufficient",
     Table1[[#This Row],[Stock_Quantity]] - Table1[[#This Row],[Reorder_Level]],
     0)</f>
        <v>215</v>
      </c>
      <c r="J558" s="4">
        <v>45733</v>
      </c>
      <c r="K558" s="5" t="s">
        <v>14</v>
      </c>
      <c r="L558">
        <f>YEAR(Table1[[#This Row],[Last_Restock_Date]])</f>
        <v>2025</v>
      </c>
      <c r="M558" t="str">
        <f>_xlfn.CONCAT(TEXT(Table1[[#This Row],[Last_Restock_Date]],"mmm"), "-", YEAR(Table1[[#This Row],[Last_Restock_Date]]))</f>
        <v>Mar-2025</v>
      </c>
      <c r="N558">
        <f>MONTH(Table1[[#This Row],[Last_Restock_Date]])</f>
        <v>3</v>
      </c>
      <c r="O558" t="str" cm="1">
        <f t="array" ref="O558">_xlfn.SWITCH(Table1[[#This Row],[Month_Number]],
    1,"Q1",2,"Q1",3,"Q1",
    4,"Q2",5,"Q2",6,"Q2",
    7,"Q3",8,"Q3",9,"Q3",
    10,"Q4",11,"Q4",12,"Q4",
    "Invalid Month"
)</f>
        <v>Q1</v>
      </c>
      <c r="P558" t="str">
        <f>TEXT(Table1[[#This Row],[Last_Restock_Date]],"mmm")</f>
        <v>Mar</v>
      </c>
    </row>
    <row r="559" spans="1:16" x14ac:dyDescent="0.25">
      <c r="A559">
        <v>558</v>
      </c>
      <c r="B559" s="5" t="s">
        <v>10</v>
      </c>
      <c r="C559" s="5" t="s">
        <v>11</v>
      </c>
      <c r="D559" s="5" t="s">
        <v>30</v>
      </c>
      <c r="E559" s="5" t="s">
        <v>18</v>
      </c>
      <c r="F559" s="2">
        <v>77</v>
      </c>
      <c r="G559" s="3">
        <v>119.53</v>
      </c>
      <c r="H559">
        <v>134</v>
      </c>
      <c r="I559">
        <f>IF(Table1[[#This Row],[Status]]= "Sufficient",
     Table1[[#This Row],[Stock_Quantity]] - Table1[[#This Row],[Reorder_Level]],
     0)</f>
        <v>0</v>
      </c>
      <c r="J559" s="4">
        <v>45599</v>
      </c>
      <c r="K559" s="5" t="s">
        <v>28</v>
      </c>
      <c r="L559">
        <f>YEAR(Table1[[#This Row],[Last_Restock_Date]])</f>
        <v>2024</v>
      </c>
      <c r="M559" t="str">
        <f>_xlfn.CONCAT(TEXT(Table1[[#This Row],[Last_Restock_Date]],"mmm"), "-", YEAR(Table1[[#This Row],[Last_Restock_Date]]))</f>
        <v>Nov-2024</v>
      </c>
      <c r="N559">
        <f>MONTH(Table1[[#This Row],[Last_Restock_Date]])</f>
        <v>11</v>
      </c>
      <c r="O559" t="str" cm="1">
        <f t="array" ref="O559">_xlfn.SWITCH(Table1[[#This Row],[Month_Number]],
    1,"Q1",2,"Q1",3,"Q1",
    4,"Q2",5,"Q2",6,"Q2",
    7,"Q3",8,"Q3",9,"Q3",
    10,"Q4",11,"Q4",12,"Q4",
    "Invalid Month"
)</f>
        <v>Q4</v>
      </c>
      <c r="P559" t="str">
        <f>TEXT(Table1[[#This Row],[Last_Restock_Date]],"mmm")</f>
        <v>Nov</v>
      </c>
    </row>
    <row r="560" spans="1:16" x14ac:dyDescent="0.25">
      <c r="A560">
        <v>559</v>
      </c>
      <c r="B560" s="5" t="s">
        <v>35</v>
      </c>
      <c r="C560" s="5" t="s">
        <v>11</v>
      </c>
      <c r="D560" s="5" t="s">
        <v>30</v>
      </c>
      <c r="E560" s="5" t="s">
        <v>39</v>
      </c>
      <c r="F560" s="2">
        <v>396</v>
      </c>
      <c r="G560" s="3">
        <v>364.97</v>
      </c>
      <c r="H560">
        <v>81</v>
      </c>
      <c r="I560">
        <f>IF(Table1[[#This Row],[Status]]= "Sufficient",
     Table1[[#This Row],[Stock_Quantity]] - Table1[[#This Row],[Reorder_Level]],
     0)</f>
        <v>315</v>
      </c>
      <c r="J560" s="4">
        <v>45212</v>
      </c>
      <c r="K560" s="5" t="s">
        <v>14</v>
      </c>
      <c r="L560">
        <f>YEAR(Table1[[#This Row],[Last_Restock_Date]])</f>
        <v>2023</v>
      </c>
      <c r="M560" t="str">
        <f>_xlfn.CONCAT(TEXT(Table1[[#This Row],[Last_Restock_Date]],"mmm"), "-", YEAR(Table1[[#This Row],[Last_Restock_Date]]))</f>
        <v>Oct-2023</v>
      </c>
      <c r="N560">
        <f>MONTH(Table1[[#This Row],[Last_Restock_Date]])</f>
        <v>10</v>
      </c>
      <c r="O560" t="str" cm="1">
        <f t="array" ref="O560">_xlfn.SWITCH(Table1[[#This Row],[Month_Number]],
    1,"Q1",2,"Q1",3,"Q1",
    4,"Q2",5,"Q2",6,"Q2",
    7,"Q3",8,"Q3",9,"Q3",
    10,"Q4",11,"Q4",12,"Q4",
    "Invalid Month"
)</f>
        <v>Q4</v>
      </c>
      <c r="P560" t="str">
        <f>TEXT(Table1[[#This Row],[Last_Restock_Date]],"mmm")</f>
        <v>Oct</v>
      </c>
    </row>
    <row r="561" spans="1:16" x14ac:dyDescent="0.25">
      <c r="A561">
        <v>560</v>
      </c>
      <c r="B561" s="5" t="s">
        <v>40</v>
      </c>
      <c r="C561" s="5" t="s">
        <v>34</v>
      </c>
      <c r="D561" s="5" t="s">
        <v>12</v>
      </c>
      <c r="E561" s="5" t="s">
        <v>18</v>
      </c>
      <c r="F561" s="2">
        <v>22</v>
      </c>
      <c r="G561" s="3">
        <v>342.82</v>
      </c>
      <c r="H561">
        <v>66</v>
      </c>
      <c r="I561">
        <f>IF(Table1[[#This Row],[Status]]= "Sufficient",
     Table1[[#This Row],[Stock_Quantity]] - Table1[[#This Row],[Reorder_Level]],
     0)</f>
        <v>0</v>
      </c>
      <c r="J561" s="4">
        <v>45008</v>
      </c>
      <c r="K561" s="5" t="s">
        <v>28</v>
      </c>
      <c r="L561">
        <f>YEAR(Table1[[#This Row],[Last_Restock_Date]])</f>
        <v>2023</v>
      </c>
      <c r="M561" t="str">
        <f>_xlfn.CONCAT(TEXT(Table1[[#This Row],[Last_Restock_Date]],"mmm"), "-", YEAR(Table1[[#This Row],[Last_Restock_Date]]))</f>
        <v>Mar-2023</v>
      </c>
      <c r="N561">
        <f>MONTH(Table1[[#This Row],[Last_Restock_Date]])</f>
        <v>3</v>
      </c>
      <c r="O561" t="str" cm="1">
        <f t="array" ref="O561">_xlfn.SWITCH(Table1[[#This Row],[Month_Number]],
    1,"Q1",2,"Q1",3,"Q1",
    4,"Q2",5,"Q2",6,"Q2",
    7,"Q3",8,"Q3",9,"Q3",
    10,"Q4",11,"Q4",12,"Q4",
    "Invalid Month"
)</f>
        <v>Q1</v>
      </c>
      <c r="P561" t="str">
        <f>TEXT(Table1[[#This Row],[Last_Restock_Date]],"mmm")</f>
        <v>Mar</v>
      </c>
    </row>
    <row r="562" spans="1:16" x14ac:dyDescent="0.25">
      <c r="A562">
        <v>561</v>
      </c>
      <c r="B562" s="5" t="s">
        <v>33</v>
      </c>
      <c r="C562" s="5" t="s">
        <v>34</v>
      </c>
      <c r="D562" s="5" t="s">
        <v>17</v>
      </c>
      <c r="E562" s="5" t="s">
        <v>18</v>
      </c>
      <c r="F562" s="2">
        <v>261</v>
      </c>
      <c r="G562" s="3">
        <v>692.34</v>
      </c>
      <c r="H562">
        <v>133</v>
      </c>
      <c r="I562">
        <f>IF(Table1[[#This Row],[Status]]= "Sufficient",
     Table1[[#This Row],[Stock_Quantity]] - Table1[[#This Row],[Reorder_Level]],
     0)</f>
        <v>128</v>
      </c>
      <c r="J562" s="4">
        <v>45355</v>
      </c>
      <c r="K562" s="5" t="s">
        <v>14</v>
      </c>
      <c r="L562">
        <f>YEAR(Table1[[#This Row],[Last_Restock_Date]])</f>
        <v>2024</v>
      </c>
      <c r="M562" t="str">
        <f>_xlfn.CONCAT(TEXT(Table1[[#This Row],[Last_Restock_Date]],"mmm"), "-", YEAR(Table1[[#This Row],[Last_Restock_Date]]))</f>
        <v>Mar-2024</v>
      </c>
      <c r="N562">
        <f>MONTH(Table1[[#This Row],[Last_Restock_Date]])</f>
        <v>3</v>
      </c>
      <c r="O562" t="str" cm="1">
        <f t="array" ref="O562">_xlfn.SWITCH(Table1[[#This Row],[Month_Number]],
    1,"Q1",2,"Q1",3,"Q1",
    4,"Q2",5,"Q2",6,"Q2",
    7,"Q3",8,"Q3",9,"Q3",
    10,"Q4",11,"Q4",12,"Q4",
    "Invalid Month"
)</f>
        <v>Q1</v>
      </c>
      <c r="P562" t="str">
        <f>TEXT(Table1[[#This Row],[Last_Restock_Date]],"mmm")</f>
        <v>Mar</v>
      </c>
    </row>
    <row r="563" spans="1:16" x14ac:dyDescent="0.25">
      <c r="A563">
        <v>562</v>
      </c>
      <c r="B563" s="5" t="s">
        <v>42</v>
      </c>
      <c r="C563" s="5" t="s">
        <v>16</v>
      </c>
      <c r="D563" s="5" t="s">
        <v>17</v>
      </c>
      <c r="E563" s="5" t="s">
        <v>37</v>
      </c>
      <c r="F563" s="2">
        <v>296</v>
      </c>
      <c r="G563" s="3">
        <v>288.05</v>
      </c>
      <c r="H563">
        <v>106</v>
      </c>
      <c r="I563">
        <f>IF(Table1[[#This Row],[Status]]= "Sufficient",
     Table1[[#This Row],[Stock_Quantity]] - Table1[[#This Row],[Reorder_Level]],
     0)</f>
        <v>190</v>
      </c>
      <c r="J563" s="4">
        <v>45156</v>
      </c>
      <c r="K563" s="5" t="s">
        <v>14</v>
      </c>
      <c r="L563">
        <f>YEAR(Table1[[#This Row],[Last_Restock_Date]])</f>
        <v>2023</v>
      </c>
      <c r="M563" t="str">
        <f>_xlfn.CONCAT(TEXT(Table1[[#This Row],[Last_Restock_Date]],"mmm"), "-", YEAR(Table1[[#This Row],[Last_Restock_Date]]))</f>
        <v>Aug-2023</v>
      </c>
      <c r="N563">
        <f>MONTH(Table1[[#This Row],[Last_Restock_Date]])</f>
        <v>8</v>
      </c>
      <c r="O563" t="str" cm="1">
        <f t="array" ref="O563">_xlfn.SWITCH(Table1[[#This Row],[Month_Number]],
    1,"Q1",2,"Q1",3,"Q1",
    4,"Q2",5,"Q2",6,"Q2",
    7,"Q3",8,"Q3",9,"Q3",
    10,"Q4",11,"Q4",12,"Q4",
    "Invalid Month"
)</f>
        <v>Q3</v>
      </c>
      <c r="P563" t="str">
        <f>TEXT(Table1[[#This Row],[Last_Restock_Date]],"mmm")</f>
        <v>Aug</v>
      </c>
    </row>
    <row r="564" spans="1:16" x14ac:dyDescent="0.25">
      <c r="A564">
        <v>563</v>
      </c>
      <c r="B564" s="5" t="s">
        <v>51</v>
      </c>
      <c r="C564" s="5" t="s">
        <v>11</v>
      </c>
      <c r="D564" s="5" t="s">
        <v>24</v>
      </c>
      <c r="E564" s="5" t="s">
        <v>18</v>
      </c>
      <c r="F564" s="2">
        <v>58</v>
      </c>
      <c r="G564" s="3">
        <v>731.76</v>
      </c>
      <c r="H564">
        <v>74</v>
      </c>
      <c r="I564">
        <f>IF(Table1[[#This Row],[Status]]= "Sufficient",
     Table1[[#This Row],[Stock_Quantity]] - Table1[[#This Row],[Reorder_Level]],
     0)</f>
        <v>0</v>
      </c>
      <c r="J564" s="4">
        <v>45262</v>
      </c>
      <c r="K564" s="5" t="s">
        <v>28</v>
      </c>
      <c r="L564">
        <f>YEAR(Table1[[#This Row],[Last_Restock_Date]])</f>
        <v>2023</v>
      </c>
      <c r="M564" t="str">
        <f>_xlfn.CONCAT(TEXT(Table1[[#This Row],[Last_Restock_Date]],"mmm"), "-", YEAR(Table1[[#This Row],[Last_Restock_Date]]))</f>
        <v>Dec-2023</v>
      </c>
      <c r="N564">
        <f>MONTH(Table1[[#This Row],[Last_Restock_Date]])</f>
        <v>12</v>
      </c>
      <c r="O564" t="str" cm="1">
        <f t="array" ref="O564">_xlfn.SWITCH(Table1[[#This Row],[Month_Number]],
    1,"Q1",2,"Q1",3,"Q1",
    4,"Q2",5,"Q2",6,"Q2",
    7,"Q3",8,"Q3",9,"Q3",
    10,"Q4",11,"Q4",12,"Q4",
    "Invalid Month"
)</f>
        <v>Q4</v>
      </c>
      <c r="P564" t="str">
        <f>TEXT(Table1[[#This Row],[Last_Restock_Date]],"mmm")</f>
        <v>Dec</v>
      </c>
    </row>
    <row r="565" spans="1:16" x14ac:dyDescent="0.25">
      <c r="A565">
        <v>564</v>
      </c>
      <c r="B565" s="5" t="s">
        <v>47</v>
      </c>
      <c r="C565" s="5" t="s">
        <v>20</v>
      </c>
      <c r="D565" s="5" t="s">
        <v>30</v>
      </c>
      <c r="E565" s="5" t="s">
        <v>13</v>
      </c>
      <c r="F565" s="2">
        <v>374</v>
      </c>
      <c r="G565" s="3">
        <v>315.37</v>
      </c>
      <c r="H565">
        <v>104</v>
      </c>
      <c r="I565">
        <f>IF(Table1[[#This Row],[Status]]= "Sufficient",
     Table1[[#This Row],[Stock_Quantity]] - Table1[[#This Row],[Reorder_Level]],
     0)</f>
        <v>270</v>
      </c>
      <c r="J565" s="4">
        <v>45814</v>
      </c>
      <c r="K565" s="5" t="s">
        <v>14</v>
      </c>
      <c r="L565">
        <f>YEAR(Table1[[#This Row],[Last_Restock_Date]])</f>
        <v>2025</v>
      </c>
      <c r="M565" t="str">
        <f>_xlfn.CONCAT(TEXT(Table1[[#This Row],[Last_Restock_Date]],"mmm"), "-", YEAR(Table1[[#This Row],[Last_Restock_Date]]))</f>
        <v>Jun-2025</v>
      </c>
      <c r="N565">
        <f>MONTH(Table1[[#This Row],[Last_Restock_Date]])</f>
        <v>6</v>
      </c>
      <c r="O565" t="str" cm="1">
        <f t="array" ref="O565">_xlfn.SWITCH(Table1[[#This Row],[Month_Number]],
    1,"Q1",2,"Q1",3,"Q1",
    4,"Q2",5,"Q2",6,"Q2",
    7,"Q3",8,"Q3",9,"Q3",
    10,"Q4",11,"Q4",12,"Q4",
    "Invalid Month"
)</f>
        <v>Q2</v>
      </c>
      <c r="P565" t="str">
        <f>TEXT(Table1[[#This Row],[Last_Restock_Date]],"mmm")</f>
        <v>Jun</v>
      </c>
    </row>
    <row r="566" spans="1:16" x14ac:dyDescent="0.25">
      <c r="A566">
        <v>565</v>
      </c>
      <c r="B566" s="5" t="s">
        <v>42</v>
      </c>
      <c r="C566" s="5" t="s">
        <v>16</v>
      </c>
      <c r="D566" s="5" t="s">
        <v>24</v>
      </c>
      <c r="E566" s="5" t="s">
        <v>32</v>
      </c>
      <c r="F566" s="2">
        <v>395</v>
      </c>
      <c r="G566" s="3">
        <v>574.80999999999995</v>
      </c>
      <c r="H566">
        <v>84</v>
      </c>
      <c r="I566">
        <f>IF(Table1[[#This Row],[Status]]= "Sufficient",
     Table1[[#This Row],[Stock_Quantity]] - Table1[[#This Row],[Reorder_Level]],
     0)</f>
        <v>311</v>
      </c>
      <c r="J566" s="4">
        <v>45518</v>
      </c>
      <c r="K566" s="5" t="s">
        <v>14</v>
      </c>
      <c r="L566">
        <f>YEAR(Table1[[#This Row],[Last_Restock_Date]])</f>
        <v>2024</v>
      </c>
      <c r="M566" t="str">
        <f>_xlfn.CONCAT(TEXT(Table1[[#This Row],[Last_Restock_Date]],"mmm"), "-", YEAR(Table1[[#This Row],[Last_Restock_Date]]))</f>
        <v>Aug-2024</v>
      </c>
      <c r="N566">
        <f>MONTH(Table1[[#This Row],[Last_Restock_Date]])</f>
        <v>8</v>
      </c>
      <c r="O566" t="str" cm="1">
        <f t="array" ref="O566">_xlfn.SWITCH(Table1[[#This Row],[Month_Number]],
    1,"Q1",2,"Q1",3,"Q1",
    4,"Q2",5,"Q2",6,"Q2",
    7,"Q3",8,"Q3",9,"Q3",
    10,"Q4",11,"Q4",12,"Q4",
    "Invalid Month"
)</f>
        <v>Q3</v>
      </c>
      <c r="P566" t="str">
        <f>TEXT(Table1[[#This Row],[Last_Restock_Date]],"mmm")</f>
        <v>Aug</v>
      </c>
    </row>
    <row r="567" spans="1:16" x14ac:dyDescent="0.25">
      <c r="A567">
        <v>566</v>
      </c>
      <c r="B567" s="5" t="s">
        <v>10</v>
      </c>
      <c r="C567" s="5" t="s">
        <v>11</v>
      </c>
      <c r="D567" s="5" t="s">
        <v>24</v>
      </c>
      <c r="E567" s="5" t="s">
        <v>27</v>
      </c>
      <c r="F567" s="2">
        <v>395</v>
      </c>
      <c r="G567" s="3">
        <v>659.63</v>
      </c>
      <c r="H567">
        <v>90</v>
      </c>
      <c r="I567">
        <f>IF(Table1[[#This Row],[Status]]= "Sufficient",
     Table1[[#This Row],[Stock_Quantity]] - Table1[[#This Row],[Reorder_Level]],
     0)</f>
        <v>305</v>
      </c>
      <c r="J567" s="4">
        <v>45472</v>
      </c>
      <c r="K567" s="5" t="s">
        <v>14</v>
      </c>
      <c r="L567">
        <f>YEAR(Table1[[#This Row],[Last_Restock_Date]])</f>
        <v>2024</v>
      </c>
      <c r="M567" t="str">
        <f>_xlfn.CONCAT(TEXT(Table1[[#This Row],[Last_Restock_Date]],"mmm"), "-", YEAR(Table1[[#This Row],[Last_Restock_Date]]))</f>
        <v>Jun-2024</v>
      </c>
      <c r="N567">
        <f>MONTH(Table1[[#This Row],[Last_Restock_Date]])</f>
        <v>6</v>
      </c>
      <c r="O567" t="str" cm="1">
        <f t="array" ref="O567">_xlfn.SWITCH(Table1[[#This Row],[Month_Number]],
    1,"Q1",2,"Q1",3,"Q1",
    4,"Q2",5,"Q2",6,"Q2",
    7,"Q3",8,"Q3",9,"Q3",
    10,"Q4",11,"Q4",12,"Q4",
    "Invalid Month"
)</f>
        <v>Q2</v>
      </c>
      <c r="P567" t="str">
        <f>TEXT(Table1[[#This Row],[Last_Restock_Date]],"mmm")</f>
        <v>Jun</v>
      </c>
    </row>
    <row r="568" spans="1:16" x14ac:dyDescent="0.25">
      <c r="A568">
        <v>567</v>
      </c>
      <c r="B568" s="5" t="s">
        <v>15</v>
      </c>
      <c r="C568" s="5" t="s">
        <v>16</v>
      </c>
      <c r="D568" s="5" t="s">
        <v>24</v>
      </c>
      <c r="E568" s="5" t="s">
        <v>18</v>
      </c>
      <c r="F568" s="2">
        <v>239</v>
      </c>
      <c r="G568" s="3">
        <v>423.17</v>
      </c>
      <c r="H568">
        <v>130</v>
      </c>
      <c r="I568">
        <f>IF(Table1[[#This Row],[Status]]= "Sufficient",
     Table1[[#This Row],[Stock_Quantity]] - Table1[[#This Row],[Reorder_Level]],
     0)</f>
        <v>109</v>
      </c>
      <c r="J568" s="4">
        <v>44966</v>
      </c>
      <c r="K568" s="5" t="s">
        <v>14</v>
      </c>
      <c r="L568">
        <f>YEAR(Table1[[#This Row],[Last_Restock_Date]])</f>
        <v>2023</v>
      </c>
      <c r="M568" t="str">
        <f>_xlfn.CONCAT(TEXT(Table1[[#This Row],[Last_Restock_Date]],"mmm"), "-", YEAR(Table1[[#This Row],[Last_Restock_Date]]))</f>
        <v>Feb-2023</v>
      </c>
      <c r="N568">
        <f>MONTH(Table1[[#This Row],[Last_Restock_Date]])</f>
        <v>2</v>
      </c>
      <c r="O568" t="str" cm="1">
        <f t="array" ref="O568">_xlfn.SWITCH(Table1[[#This Row],[Month_Number]],
    1,"Q1",2,"Q1",3,"Q1",
    4,"Q2",5,"Q2",6,"Q2",
    7,"Q3",8,"Q3",9,"Q3",
    10,"Q4",11,"Q4",12,"Q4",
    "Invalid Month"
)</f>
        <v>Q1</v>
      </c>
      <c r="P568" t="str">
        <f>TEXT(Table1[[#This Row],[Last_Restock_Date]],"mmm")</f>
        <v>Feb</v>
      </c>
    </row>
    <row r="569" spans="1:16" x14ac:dyDescent="0.25">
      <c r="A569">
        <v>568</v>
      </c>
      <c r="B569" s="5" t="s">
        <v>46</v>
      </c>
      <c r="C569" s="5" t="s">
        <v>34</v>
      </c>
      <c r="D569" s="5" t="s">
        <v>12</v>
      </c>
      <c r="E569" s="5" t="s">
        <v>37</v>
      </c>
      <c r="F569" s="2">
        <v>363</v>
      </c>
      <c r="G569" s="3">
        <v>688.63</v>
      </c>
      <c r="H569">
        <v>122</v>
      </c>
      <c r="I569">
        <f>IF(Table1[[#This Row],[Status]]= "Sufficient",
     Table1[[#This Row],[Stock_Quantity]] - Table1[[#This Row],[Reorder_Level]],
     0)</f>
        <v>241</v>
      </c>
      <c r="J569" s="4">
        <v>45990</v>
      </c>
      <c r="K569" s="5" t="s">
        <v>14</v>
      </c>
      <c r="L569">
        <f>YEAR(Table1[[#This Row],[Last_Restock_Date]])</f>
        <v>2025</v>
      </c>
      <c r="M569" t="str">
        <f>_xlfn.CONCAT(TEXT(Table1[[#This Row],[Last_Restock_Date]],"mmm"), "-", YEAR(Table1[[#This Row],[Last_Restock_Date]]))</f>
        <v>Nov-2025</v>
      </c>
      <c r="N569">
        <f>MONTH(Table1[[#This Row],[Last_Restock_Date]])</f>
        <v>11</v>
      </c>
      <c r="O569" t="str" cm="1">
        <f t="array" ref="O569">_xlfn.SWITCH(Table1[[#This Row],[Month_Number]],
    1,"Q1",2,"Q1",3,"Q1",
    4,"Q2",5,"Q2",6,"Q2",
    7,"Q3",8,"Q3",9,"Q3",
    10,"Q4",11,"Q4",12,"Q4",
    "Invalid Month"
)</f>
        <v>Q4</v>
      </c>
      <c r="P569" t="str">
        <f>TEXT(Table1[[#This Row],[Last_Restock_Date]],"mmm")</f>
        <v>Nov</v>
      </c>
    </row>
    <row r="570" spans="1:16" x14ac:dyDescent="0.25">
      <c r="A570">
        <v>569</v>
      </c>
      <c r="B570" s="5" t="s">
        <v>42</v>
      </c>
      <c r="C570" s="5" t="s">
        <v>16</v>
      </c>
      <c r="D570" s="5" t="s">
        <v>12</v>
      </c>
      <c r="E570" s="5" t="s">
        <v>37</v>
      </c>
      <c r="F570" s="2">
        <v>79</v>
      </c>
      <c r="G570" s="3">
        <v>491.71</v>
      </c>
      <c r="H570">
        <v>144</v>
      </c>
      <c r="I570">
        <f>IF(Table1[[#This Row],[Status]]= "Sufficient",
     Table1[[#This Row],[Stock_Quantity]] - Table1[[#This Row],[Reorder_Level]],
     0)</f>
        <v>0</v>
      </c>
      <c r="J570" s="4">
        <v>45730</v>
      </c>
      <c r="K570" s="5" t="s">
        <v>28</v>
      </c>
      <c r="L570">
        <f>YEAR(Table1[[#This Row],[Last_Restock_Date]])</f>
        <v>2025</v>
      </c>
      <c r="M570" t="str">
        <f>_xlfn.CONCAT(TEXT(Table1[[#This Row],[Last_Restock_Date]],"mmm"), "-", YEAR(Table1[[#This Row],[Last_Restock_Date]]))</f>
        <v>Mar-2025</v>
      </c>
      <c r="N570">
        <f>MONTH(Table1[[#This Row],[Last_Restock_Date]])</f>
        <v>3</v>
      </c>
      <c r="O570" t="str" cm="1">
        <f t="array" ref="O570">_xlfn.SWITCH(Table1[[#This Row],[Month_Number]],
    1,"Q1",2,"Q1",3,"Q1",
    4,"Q2",5,"Q2",6,"Q2",
    7,"Q3",8,"Q3",9,"Q3",
    10,"Q4",11,"Q4",12,"Q4",
    "Invalid Month"
)</f>
        <v>Q1</v>
      </c>
      <c r="P570" t="str">
        <f>TEXT(Table1[[#This Row],[Last_Restock_Date]],"mmm")</f>
        <v>Mar</v>
      </c>
    </row>
    <row r="571" spans="1:16" x14ac:dyDescent="0.25">
      <c r="A571">
        <v>570</v>
      </c>
      <c r="B571" s="5" t="s">
        <v>25</v>
      </c>
      <c r="C571" s="5" t="s">
        <v>26</v>
      </c>
      <c r="D571" s="5" t="s">
        <v>21</v>
      </c>
      <c r="E571" s="5" t="s">
        <v>18</v>
      </c>
      <c r="F571" s="2">
        <v>337</v>
      </c>
      <c r="G571" s="3">
        <v>295.08999999999997</v>
      </c>
      <c r="H571">
        <v>58</v>
      </c>
      <c r="I571">
        <f>IF(Table1[[#This Row],[Status]]= "Sufficient",
     Table1[[#This Row],[Stock_Quantity]] - Table1[[#This Row],[Reorder_Level]],
     0)</f>
        <v>279</v>
      </c>
      <c r="J571" s="4">
        <v>45421</v>
      </c>
      <c r="K571" s="5" t="s">
        <v>14</v>
      </c>
      <c r="L571">
        <f>YEAR(Table1[[#This Row],[Last_Restock_Date]])</f>
        <v>2024</v>
      </c>
      <c r="M571" t="str">
        <f>_xlfn.CONCAT(TEXT(Table1[[#This Row],[Last_Restock_Date]],"mmm"), "-", YEAR(Table1[[#This Row],[Last_Restock_Date]]))</f>
        <v>May-2024</v>
      </c>
      <c r="N571">
        <f>MONTH(Table1[[#This Row],[Last_Restock_Date]])</f>
        <v>5</v>
      </c>
      <c r="O571" t="str" cm="1">
        <f t="array" ref="O571">_xlfn.SWITCH(Table1[[#This Row],[Month_Number]],
    1,"Q1",2,"Q1",3,"Q1",
    4,"Q2",5,"Q2",6,"Q2",
    7,"Q3",8,"Q3",9,"Q3",
    10,"Q4",11,"Q4",12,"Q4",
    "Invalid Month"
)</f>
        <v>Q2</v>
      </c>
      <c r="P571" t="str">
        <f>TEXT(Table1[[#This Row],[Last_Restock_Date]],"mmm")</f>
        <v>May</v>
      </c>
    </row>
    <row r="572" spans="1:16" x14ac:dyDescent="0.25">
      <c r="A572">
        <v>571</v>
      </c>
      <c r="B572" s="5" t="s">
        <v>45</v>
      </c>
      <c r="C572" s="5" t="s">
        <v>26</v>
      </c>
      <c r="D572" s="5" t="s">
        <v>17</v>
      </c>
      <c r="E572" s="5" t="s">
        <v>27</v>
      </c>
      <c r="F572" s="2">
        <v>233</v>
      </c>
      <c r="G572" s="3">
        <v>83.3</v>
      </c>
      <c r="H572">
        <v>72</v>
      </c>
      <c r="I572">
        <f>IF(Table1[[#This Row],[Status]]= "Sufficient",
     Table1[[#This Row],[Stock_Quantity]] - Table1[[#This Row],[Reorder_Level]],
     0)</f>
        <v>161</v>
      </c>
      <c r="J572" s="4">
        <v>45543</v>
      </c>
      <c r="K572" s="5" t="s">
        <v>14</v>
      </c>
      <c r="L572">
        <f>YEAR(Table1[[#This Row],[Last_Restock_Date]])</f>
        <v>2024</v>
      </c>
      <c r="M572" t="str">
        <f>_xlfn.CONCAT(TEXT(Table1[[#This Row],[Last_Restock_Date]],"mmm"), "-", YEAR(Table1[[#This Row],[Last_Restock_Date]]))</f>
        <v>Sep-2024</v>
      </c>
      <c r="N572">
        <f>MONTH(Table1[[#This Row],[Last_Restock_Date]])</f>
        <v>9</v>
      </c>
      <c r="O572" t="str" cm="1">
        <f t="array" ref="O572">_xlfn.SWITCH(Table1[[#This Row],[Month_Number]],
    1,"Q1",2,"Q1",3,"Q1",
    4,"Q2",5,"Q2",6,"Q2",
    7,"Q3",8,"Q3",9,"Q3",
    10,"Q4",11,"Q4",12,"Q4",
    "Invalid Month"
)</f>
        <v>Q3</v>
      </c>
      <c r="P572" t="str">
        <f>TEXT(Table1[[#This Row],[Last_Restock_Date]],"mmm")</f>
        <v>Sep</v>
      </c>
    </row>
    <row r="573" spans="1:16" x14ac:dyDescent="0.25">
      <c r="A573">
        <v>572</v>
      </c>
      <c r="B573" s="5" t="s">
        <v>46</v>
      </c>
      <c r="C573" s="5" t="s">
        <v>34</v>
      </c>
      <c r="D573" s="5" t="s">
        <v>12</v>
      </c>
      <c r="E573" s="5" t="s">
        <v>32</v>
      </c>
      <c r="F573" s="2">
        <v>369</v>
      </c>
      <c r="G573" s="3">
        <v>756.86</v>
      </c>
      <c r="H573">
        <v>136</v>
      </c>
      <c r="I573">
        <f>IF(Table1[[#This Row],[Status]]= "Sufficient",
     Table1[[#This Row],[Stock_Quantity]] - Table1[[#This Row],[Reorder_Level]],
     0)</f>
        <v>233</v>
      </c>
      <c r="J573" s="4">
        <v>45057</v>
      </c>
      <c r="K573" s="5" t="s">
        <v>14</v>
      </c>
      <c r="L573">
        <f>YEAR(Table1[[#This Row],[Last_Restock_Date]])</f>
        <v>2023</v>
      </c>
      <c r="M573" t="str">
        <f>_xlfn.CONCAT(TEXT(Table1[[#This Row],[Last_Restock_Date]],"mmm"), "-", YEAR(Table1[[#This Row],[Last_Restock_Date]]))</f>
        <v>May-2023</v>
      </c>
      <c r="N573">
        <f>MONTH(Table1[[#This Row],[Last_Restock_Date]])</f>
        <v>5</v>
      </c>
      <c r="O573" t="str" cm="1">
        <f t="array" ref="O573">_xlfn.SWITCH(Table1[[#This Row],[Month_Number]],
    1,"Q1",2,"Q1",3,"Q1",
    4,"Q2",5,"Q2",6,"Q2",
    7,"Q3",8,"Q3",9,"Q3",
    10,"Q4",11,"Q4",12,"Q4",
    "Invalid Month"
)</f>
        <v>Q2</v>
      </c>
      <c r="P573" t="str">
        <f>TEXT(Table1[[#This Row],[Last_Restock_Date]],"mmm")</f>
        <v>May</v>
      </c>
    </row>
    <row r="574" spans="1:16" x14ac:dyDescent="0.25">
      <c r="A574">
        <v>573</v>
      </c>
      <c r="B574" s="5" t="s">
        <v>43</v>
      </c>
      <c r="C574" s="5" t="s">
        <v>26</v>
      </c>
      <c r="D574" s="5" t="s">
        <v>30</v>
      </c>
      <c r="E574" s="5" t="s">
        <v>13</v>
      </c>
      <c r="F574" s="2">
        <v>423</v>
      </c>
      <c r="G574" s="3">
        <v>734.1</v>
      </c>
      <c r="H574">
        <v>50</v>
      </c>
      <c r="I574">
        <f>IF(Table1[[#This Row],[Status]]= "Sufficient",
     Table1[[#This Row],[Stock_Quantity]] - Table1[[#This Row],[Reorder_Level]],
     0)</f>
        <v>373</v>
      </c>
      <c r="J574" s="4">
        <v>45541</v>
      </c>
      <c r="K574" s="5" t="s">
        <v>14</v>
      </c>
      <c r="L574">
        <f>YEAR(Table1[[#This Row],[Last_Restock_Date]])</f>
        <v>2024</v>
      </c>
      <c r="M574" t="str">
        <f>_xlfn.CONCAT(TEXT(Table1[[#This Row],[Last_Restock_Date]],"mmm"), "-", YEAR(Table1[[#This Row],[Last_Restock_Date]]))</f>
        <v>Sep-2024</v>
      </c>
      <c r="N574">
        <f>MONTH(Table1[[#This Row],[Last_Restock_Date]])</f>
        <v>9</v>
      </c>
      <c r="O574" t="str" cm="1">
        <f t="array" ref="O574">_xlfn.SWITCH(Table1[[#This Row],[Month_Number]],
    1,"Q1",2,"Q1",3,"Q1",
    4,"Q2",5,"Q2",6,"Q2",
    7,"Q3",8,"Q3",9,"Q3",
    10,"Q4",11,"Q4",12,"Q4",
    "Invalid Month"
)</f>
        <v>Q3</v>
      </c>
      <c r="P574" t="str">
        <f>TEXT(Table1[[#This Row],[Last_Restock_Date]],"mmm")</f>
        <v>Sep</v>
      </c>
    </row>
    <row r="575" spans="1:16" x14ac:dyDescent="0.25">
      <c r="A575">
        <v>574</v>
      </c>
      <c r="B575" s="5" t="s">
        <v>47</v>
      </c>
      <c r="C575" s="5" t="s">
        <v>20</v>
      </c>
      <c r="D575" s="5" t="s">
        <v>30</v>
      </c>
      <c r="E575" s="5" t="s">
        <v>18</v>
      </c>
      <c r="F575" s="2">
        <v>438</v>
      </c>
      <c r="G575" s="3">
        <v>572.41999999999996</v>
      </c>
      <c r="H575">
        <v>139</v>
      </c>
      <c r="I575">
        <f>IF(Table1[[#This Row],[Status]]= "Sufficient",
     Table1[[#This Row],[Stock_Quantity]] - Table1[[#This Row],[Reorder_Level]],
     0)</f>
        <v>299</v>
      </c>
      <c r="J575" s="4">
        <v>45363</v>
      </c>
      <c r="K575" s="5" t="s">
        <v>14</v>
      </c>
      <c r="L575">
        <f>YEAR(Table1[[#This Row],[Last_Restock_Date]])</f>
        <v>2024</v>
      </c>
      <c r="M575" t="str">
        <f>_xlfn.CONCAT(TEXT(Table1[[#This Row],[Last_Restock_Date]],"mmm"), "-", YEAR(Table1[[#This Row],[Last_Restock_Date]]))</f>
        <v>Mar-2024</v>
      </c>
      <c r="N575">
        <f>MONTH(Table1[[#This Row],[Last_Restock_Date]])</f>
        <v>3</v>
      </c>
      <c r="O575" t="str" cm="1">
        <f t="array" ref="O575">_xlfn.SWITCH(Table1[[#This Row],[Month_Number]],
    1,"Q1",2,"Q1",3,"Q1",
    4,"Q2",5,"Q2",6,"Q2",
    7,"Q3",8,"Q3",9,"Q3",
    10,"Q4",11,"Q4",12,"Q4",
    "Invalid Month"
)</f>
        <v>Q1</v>
      </c>
      <c r="P575" t="str">
        <f>TEXT(Table1[[#This Row],[Last_Restock_Date]],"mmm")</f>
        <v>Mar</v>
      </c>
    </row>
    <row r="576" spans="1:16" x14ac:dyDescent="0.25">
      <c r="A576">
        <v>575</v>
      </c>
      <c r="B576" s="5" t="s">
        <v>23</v>
      </c>
      <c r="C576" s="5" t="s">
        <v>20</v>
      </c>
      <c r="D576" s="5" t="s">
        <v>21</v>
      </c>
      <c r="E576" s="5" t="s">
        <v>27</v>
      </c>
      <c r="F576" s="2">
        <v>206</v>
      </c>
      <c r="G576" s="3">
        <v>313.89999999999998</v>
      </c>
      <c r="H576">
        <v>144</v>
      </c>
      <c r="I576">
        <f>IF(Table1[[#This Row],[Status]]= "Sufficient",
     Table1[[#This Row],[Stock_Quantity]] - Table1[[#This Row],[Reorder_Level]],
     0)</f>
        <v>62</v>
      </c>
      <c r="J576" s="4">
        <v>45214</v>
      </c>
      <c r="K576" s="5" t="s">
        <v>14</v>
      </c>
      <c r="L576">
        <f>YEAR(Table1[[#This Row],[Last_Restock_Date]])</f>
        <v>2023</v>
      </c>
      <c r="M576" t="str">
        <f>_xlfn.CONCAT(TEXT(Table1[[#This Row],[Last_Restock_Date]],"mmm"), "-", YEAR(Table1[[#This Row],[Last_Restock_Date]]))</f>
        <v>Oct-2023</v>
      </c>
      <c r="N576">
        <f>MONTH(Table1[[#This Row],[Last_Restock_Date]])</f>
        <v>10</v>
      </c>
      <c r="O576" t="str" cm="1">
        <f t="array" ref="O576">_xlfn.SWITCH(Table1[[#This Row],[Month_Number]],
    1,"Q1",2,"Q1",3,"Q1",
    4,"Q2",5,"Q2",6,"Q2",
    7,"Q3",8,"Q3",9,"Q3",
    10,"Q4",11,"Q4",12,"Q4",
    "Invalid Month"
)</f>
        <v>Q4</v>
      </c>
      <c r="P576" t="str">
        <f>TEXT(Table1[[#This Row],[Last_Restock_Date]],"mmm")</f>
        <v>Oct</v>
      </c>
    </row>
    <row r="577" spans="1:16" x14ac:dyDescent="0.25">
      <c r="A577">
        <v>576</v>
      </c>
      <c r="B577" s="5" t="s">
        <v>35</v>
      </c>
      <c r="C577" s="5" t="s">
        <v>11</v>
      </c>
      <c r="D577" s="5" t="s">
        <v>30</v>
      </c>
      <c r="E577" s="5" t="s">
        <v>27</v>
      </c>
      <c r="F577" s="2">
        <v>463</v>
      </c>
      <c r="G577" s="3">
        <v>51.28</v>
      </c>
      <c r="H577">
        <v>63</v>
      </c>
      <c r="I577">
        <f>IF(Table1[[#This Row],[Status]]= "Sufficient",
     Table1[[#This Row],[Stock_Quantity]] - Table1[[#This Row],[Reorder_Level]],
     0)</f>
        <v>400</v>
      </c>
      <c r="J577" s="4">
        <v>45221</v>
      </c>
      <c r="K577" s="5" t="s">
        <v>14</v>
      </c>
      <c r="L577">
        <f>YEAR(Table1[[#This Row],[Last_Restock_Date]])</f>
        <v>2023</v>
      </c>
      <c r="M577" t="str">
        <f>_xlfn.CONCAT(TEXT(Table1[[#This Row],[Last_Restock_Date]],"mmm"), "-", YEAR(Table1[[#This Row],[Last_Restock_Date]]))</f>
        <v>Oct-2023</v>
      </c>
      <c r="N577">
        <f>MONTH(Table1[[#This Row],[Last_Restock_Date]])</f>
        <v>10</v>
      </c>
      <c r="O577" t="str" cm="1">
        <f t="array" ref="O577">_xlfn.SWITCH(Table1[[#This Row],[Month_Number]],
    1,"Q1",2,"Q1",3,"Q1",
    4,"Q2",5,"Q2",6,"Q2",
    7,"Q3",8,"Q3",9,"Q3",
    10,"Q4",11,"Q4",12,"Q4",
    "Invalid Month"
)</f>
        <v>Q4</v>
      </c>
      <c r="P577" t="str">
        <f>TEXT(Table1[[#This Row],[Last_Restock_Date]],"mmm")</f>
        <v>Oct</v>
      </c>
    </row>
    <row r="578" spans="1:16" x14ac:dyDescent="0.25">
      <c r="A578">
        <v>577</v>
      </c>
      <c r="B578" s="5" t="s">
        <v>54</v>
      </c>
      <c r="C578" s="5" t="s">
        <v>20</v>
      </c>
      <c r="D578" s="5" t="s">
        <v>24</v>
      </c>
      <c r="E578" s="5" t="s">
        <v>27</v>
      </c>
      <c r="F578" s="2">
        <v>208</v>
      </c>
      <c r="G578" s="3">
        <v>410.03</v>
      </c>
      <c r="H578">
        <v>103</v>
      </c>
      <c r="I578">
        <f>IF(Table1[[#This Row],[Status]]= "Sufficient",
     Table1[[#This Row],[Stock_Quantity]] - Table1[[#This Row],[Reorder_Level]],
     0)</f>
        <v>105</v>
      </c>
      <c r="J578" s="4">
        <v>45428</v>
      </c>
      <c r="K578" s="5" t="s">
        <v>14</v>
      </c>
      <c r="L578">
        <f>YEAR(Table1[[#This Row],[Last_Restock_Date]])</f>
        <v>2024</v>
      </c>
      <c r="M578" t="str">
        <f>_xlfn.CONCAT(TEXT(Table1[[#This Row],[Last_Restock_Date]],"mmm"), "-", YEAR(Table1[[#This Row],[Last_Restock_Date]]))</f>
        <v>May-2024</v>
      </c>
      <c r="N578">
        <f>MONTH(Table1[[#This Row],[Last_Restock_Date]])</f>
        <v>5</v>
      </c>
      <c r="O578" t="str" cm="1">
        <f t="array" ref="O578">_xlfn.SWITCH(Table1[[#This Row],[Month_Number]],
    1,"Q1",2,"Q1",3,"Q1",
    4,"Q2",5,"Q2",6,"Q2",
    7,"Q3",8,"Q3",9,"Q3",
    10,"Q4",11,"Q4",12,"Q4",
    "Invalid Month"
)</f>
        <v>Q2</v>
      </c>
      <c r="P578" t="str">
        <f>TEXT(Table1[[#This Row],[Last_Restock_Date]],"mmm")</f>
        <v>May</v>
      </c>
    </row>
    <row r="579" spans="1:16" x14ac:dyDescent="0.25">
      <c r="A579">
        <v>578</v>
      </c>
      <c r="B579" s="5" t="s">
        <v>45</v>
      </c>
      <c r="C579" s="5" t="s">
        <v>26</v>
      </c>
      <c r="D579" s="5" t="s">
        <v>21</v>
      </c>
      <c r="E579" s="5" t="s">
        <v>32</v>
      </c>
      <c r="F579" s="2">
        <v>498</v>
      </c>
      <c r="G579" s="3">
        <v>530.64</v>
      </c>
      <c r="H579">
        <v>61</v>
      </c>
      <c r="I579">
        <f>IF(Table1[[#This Row],[Status]]= "Sufficient",
     Table1[[#This Row],[Stock_Quantity]] - Table1[[#This Row],[Reorder_Level]],
     0)</f>
        <v>437</v>
      </c>
      <c r="J579" s="4">
        <v>45733</v>
      </c>
      <c r="K579" s="5" t="s">
        <v>14</v>
      </c>
      <c r="L579">
        <f>YEAR(Table1[[#This Row],[Last_Restock_Date]])</f>
        <v>2025</v>
      </c>
      <c r="M579" t="str">
        <f>_xlfn.CONCAT(TEXT(Table1[[#This Row],[Last_Restock_Date]],"mmm"), "-", YEAR(Table1[[#This Row],[Last_Restock_Date]]))</f>
        <v>Mar-2025</v>
      </c>
      <c r="N579">
        <f>MONTH(Table1[[#This Row],[Last_Restock_Date]])</f>
        <v>3</v>
      </c>
      <c r="O579" t="str" cm="1">
        <f t="array" ref="O579">_xlfn.SWITCH(Table1[[#This Row],[Month_Number]],
    1,"Q1",2,"Q1",3,"Q1",
    4,"Q2",5,"Q2",6,"Q2",
    7,"Q3",8,"Q3",9,"Q3",
    10,"Q4",11,"Q4",12,"Q4",
    "Invalid Month"
)</f>
        <v>Q1</v>
      </c>
      <c r="P579" t="str">
        <f>TEXT(Table1[[#This Row],[Last_Restock_Date]],"mmm")</f>
        <v>Mar</v>
      </c>
    </row>
    <row r="580" spans="1:16" x14ac:dyDescent="0.25">
      <c r="A580">
        <v>579</v>
      </c>
      <c r="B580" s="5" t="s">
        <v>51</v>
      </c>
      <c r="C580" s="5" t="s">
        <v>11</v>
      </c>
      <c r="D580" s="5" t="s">
        <v>24</v>
      </c>
      <c r="E580" s="5" t="s">
        <v>32</v>
      </c>
      <c r="F580" s="2">
        <v>354</v>
      </c>
      <c r="G580" s="3">
        <v>239.66</v>
      </c>
      <c r="H580">
        <v>76</v>
      </c>
      <c r="I580">
        <f>IF(Table1[[#This Row],[Status]]= "Sufficient",
     Table1[[#This Row],[Stock_Quantity]] - Table1[[#This Row],[Reorder_Level]],
     0)</f>
        <v>278</v>
      </c>
      <c r="J580" s="4">
        <v>45366</v>
      </c>
      <c r="K580" s="5" t="s">
        <v>14</v>
      </c>
      <c r="L580">
        <f>YEAR(Table1[[#This Row],[Last_Restock_Date]])</f>
        <v>2024</v>
      </c>
      <c r="M580" t="str">
        <f>_xlfn.CONCAT(TEXT(Table1[[#This Row],[Last_Restock_Date]],"mmm"), "-", YEAR(Table1[[#This Row],[Last_Restock_Date]]))</f>
        <v>Mar-2024</v>
      </c>
      <c r="N580">
        <f>MONTH(Table1[[#This Row],[Last_Restock_Date]])</f>
        <v>3</v>
      </c>
      <c r="O580" t="str" cm="1">
        <f t="array" ref="O580">_xlfn.SWITCH(Table1[[#This Row],[Month_Number]],
    1,"Q1",2,"Q1",3,"Q1",
    4,"Q2",5,"Q2",6,"Q2",
    7,"Q3",8,"Q3",9,"Q3",
    10,"Q4",11,"Q4",12,"Q4",
    "Invalid Month"
)</f>
        <v>Q1</v>
      </c>
      <c r="P580" t="str">
        <f>TEXT(Table1[[#This Row],[Last_Restock_Date]],"mmm")</f>
        <v>Mar</v>
      </c>
    </row>
    <row r="581" spans="1:16" x14ac:dyDescent="0.25">
      <c r="A581">
        <v>580</v>
      </c>
      <c r="B581" s="5" t="s">
        <v>44</v>
      </c>
      <c r="C581" s="5" t="s">
        <v>34</v>
      </c>
      <c r="D581" s="5" t="s">
        <v>30</v>
      </c>
      <c r="E581" s="5" t="s">
        <v>18</v>
      </c>
      <c r="F581" s="2">
        <v>347</v>
      </c>
      <c r="G581" s="3">
        <v>360.28</v>
      </c>
      <c r="H581">
        <v>75</v>
      </c>
      <c r="I581">
        <f>IF(Table1[[#This Row],[Status]]= "Sufficient",
     Table1[[#This Row],[Stock_Quantity]] - Table1[[#This Row],[Reorder_Level]],
     0)</f>
        <v>272</v>
      </c>
      <c r="J581" s="4">
        <v>45804</v>
      </c>
      <c r="K581" s="5" t="s">
        <v>14</v>
      </c>
      <c r="L581">
        <f>YEAR(Table1[[#This Row],[Last_Restock_Date]])</f>
        <v>2025</v>
      </c>
      <c r="M581" t="str">
        <f>_xlfn.CONCAT(TEXT(Table1[[#This Row],[Last_Restock_Date]],"mmm"), "-", YEAR(Table1[[#This Row],[Last_Restock_Date]]))</f>
        <v>May-2025</v>
      </c>
      <c r="N581">
        <f>MONTH(Table1[[#This Row],[Last_Restock_Date]])</f>
        <v>5</v>
      </c>
      <c r="O581" t="str" cm="1">
        <f t="array" ref="O581">_xlfn.SWITCH(Table1[[#This Row],[Month_Number]],
    1,"Q1",2,"Q1",3,"Q1",
    4,"Q2",5,"Q2",6,"Q2",
    7,"Q3",8,"Q3",9,"Q3",
    10,"Q4",11,"Q4",12,"Q4",
    "Invalid Month"
)</f>
        <v>Q2</v>
      </c>
      <c r="P581" t="str">
        <f>TEXT(Table1[[#This Row],[Last_Restock_Date]],"mmm")</f>
        <v>May</v>
      </c>
    </row>
    <row r="582" spans="1:16" x14ac:dyDescent="0.25">
      <c r="A582">
        <v>581</v>
      </c>
      <c r="B582" s="5" t="s">
        <v>35</v>
      </c>
      <c r="C582" s="5" t="s">
        <v>11</v>
      </c>
      <c r="D582" s="5" t="s">
        <v>12</v>
      </c>
      <c r="E582" s="5" t="s">
        <v>18</v>
      </c>
      <c r="F582" s="2">
        <v>393</v>
      </c>
      <c r="G582" s="3">
        <v>137</v>
      </c>
      <c r="H582">
        <v>141</v>
      </c>
      <c r="I582">
        <f>IF(Table1[[#This Row],[Status]]= "Sufficient",
     Table1[[#This Row],[Stock_Quantity]] - Table1[[#This Row],[Reorder_Level]],
     0)</f>
        <v>252</v>
      </c>
      <c r="J582" s="4">
        <v>45784</v>
      </c>
      <c r="K582" s="5" t="s">
        <v>14</v>
      </c>
      <c r="L582">
        <f>YEAR(Table1[[#This Row],[Last_Restock_Date]])</f>
        <v>2025</v>
      </c>
      <c r="M582" t="str">
        <f>_xlfn.CONCAT(TEXT(Table1[[#This Row],[Last_Restock_Date]],"mmm"), "-", YEAR(Table1[[#This Row],[Last_Restock_Date]]))</f>
        <v>May-2025</v>
      </c>
      <c r="N582">
        <f>MONTH(Table1[[#This Row],[Last_Restock_Date]])</f>
        <v>5</v>
      </c>
      <c r="O582" t="str" cm="1">
        <f t="array" ref="O582">_xlfn.SWITCH(Table1[[#This Row],[Month_Number]],
    1,"Q1",2,"Q1",3,"Q1",
    4,"Q2",5,"Q2",6,"Q2",
    7,"Q3",8,"Q3",9,"Q3",
    10,"Q4",11,"Q4",12,"Q4",
    "Invalid Month"
)</f>
        <v>Q2</v>
      </c>
      <c r="P582" t="str">
        <f>TEXT(Table1[[#This Row],[Last_Restock_Date]],"mmm")</f>
        <v>May</v>
      </c>
    </row>
    <row r="583" spans="1:16" x14ac:dyDescent="0.25">
      <c r="A583">
        <v>582</v>
      </c>
      <c r="B583" s="5" t="s">
        <v>41</v>
      </c>
      <c r="C583" s="5" t="s">
        <v>16</v>
      </c>
      <c r="D583" s="5" t="s">
        <v>12</v>
      </c>
      <c r="E583" s="5" t="s">
        <v>39</v>
      </c>
      <c r="F583" s="2">
        <v>286</v>
      </c>
      <c r="G583" s="3">
        <v>146.38999999999999</v>
      </c>
      <c r="H583">
        <v>142</v>
      </c>
      <c r="I583">
        <f>IF(Table1[[#This Row],[Status]]= "Sufficient",
     Table1[[#This Row],[Stock_Quantity]] - Table1[[#This Row],[Reorder_Level]],
     0)</f>
        <v>144</v>
      </c>
      <c r="J583" s="4">
        <v>45645</v>
      </c>
      <c r="K583" s="5" t="s">
        <v>14</v>
      </c>
      <c r="L583">
        <f>YEAR(Table1[[#This Row],[Last_Restock_Date]])</f>
        <v>2024</v>
      </c>
      <c r="M583" t="str">
        <f>_xlfn.CONCAT(TEXT(Table1[[#This Row],[Last_Restock_Date]],"mmm"), "-", YEAR(Table1[[#This Row],[Last_Restock_Date]]))</f>
        <v>Dec-2024</v>
      </c>
      <c r="N583">
        <f>MONTH(Table1[[#This Row],[Last_Restock_Date]])</f>
        <v>12</v>
      </c>
      <c r="O583" t="str" cm="1">
        <f t="array" ref="O583">_xlfn.SWITCH(Table1[[#This Row],[Month_Number]],
    1,"Q1",2,"Q1",3,"Q1",
    4,"Q2",5,"Q2",6,"Q2",
    7,"Q3",8,"Q3",9,"Q3",
    10,"Q4",11,"Q4",12,"Q4",
    "Invalid Month"
)</f>
        <v>Q4</v>
      </c>
      <c r="P583" t="str">
        <f>TEXT(Table1[[#This Row],[Last_Restock_Date]],"mmm")</f>
        <v>Dec</v>
      </c>
    </row>
    <row r="584" spans="1:16" x14ac:dyDescent="0.25">
      <c r="A584">
        <v>583</v>
      </c>
      <c r="B584" s="5" t="s">
        <v>45</v>
      </c>
      <c r="C584" s="5" t="s">
        <v>26</v>
      </c>
      <c r="D584" s="5" t="s">
        <v>21</v>
      </c>
      <c r="E584" s="5" t="s">
        <v>18</v>
      </c>
      <c r="F584" s="2">
        <v>81</v>
      </c>
      <c r="G584" s="3">
        <v>32.74</v>
      </c>
      <c r="H584">
        <v>130</v>
      </c>
      <c r="I584">
        <f>IF(Table1[[#This Row],[Status]]= "Sufficient",
     Table1[[#This Row],[Stock_Quantity]] - Table1[[#This Row],[Reorder_Level]],
     0)</f>
        <v>0</v>
      </c>
      <c r="J584" s="4">
        <v>45088</v>
      </c>
      <c r="K584" s="5" t="s">
        <v>28</v>
      </c>
      <c r="L584">
        <f>YEAR(Table1[[#This Row],[Last_Restock_Date]])</f>
        <v>2023</v>
      </c>
      <c r="M584" t="str">
        <f>_xlfn.CONCAT(TEXT(Table1[[#This Row],[Last_Restock_Date]],"mmm"), "-", YEAR(Table1[[#This Row],[Last_Restock_Date]]))</f>
        <v>Jun-2023</v>
      </c>
      <c r="N584">
        <f>MONTH(Table1[[#This Row],[Last_Restock_Date]])</f>
        <v>6</v>
      </c>
      <c r="O584" t="str" cm="1">
        <f t="array" ref="O584">_xlfn.SWITCH(Table1[[#This Row],[Month_Number]],
    1,"Q1",2,"Q1",3,"Q1",
    4,"Q2",5,"Q2",6,"Q2",
    7,"Q3",8,"Q3",9,"Q3",
    10,"Q4",11,"Q4",12,"Q4",
    "Invalid Month"
)</f>
        <v>Q2</v>
      </c>
      <c r="P584" t="str">
        <f>TEXT(Table1[[#This Row],[Last_Restock_Date]],"mmm")</f>
        <v>Jun</v>
      </c>
    </row>
    <row r="585" spans="1:16" x14ac:dyDescent="0.25">
      <c r="A585">
        <v>584</v>
      </c>
      <c r="B585" s="5" t="s">
        <v>51</v>
      </c>
      <c r="C585" s="5" t="s">
        <v>11</v>
      </c>
      <c r="D585" s="5" t="s">
        <v>21</v>
      </c>
      <c r="E585" s="5" t="s">
        <v>39</v>
      </c>
      <c r="F585" s="2">
        <v>25</v>
      </c>
      <c r="G585" s="3">
        <v>18.46</v>
      </c>
      <c r="H585">
        <v>94</v>
      </c>
      <c r="I585">
        <f>IF(Table1[[#This Row],[Status]]= "Sufficient",
     Table1[[#This Row],[Stock_Quantity]] - Table1[[#This Row],[Reorder_Level]],
     0)</f>
        <v>0</v>
      </c>
      <c r="J585" s="4">
        <v>45143</v>
      </c>
      <c r="K585" s="5" t="s">
        <v>28</v>
      </c>
      <c r="L585">
        <f>YEAR(Table1[[#This Row],[Last_Restock_Date]])</f>
        <v>2023</v>
      </c>
      <c r="M585" t="str">
        <f>_xlfn.CONCAT(TEXT(Table1[[#This Row],[Last_Restock_Date]],"mmm"), "-", YEAR(Table1[[#This Row],[Last_Restock_Date]]))</f>
        <v>Aug-2023</v>
      </c>
      <c r="N585">
        <f>MONTH(Table1[[#This Row],[Last_Restock_Date]])</f>
        <v>8</v>
      </c>
      <c r="O585" t="str" cm="1">
        <f t="array" ref="O585">_xlfn.SWITCH(Table1[[#This Row],[Month_Number]],
    1,"Q1",2,"Q1",3,"Q1",
    4,"Q2",5,"Q2",6,"Q2",
    7,"Q3",8,"Q3",9,"Q3",
    10,"Q4",11,"Q4",12,"Q4",
    "Invalid Month"
)</f>
        <v>Q3</v>
      </c>
      <c r="P585" t="str">
        <f>TEXT(Table1[[#This Row],[Last_Restock_Date]],"mmm")</f>
        <v>Aug</v>
      </c>
    </row>
    <row r="586" spans="1:16" x14ac:dyDescent="0.25">
      <c r="A586">
        <v>585</v>
      </c>
      <c r="B586" s="5" t="s">
        <v>19</v>
      </c>
      <c r="C586" s="5" t="s">
        <v>20</v>
      </c>
      <c r="D586" s="5" t="s">
        <v>30</v>
      </c>
      <c r="E586" s="5" t="s">
        <v>18</v>
      </c>
      <c r="F586" s="2">
        <v>98</v>
      </c>
      <c r="G586" s="3">
        <v>256.68</v>
      </c>
      <c r="H586">
        <v>106</v>
      </c>
      <c r="I586">
        <f>IF(Table1[[#This Row],[Status]]= "Sufficient",
     Table1[[#This Row],[Stock_Quantity]] - Table1[[#This Row],[Reorder_Level]],
     0)</f>
        <v>0</v>
      </c>
      <c r="J586" s="4">
        <v>45432</v>
      </c>
      <c r="K586" s="5" t="s">
        <v>28</v>
      </c>
      <c r="L586">
        <f>YEAR(Table1[[#This Row],[Last_Restock_Date]])</f>
        <v>2024</v>
      </c>
      <c r="M586" t="str">
        <f>_xlfn.CONCAT(TEXT(Table1[[#This Row],[Last_Restock_Date]],"mmm"), "-", YEAR(Table1[[#This Row],[Last_Restock_Date]]))</f>
        <v>May-2024</v>
      </c>
      <c r="N586">
        <f>MONTH(Table1[[#This Row],[Last_Restock_Date]])</f>
        <v>5</v>
      </c>
      <c r="O586" t="str" cm="1">
        <f t="array" ref="O586">_xlfn.SWITCH(Table1[[#This Row],[Month_Number]],
    1,"Q1",2,"Q1",3,"Q1",
    4,"Q2",5,"Q2",6,"Q2",
    7,"Q3",8,"Q3",9,"Q3",
    10,"Q4",11,"Q4",12,"Q4",
    "Invalid Month"
)</f>
        <v>Q2</v>
      </c>
      <c r="P586" t="str">
        <f>TEXT(Table1[[#This Row],[Last_Restock_Date]],"mmm")</f>
        <v>May</v>
      </c>
    </row>
    <row r="587" spans="1:16" x14ac:dyDescent="0.25">
      <c r="A587">
        <v>586</v>
      </c>
      <c r="B587" s="5" t="s">
        <v>35</v>
      </c>
      <c r="C587" s="5" t="s">
        <v>11</v>
      </c>
      <c r="D587" s="5" t="s">
        <v>17</v>
      </c>
      <c r="E587" s="5" t="s">
        <v>18</v>
      </c>
      <c r="F587" s="2">
        <v>407</v>
      </c>
      <c r="G587" s="3">
        <v>220.41</v>
      </c>
      <c r="H587">
        <v>128</v>
      </c>
      <c r="I587">
        <f>IF(Table1[[#This Row],[Status]]= "Sufficient",
     Table1[[#This Row],[Stock_Quantity]] - Table1[[#This Row],[Reorder_Level]],
     0)</f>
        <v>279</v>
      </c>
      <c r="J587" s="4">
        <v>45188</v>
      </c>
      <c r="K587" s="5" t="s">
        <v>14</v>
      </c>
      <c r="L587">
        <f>YEAR(Table1[[#This Row],[Last_Restock_Date]])</f>
        <v>2023</v>
      </c>
      <c r="M587" t="str">
        <f>_xlfn.CONCAT(TEXT(Table1[[#This Row],[Last_Restock_Date]],"mmm"), "-", YEAR(Table1[[#This Row],[Last_Restock_Date]]))</f>
        <v>Sep-2023</v>
      </c>
      <c r="N587">
        <f>MONTH(Table1[[#This Row],[Last_Restock_Date]])</f>
        <v>9</v>
      </c>
      <c r="O587" t="str" cm="1">
        <f t="array" ref="O587">_xlfn.SWITCH(Table1[[#This Row],[Month_Number]],
    1,"Q1",2,"Q1",3,"Q1",
    4,"Q2",5,"Q2",6,"Q2",
    7,"Q3",8,"Q3",9,"Q3",
    10,"Q4",11,"Q4",12,"Q4",
    "Invalid Month"
)</f>
        <v>Q3</v>
      </c>
      <c r="P587" t="str">
        <f>TEXT(Table1[[#This Row],[Last_Restock_Date]],"mmm")</f>
        <v>Sep</v>
      </c>
    </row>
    <row r="588" spans="1:16" x14ac:dyDescent="0.25">
      <c r="A588">
        <v>587</v>
      </c>
      <c r="B588" s="5" t="s">
        <v>15</v>
      </c>
      <c r="C588" s="5" t="s">
        <v>16</v>
      </c>
      <c r="D588" s="5" t="s">
        <v>30</v>
      </c>
      <c r="E588" s="5" t="s">
        <v>39</v>
      </c>
      <c r="F588" s="2">
        <v>165</v>
      </c>
      <c r="G588" s="3">
        <v>502.89</v>
      </c>
      <c r="H588">
        <v>93</v>
      </c>
      <c r="I588">
        <f>IF(Table1[[#This Row],[Status]]= "Sufficient",
     Table1[[#This Row],[Stock_Quantity]] - Table1[[#This Row],[Reorder_Level]],
     0)</f>
        <v>72</v>
      </c>
      <c r="J588" s="4">
        <v>45869</v>
      </c>
      <c r="K588" s="5" t="s">
        <v>14</v>
      </c>
      <c r="L588">
        <f>YEAR(Table1[[#This Row],[Last_Restock_Date]])</f>
        <v>2025</v>
      </c>
      <c r="M588" t="str">
        <f>_xlfn.CONCAT(TEXT(Table1[[#This Row],[Last_Restock_Date]],"mmm"), "-", YEAR(Table1[[#This Row],[Last_Restock_Date]]))</f>
        <v>Jul-2025</v>
      </c>
      <c r="N588">
        <f>MONTH(Table1[[#This Row],[Last_Restock_Date]])</f>
        <v>7</v>
      </c>
      <c r="O588" t="str" cm="1">
        <f t="array" ref="O588">_xlfn.SWITCH(Table1[[#This Row],[Month_Number]],
    1,"Q1",2,"Q1",3,"Q1",
    4,"Q2",5,"Q2",6,"Q2",
    7,"Q3",8,"Q3",9,"Q3",
    10,"Q4",11,"Q4",12,"Q4",
    "Invalid Month"
)</f>
        <v>Q3</v>
      </c>
      <c r="P588" t="str">
        <f>TEXT(Table1[[#This Row],[Last_Restock_Date]],"mmm")</f>
        <v>Jul</v>
      </c>
    </row>
    <row r="589" spans="1:16" x14ac:dyDescent="0.25">
      <c r="A589">
        <v>588</v>
      </c>
      <c r="B589" s="5" t="s">
        <v>15</v>
      </c>
      <c r="C589" s="5" t="s">
        <v>16</v>
      </c>
      <c r="D589" s="5" t="s">
        <v>30</v>
      </c>
      <c r="E589" s="5" t="s">
        <v>39</v>
      </c>
      <c r="F589" s="2">
        <v>23</v>
      </c>
      <c r="G589" s="3">
        <v>538.42999999999995</v>
      </c>
      <c r="H589">
        <v>116</v>
      </c>
      <c r="I589">
        <f>IF(Table1[[#This Row],[Status]]= "Sufficient",
     Table1[[#This Row],[Stock_Quantity]] - Table1[[#This Row],[Reorder_Level]],
     0)</f>
        <v>0</v>
      </c>
      <c r="J589" s="4">
        <v>45642</v>
      </c>
      <c r="K589" s="5" t="s">
        <v>28</v>
      </c>
      <c r="L589">
        <f>YEAR(Table1[[#This Row],[Last_Restock_Date]])</f>
        <v>2024</v>
      </c>
      <c r="M589" t="str">
        <f>_xlfn.CONCAT(TEXT(Table1[[#This Row],[Last_Restock_Date]],"mmm"), "-", YEAR(Table1[[#This Row],[Last_Restock_Date]]))</f>
        <v>Dec-2024</v>
      </c>
      <c r="N589">
        <f>MONTH(Table1[[#This Row],[Last_Restock_Date]])</f>
        <v>12</v>
      </c>
      <c r="O589" t="str" cm="1">
        <f t="array" ref="O589">_xlfn.SWITCH(Table1[[#This Row],[Month_Number]],
    1,"Q1",2,"Q1",3,"Q1",
    4,"Q2",5,"Q2",6,"Q2",
    7,"Q3",8,"Q3",9,"Q3",
    10,"Q4",11,"Q4",12,"Q4",
    "Invalid Month"
)</f>
        <v>Q4</v>
      </c>
      <c r="P589" t="str">
        <f>TEXT(Table1[[#This Row],[Last_Restock_Date]],"mmm")</f>
        <v>Dec</v>
      </c>
    </row>
    <row r="590" spans="1:16" x14ac:dyDescent="0.25">
      <c r="A590">
        <v>589</v>
      </c>
      <c r="B590" s="5" t="s">
        <v>50</v>
      </c>
      <c r="C590" s="5" t="s">
        <v>34</v>
      </c>
      <c r="D590" s="5" t="s">
        <v>17</v>
      </c>
      <c r="E590" s="5" t="s">
        <v>18</v>
      </c>
      <c r="F590" s="2">
        <v>18</v>
      </c>
      <c r="G590" s="3">
        <v>187.5</v>
      </c>
      <c r="H590">
        <v>50</v>
      </c>
      <c r="I590">
        <f>IF(Table1[[#This Row],[Status]]= "Sufficient",
     Table1[[#This Row],[Stock_Quantity]] - Table1[[#This Row],[Reorder_Level]],
     0)</f>
        <v>0</v>
      </c>
      <c r="J590" s="4">
        <v>46006</v>
      </c>
      <c r="K590" s="5" t="s">
        <v>28</v>
      </c>
      <c r="L590">
        <f>YEAR(Table1[[#This Row],[Last_Restock_Date]])</f>
        <v>2025</v>
      </c>
      <c r="M590" t="str">
        <f>_xlfn.CONCAT(TEXT(Table1[[#This Row],[Last_Restock_Date]],"mmm"), "-", YEAR(Table1[[#This Row],[Last_Restock_Date]]))</f>
        <v>Dec-2025</v>
      </c>
      <c r="N590">
        <f>MONTH(Table1[[#This Row],[Last_Restock_Date]])</f>
        <v>12</v>
      </c>
      <c r="O590" t="str" cm="1">
        <f t="array" ref="O590">_xlfn.SWITCH(Table1[[#This Row],[Month_Number]],
    1,"Q1",2,"Q1",3,"Q1",
    4,"Q2",5,"Q2",6,"Q2",
    7,"Q3",8,"Q3",9,"Q3",
    10,"Q4",11,"Q4",12,"Q4",
    "Invalid Month"
)</f>
        <v>Q4</v>
      </c>
      <c r="P590" t="str">
        <f>TEXT(Table1[[#This Row],[Last_Restock_Date]],"mmm")</f>
        <v>Dec</v>
      </c>
    </row>
    <row r="591" spans="1:16" x14ac:dyDescent="0.25">
      <c r="A591">
        <v>590</v>
      </c>
      <c r="B591" s="5" t="s">
        <v>45</v>
      </c>
      <c r="C591" s="5" t="s">
        <v>26</v>
      </c>
      <c r="D591" s="5" t="s">
        <v>17</v>
      </c>
      <c r="E591" s="5" t="s">
        <v>39</v>
      </c>
      <c r="F591" s="2">
        <v>364</v>
      </c>
      <c r="G591" s="3">
        <v>221.64</v>
      </c>
      <c r="H591">
        <v>56</v>
      </c>
      <c r="I591">
        <f>IF(Table1[[#This Row],[Status]]= "Sufficient",
     Table1[[#This Row],[Stock_Quantity]] - Table1[[#This Row],[Reorder_Level]],
     0)</f>
        <v>308</v>
      </c>
      <c r="J591" s="4">
        <v>45425</v>
      </c>
      <c r="K591" s="5" t="s">
        <v>14</v>
      </c>
      <c r="L591">
        <f>YEAR(Table1[[#This Row],[Last_Restock_Date]])</f>
        <v>2024</v>
      </c>
      <c r="M591" t="str">
        <f>_xlfn.CONCAT(TEXT(Table1[[#This Row],[Last_Restock_Date]],"mmm"), "-", YEAR(Table1[[#This Row],[Last_Restock_Date]]))</f>
        <v>May-2024</v>
      </c>
      <c r="N591">
        <f>MONTH(Table1[[#This Row],[Last_Restock_Date]])</f>
        <v>5</v>
      </c>
      <c r="O591" t="str" cm="1">
        <f t="array" ref="O591">_xlfn.SWITCH(Table1[[#This Row],[Month_Number]],
    1,"Q1",2,"Q1",3,"Q1",
    4,"Q2",5,"Q2",6,"Q2",
    7,"Q3",8,"Q3",9,"Q3",
    10,"Q4",11,"Q4",12,"Q4",
    "Invalid Month"
)</f>
        <v>Q2</v>
      </c>
      <c r="P591" t="str">
        <f>TEXT(Table1[[#This Row],[Last_Restock_Date]],"mmm")</f>
        <v>May</v>
      </c>
    </row>
    <row r="592" spans="1:16" x14ac:dyDescent="0.25">
      <c r="A592">
        <v>591</v>
      </c>
      <c r="B592" s="5" t="s">
        <v>25</v>
      </c>
      <c r="C592" s="5" t="s">
        <v>26</v>
      </c>
      <c r="D592" s="5" t="s">
        <v>30</v>
      </c>
      <c r="E592" s="5" t="s">
        <v>13</v>
      </c>
      <c r="F592" s="2">
        <v>145</v>
      </c>
      <c r="G592" s="3">
        <v>67.63</v>
      </c>
      <c r="H592">
        <v>120</v>
      </c>
      <c r="I592">
        <f>IF(Table1[[#This Row],[Status]]= "Sufficient",
     Table1[[#This Row],[Stock_Quantity]] - Table1[[#This Row],[Reorder_Level]],
     0)</f>
        <v>25</v>
      </c>
      <c r="J592" s="4">
        <v>45277</v>
      </c>
      <c r="K592" s="5" t="s">
        <v>14</v>
      </c>
      <c r="L592">
        <f>YEAR(Table1[[#This Row],[Last_Restock_Date]])</f>
        <v>2023</v>
      </c>
      <c r="M592" t="str">
        <f>_xlfn.CONCAT(TEXT(Table1[[#This Row],[Last_Restock_Date]],"mmm"), "-", YEAR(Table1[[#This Row],[Last_Restock_Date]]))</f>
        <v>Dec-2023</v>
      </c>
      <c r="N592">
        <f>MONTH(Table1[[#This Row],[Last_Restock_Date]])</f>
        <v>12</v>
      </c>
      <c r="O592" t="str" cm="1">
        <f t="array" ref="O592">_xlfn.SWITCH(Table1[[#This Row],[Month_Number]],
    1,"Q1",2,"Q1",3,"Q1",
    4,"Q2",5,"Q2",6,"Q2",
    7,"Q3",8,"Q3",9,"Q3",
    10,"Q4",11,"Q4",12,"Q4",
    "Invalid Month"
)</f>
        <v>Q4</v>
      </c>
      <c r="P592" t="str">
        <f>TEXT(Table1[[#This Row],[Last_Restock_Date]],"mmm")</f>
        <v>Dec</v>
      </c>
    </row>
    <row r="593" spans="1:16" x14ac:dyDescent="0.25">
      <c r="A593">
        <v>592</v>
      </c>
      <c r="B593" s="5" t="s">
        <v>19</v>
      </c>
      <c r="C593" s="5" t="s">
        <v>20</v>
      </c>
      <c r="D593" s="5" t="s">
        <v>17</v>
      </c>
      <c r="E593" s="5" t="s">
        <v>27</v>
      </c>
      <c r="F593" s="2">
        <v>406</v>
      </c>
      <c r="G593" s="3">
        <v>515.77</v>
      </c>
      <c r="H593">
        <v>79</v>
      </c>
      <c r="I593">
        <f>IF(Table1[[#This Row],[Status]]= "Sufficient",
     Table1[[#This Row],[Stock_Quantity]] - Table1[[#This Row],[Reorder_Level]],
     0)</f>
        <v>327</v>
      </c>
      <c r="J593" s="4">
        <v>45358</v>
      </c>
      <c r="K593" s="5" t="s">
        <v>14</v>
      </c>
      <c r="L593">
        <f>YEAR(Table1[[#This Row],[Last_Restock_Date]])</f>
        <v>2024</v>
      </c>
      <c r="M593" t="str">
        <f>_xlfn.CONCAT(TEXT(Table1[[#This Row],[Last_Restock_Date]],"mmm"), "-", YEAR(Table1[[#This Row],[Last_Restock_Date]]))</f>
        <v>Mar-2024</v>
      </c>
      <c r="N593">
        <f>MONTH(Table1[[#This Row],[Last_Restock_Date]])</f>
        <v>3</v>
      </c>
      <c r="O593" t="str" cm="1">
        <f t="array" ref="O593">_xlfn.SWITCH(Table1[[#This Row],[Month_Number]],
    1,"Q1",2,"Q1",3,"Q1",
    4,"Q2",5,"Q2",6,"Q2",
    7,"Q3",8,"Q3",9,"Q3",
    10,"Q4",11,"Q4",12,"Q4",
    "Invalid Month"
)</f>
        <v>Q1</v>
      </c>
      <c r="P593" t="str">
        <f>TEXT(Table1[[#This Row],[Last_Restock_Date]],"mmm")</f>
        <v>Mar</v>
      </c>
    </row>
    <row r="594" spans="1:16" x14ac:dyDescent="0.25">
      <c r="A594">
        <v>593</v>
      </c>
      <c r="B594" s="5" t="s">
        <v>50</v>
      </c>
      <c r="C594" s="5" t="s">
        <v>34</v>
      </c>
      <c r="D594" s="5" t="s">
        <v>24</v>
      </c>
      <c r="E594" s="5" t="s">
        <v>13</v>
      </c>
      <c r="F594" s="2">
        <v>83</v>
      </c>
      <c r="G594" s="3">
        <v>277.10000000000002</v>
      </c>
      <c r="H594">
        <v>118</v>
      </c>
      <c r="I594">
        <f>IF(Table1[[#This Row],[Status]]= "Sufficient",
     Table1[[#This Row],[Stock_Quantity]] - Table1[[#This Row],[Reorder_Level]],
     0)</f>
        <v>0</v>
      </c>
      <c r="J594" s="4">
        <v>45112</v>
      </c>
      <c r="K594" s="5" t="s">
        <v>28</v>
      </c>
      <c r="L594">
        <f>YEAR(Table1[[#This Row],[Last_Restock_Date]])</f>
        <v>2023</v>
      </c>
      <c r="M594" t="str">
        <f>_xlfn.CONCAT(TEXT(Table1[[#This Row],[Last_Restock_Date]],"mmm"), "-", YEAR(Table1[[#This Row],[Last_Restock_Date]]))</f>
        <v>Jul-2023</v>
      </c>
      <c r="N594">
        <f>MONTH(Table1[[#This Row],[Last_Restock_Date]])</f>
        <v>7</v>
      </c>
      <c r="O594" t="str" cm="1">
        <f t="array" ref="O594">_xlfn.SWITCH(Table1[[#This Row],[Month_Number]],
    1,"Q1",2,"Q1",3,"Q1",
    4,"Q2",5,"Q2",6,"Q2",
    7,"Q3",8,"Q3",9,"Q3",
    10,"Q4",11,"Q4",12,"Q4",
    "Invalid Month"
)</f>
        <v>Q3</v>
      </c>
      <c r="P594" t="str">
        <f>TEXT(Table1[[#This Row],[Last_Restock_Date]],"mmm")</f>
        <v>Jul</v>
      </c>
    </row>
    <row r="595" spans="1:16" x14ac:dyDescent="0.25">
      <c r="A595">
        <v>594</v>
      </c>
      <c r="B595" s="5" t="s">
        <v>36</v>
      </c>
      <c r="C595" s="5" t="s">
        <v>11</v>
      </c>
      <c r="D595" s="5" t="s">
        <v>12</v>
      </c>
      <c r="E595" s="5" t="s">
        <v>32</v>
      </c>
      <c r="F595" s="2">
        <v>447</v>
      </c>
      <c r="G595" s="3">
        <v>792.36</v>
      </c>
      <c r="H595">
        <v>87</v>
      </c>
      <c r="I595">
        <f>IF(Table1[[#This Row],[Status]]= "Sufficient",
     Table1[[#This Row],[Stock_Quantity]] - Table1[[#This Row],[Reorder_Level]],
     0)</f>
        <v>360</v>
      </c>
      <c r="J595" s="4">
        <v>44950</v>
      </c>
      <c r="K595" s="5" t="s">
        <v>14</v>
      </c>
      <c r="L595">
        <f>YEAR(Table1[[#This Row],[Last_Restock_Date]])</f>
        <v>2023</v>
      </c>
      <c r="M595" t="str">
        <f>_xlfn.CONCAT(TEXT(Table1[[#This Row],[Last_Restock_Date]],"mmm"), "-", YEAR(Table1[[#This Row],[Last_Restock_Date]]))</f>
        <v>Jan-2023</v>
      </c>
      <c r="N595">
        <f>MONTH(Table1[[#This Row],[Last_Restock_Date]])</f>
        <v>1</v>
      </c>
      <c r="O595" t="str" cm="1">
        <f t="array" ref="O595">_xlfn.SWITCH(Table1[[#This Row],[Month_Number]],
    1,"Q1",2,"Q1",3,"Q1",
    4,"Q2",5,"Q2",6,"Q2",
    7,"Q3",8,"Q3",9,"Q3",
    10,"Q4",11,"Q4",12,"Q4",
    "Invalid Month"
)</f>
        <v>Q1</v>
      </c>
      <c r="P595" t="str">
        <f>TEXT(Table1[[#This Row],[Last_Restock_Date]],"mmm")</f>
        <v>Jan</v>
      </c>
    </row>
    <row r="596" spans="1:16" x14ac:dyDescent="0.25">
      <c r="A596">
        <v>595</v>
      </c>
      <c r="B596" s="5" t="s">
        <v>33</v>
      </c>
      <c r="C596" s="5" t="s">
        <v>34</v>
      </c>
      <c r="D596" s="5" t="s">
        <v>21</v>
      </c>
      <c r="E596" s="5" t="s">
        <v>32</v>
      </c>
      <c r="F596" s="2">
        <v>67</v>
      </c>
      <c r="G596" s="3">
        <v>14.83</v>
      </c>
      <c r="H596">
        <v>133</v>
      </c>
      <c r="I596">
        <f>IF(Table1[[#This Row],[Status]]= "Sufficient",
     Table1[[#This Row],[Stock_Quantity]] - Table1[[#This Row],[Reorder_Level]],
     0)</f>
        <v>0</v>
      </c>
      <c r="J596" s="4">
        <v>45085</v>
      </c>
      <c r="K596" s="5" t="s">
        <v>28</v>
      </c>
      <c r="L596">
        <f>YEAR(Table1[[#This Row],[Last_Restock_Date]])</f>
        <v>2023</v>
      </c>
      <c r="M596" t="str">
        <f>_xlfn.CONCAT(TEXT(Table1[[#This Row],[Last_Restock_Date]],"mmm"), "-", YEAR(Table1[[#This Row],[Last_Restock_Date]]))</f>
        <v>Jun-2023</v>
      </c>
      <c r="N596">
        <f>MONTH(Table1[[#This Row],[Last_Restock_Date]])</f>
        <v>6</v>
      </c>
      <c r="O596" t="str" cm="1">
        <f t="array" ref="O596">_xlfn.SWITCH(Table1[[#This Row],[Month_Number]],
    1,"Q1",2,"Q1",3,"Q1",
    4,"Q2",5,"Q2",6,"Q2",
    7,"Q3",8,"Q3",9,"Q3",
    10,"Q4",11,"Q4",12,"Q4",
    "Invalid Month"
)</f>
        <v>Q2</v>
      </c>
      <c r="P596" t="str">
        <f>TEXT(Table1[[#This Row],[Last_Restock_Date]],"mmm")</f>
        <v>Jun</v>
      </c>
    </row>
    <row r="597" spans="1:16" x14ac:dyDescent="0.25">
      <c r="A597">
        <v>596</v>
      </c>
      <c r="B597" s="5" t="s">
        <v>45</v>
      </c>
      <c r="C597" s="5" t="s">
        <v>26</v>
      </c>
      <c r="D597" s="5" t="s">
        <v>30</v>
      </c>
      <c r="E597" s="5" t="s">
        <v>39</v>
      </c>
      <c r="F597" s="2">
        <v>10</v>
      </c>
      <c r="G597" s="3">
        <v>289.74</v>
      </c>
      <c r="H597">
        <v>101</v>
      </c>
      <c r="I597">
        <f>IF(Table1[[#This Row],[Status]]= "Sufficient",
     Table1[[#This Row],[Stock_Quantity]] - Table1[[#This Row],[Reorder_Level]],
     0)</f>
        <v>0</v>
      </c>
      <c r="J597" s="4">
        <v>45522</v>
      </c>
      <c r="K597" s="5" t="s">
        <v>28</v>
      </c>
      <c r="L597">
        <f>YEAR(Table1[[#This Row],[Last_Restock_Date]])</f>
        <v>2024</v>
      </c>
      <c r="M597" t="str">
        <f>_xlfn.CONCAT(TEXT(Table1[[#This Row],[Last_Restock_Date]],"mmm"), "-", YEAR(Table1[[#This Row],[Last_Restock_Date]]))</f>
        <v>Aug-2024</v>
      </c>
      <c r="N597">
        <f>MONTH(Table1[[#This Row],[Last_Restock_Date]])</f>
        <v>8</v>
      </c>
      <c r="O597" t="str" cm="1">
        <f t="array" ref="O597">_xlfn.SWITCH(Table1[[#This Row],[Month_Number]],
    1,"Q1",2,"Q1",3,"Q1",
    4,"Q2",5,"Q2",6,"Q2",
    7,"Q3",8,"Q3",9,"Q3",
    10,"Q4",11,"Q4",12,"Q4",
    "Invalid Month"
)</f>
        <v>Q3</v>
      </c>
      <c r="P597" t="str">
        <f>TEXT(Table1[[#This Row],[Last_Restock_Date]],"mmm")</f>
        <v>Aug</v>
      </c>
    </row>
    <row r="598" spans="1:16" x14ac:dyDescent="0.25">
      <c r="A598">
        <v>597</v>
      </c>
      <c r="B598" s="5" t="s">
        <v>50</v>
      </c>
      <c r="C598" s="5" t="s">
        <v>34</v>
      </c>
      <c r="D598" s="5" t="s">
        <v>17</v>
      </c>
      <c r="E598" s="5" t="s">
        <v>32</v>
      </c>
      <c r="F598" s="2">
        <v>385</v>
      </c>
      <c r="G598" s="3">
        <v>628.19000000000005</v>
      </c>
      <c r="H598">
        <v>149</v>
      </c>
      <c r="I598">
        <f>IF(Table1[[#This Row],[Status]]= "Sufficient",
     Table1[[#This Row],[Stock_Quantity]] - Table1[[#This Row],[Reorder_Level]],
     0)</f>
        <v>236</v>
      </c>
      <c r="J598" s="4">
        <v>45275</v>
      </c>
      <c r="K598" s="5" t="s">
        <v>14</v>
      </c>
      <c r="L598">
        <f>YEAR(Table1[[#This Row],[Last_Restock_Date]])</f>
        <v>2023</v>
      </c>
      <c r="M598" t="str">
        <f>_xlfn.CONCAT(TEXT(Table1[[#This Row],[Last_Restock_Date]],"mmm"), "-", YEAR(Table1[[#This Row],[Last_Restock_Date]]))</f>
        <v>Dec-2023</v>
      </c>
      <c r="N598">
        <f>MONTH(Table1[[#This Row],[Last_Restock_Date]])</f>
        <v>12</v>
      </c>
      <c r="O598" t="str" cm="1">
        <f t="array" ref="O598">_xlfn.SWITCH(Table1[[#This Row],[Month_Number]],
    1,"Q1",2,"Q1",3,"Q1",
    4,"Q2",5,"Q2",6,"Q2",
    7,"Q3",8,"Q3",9,"Q3",
    10,"Q4",11,"Q4",12,"Q4",
    "Invalid Month"
)</f>
        <v>Q4</v>
      </c>
      <c r="P598" t="str">
        <f>TEXT(Table1[[#This Row],[Last_Restock_Date]],"mmm")</f>
        <v>Dec</v>
      </c>
    </row>
    <row r="599" spans="1:16" x14ac:dyDescent="0.25">
      <c r="A599">
        <v>598</v>
      </c>
      <c r="B599" s="5" t="s">
        <v>54</v>
      </c>
      <c r="C599" s="5" t="s">
        <v>20</v>
      </c>
      <c r="D599" s="5" t="s">
        <v>12</v>
      </c>
      <c r="E599" s="5" t="s">
        <v>18</v>
      </c>
      <c r="F599" s="2">
        <v>478</v>
      </c>
      <c r="G599" s="3">
        <v>798.8</v>
      </c>
      <c r="H599">
        <v>71</v>
      </c>
      <c r="I599">
        <f>IF(Table1[[#This Row],[Status]]= "Sufficient",
     Table1[[#This Row],[Stock_Quantity]] - Table1[[#This Row],[Reorder_Level]],
     0)</f>
        <v>407</v>
      </c>
      <c r="J599" s="4">
        <v>45179</v>
      </c>
      <c r="K599" s="5" t="s">
        <v>14</v>
      </c>
      <c r="L599">
        <f>YEAR(Table1[[#This Row],[Last_Restock_Date]])</f>
        <v>2023</v>
      </c>
      <c r="M599" t="str">
        <f>_xlfn.CONCAT(TEXT(Table1[[#This Row],[Last_Restock_Date]],"mmm"), "-", YEAR(Table1[[#This Row],[Last_Restock_Date]]))</f>
        <v>Sep-2023</v>
      </c>
      <c r="N599">
        <f>MONTH(Table1[[#This Row],[Last_Restock_Date]])</f>
        <v>9</v>
      </c>
      <c r="O599" t="str" cm="1">
        <f t="array" ref="O599">_xlfn.SWITCH(Table1[[#This Row],[Month_Number]],
    1,"Q1",2,"Q1",3,"Q1",
    4,"Q2",5,"Q2",6,"Q2",
    7,"Q3",8,"Q3",9,"Q3",
    10,"Q4",11,"Q4",12,"Q4",
    "Invalid Month"
)</f>
        <v>Q3</v>
      </c>
      <c r="P599" t="str">
        <f>TEXT(Table1[[#This Row],[Last_Restock_Date]],"mmm")</f>
        <v>Sep</v>
      </c>
    </row>
    <row r="600" spans="1:16" x14ac:dyDescent="0.25">
      <c r="A600">
        <v>599</v>
      </c>
      <c r="B600" s="5" t="s">
        <v>15</v>
      </c>
      <c r="C600" s="5" t="s">
        <v>16</v>
      </c>
      <c r="D600" s="5" t="s">
        <v>21</v>
      </c>
      <c r="E600" s="5" t="s">
        <v>18</v>
      </c>
      <c r="F600" s="2">
        <v>229</v>
      </c>
      <c r="G600" s="3">
        <v>233.69</v>
      </c>
      <c r="H600">
        <v>119</v>
      </c>
      <c r="I600">
        <f>IF(Table1[[#This Row],[Status]]= "Sufficient",
     Table1[[#This Row],[Stock_Quantity]] - Table1[[#This Row],[Reorder_Level]],
     0)</f>
        <v>110</v>
      </c>
      <c r="J600" s="4">
        <v>45166</v>
      </c>
      <c r="K600" s="5" t="s">
        <v>14</v>
      </c>
      <c r="L600">
        <f>YEAR(Table1[[#This Row],[Last_Restock_Date]])</f>
        <v>2023</v>
      </c>
      <c r="M600" t="str">
        <f>_xlfn.CONCAT(TEXT(Table1[[#This Row],[Last_Restock_Date]],"mmm"), "-", YEAR(Table1[[#This Row],[Last_Restock_Date]]))</f>
        <v>Aug-2023</v>
      </c>
      <c r="N600">
        <f>MONTH(Table1[[#This Row],[Last_Restock_Date]])</f>
        <v>8</v>
      </c>
      <c r="O600" t="str" cm="1">
        <f t="array" ref="O600">_xlfn.SWITCH(Table1[[#This Row],[Month_Number]],
    1,"Q1",2,"Q1",3,"Q1",
    4,"Q2",5,"Q2",6,"Q2",
    7,"Q3",8,"Q3",9,"Q3",
    10,"Q4",11,"Q4",12,"Q4",
    "Invalid Month"
)</f>
        <v>Q3</v>
      </c>
      <c r="P600" t="str">
        <f>TEXT(Table1[[#This Row],[Last_Restock_Date]],"mmm")</f>
        <v>Aug</v>
      </c>
    </row>
    <row r="601" spans="1:16" x14ac:dyDescent="0.25">
      <c r="A601">
        <v>600</v>
      </c>
      <c r="B601" s="5" t="s">
        <v>40</v>
      </c>
      <c r="C601" s="5" t="s">
        <v>34</v>
      </c>
      <c r="D601" s="5" t="s">
        <v>30</v>
      </c>
      <c r="E601" s="5" t="s">
        <v>27</v>
      </c>
      <c r="F601" s="2">
        <v>162</v>
      </c>
      <c r="G601" s="3">
        <v>126.85</v>
      </c>
      <c r="H601">
        <v>50</v>
      </c>
      <c r="I601">
        <f>IF(Table1[[#This Row],[Status]]= "Sufficient",
     Table1[[#This Row],[Stock_Quantity]] - Table1[[#This Row],[Reorder_Level]],
     0)</f>
        <v>112</v>
      </c>
      <c r="J601" s="4">
        <v>45490</v>
      </c>
      <c r="K601" s="5" t="s">
        <v>14</v>
      </c>
      <c r="L601">
        <f>YEAR(Table1[[#This Row],[Last_Restock_Date]])</f>
        <v>2024</v>
      </c>
      <c r="M601" t="str">
        <f>_xlfn.CONCAT(TEXT(Table1[[#This Row],[Last_Restock_Date]],"mmm"), "-", YEAR(Table1[[#This Row],[Last_Restock_Date]]))</f>
        <v>Jul-2024</v>
      </c>
      <c r="N601">
        <f>MONTH(Table1[[#This Row],[Last_Restock_Date]])</f>
        <v>7</v>
      </c>
      <c r="O601" t="str" cm="1">
        <f t="array" ref="O601">_xlfn.SWITCH(Table1[[#This Row],[Month_Number]],
    1,"Q1",2,"Q1",3,"Q1",
    4,"Q2",5,"Q2",6,"Q2",
    7,"Q3",8,"Q3",9,"Q3",
    10,"Q4",11,"Q4",12,"Q4",
    "Invalid Month"
)</f>
        <v>Q3</v>
      </c>
      <c r="P601" t="str">
        <f>TEXT(Table1[[#This Row],[Last_Restock_Date]],"mmm")</f>
        <v>Jul</v>
      </c>
    </row>
    <row r="602" spans="1:16" x14ac:dyDescent="0.25">
      <c r="A602">
        <v>601</v>
      </c>
      <c r="B602" s="5" t="s">
        <v>23</v>
      </c>
      <c r="C602" s="5" t="s">
        <v>20</v>
      </c>
      <c r="D602" s="5" t="s">
        <v>21</v>
      </c>
      <c r="E602" s="5" t="s">
        <v>37</v>
      </c>
      <c r="F602" s="2">
        <v>486</v>
      </c>
      <c r="G602" s="3">
        <v>738.96</v>
      </c>
      <c r="H602">
        <v>87</v>
      </c>
      <c r="I602">
        <f>IF(Table1[[#This Row],[Status]]= "Sufficient",
     Table1[[#This Row],[Stock_Quantity]] - Table1[[#This Row],[Reorder_Level]],
     0)</f>
        <v>399</v>
      </c>
      <c r="J602" s="4">
        <v>45803</v>
      </c>
      <c r="K602" s="5" t="s">
        <v>14</v>
      </c>
      <c r="L602">
        <f>YEAR(Table1[[#This Row],[Last_Restock_Date]])</f>
        <v>2025</v>
      </c>
      <c r="M602" t="str">
        <f>_xlfn.CONCAT(TEXT(Table1[[#This Row],[Last_Restock_Date]],"mmm"), "-", YEAR(Table1[[#This Row],[Last_Restock_Date]]))</f>
        <v>May-2025</v>
      </c>
      <c r="N602">
        <f>MONTH(Table1[[#This Row],[Last_Restock_Date]])</f>
        <v>5</v>
      </c>
      <c r="O602" t="str" cm="1">
        <f t="array" ref="O602">_xlfn.SWITCH(Table1[[#This Row],[Month_Number]],
    1,"Q1",2,"Q1",3,"Q1",
    4,"Q2",5,"Q2",6,"Q2",
    7,"Q3",8,"Q3",9,"Q3",
    10,"Q4",11,"Q4",12,"Q4",
    "Invalid Month"
)</f>
        <v>Q2</v>
      </c>
      <c r="P602" t="str">
        <f>TEXT(Table1[[#This Row],[Last_Restock_Date]],"mmm")</f>
        <v>May</v>
      </c>
    </row>
    <row r="603" spans="1:16" x14ac:dyDescent="0.25">
      <c r="A603">
        <v>602</v>
      </c>
      <c r="B603" s="5" t="s">
        <v>42</v>
      </c>
      <c r="C603" s="5" t="s">
        <v>16</v>
      </c>
      <c r="D603" s="5" t="s">
        <v>30</v>
      </c>
      <c r="E603" s="5" t="s">
        <v>39</v>
      </c>
      <c r="F603" s="2">
        <v>384</v>
      </c>
      <c r="G603" s="3">
        <v>576.27</v>
      </c>
      <c r="H603">
        <v>134</v>
      </c>
      <c r="I603">
        <f>IF(Table1[[#This Row],[Status]]= "Sufficient",
     Table1[[#This Row],[Stock_Quantity]] - Table1[[#This Row],[Reorder_Level]],
     0)</f>
        <v>250</v>
      </c>
      <c r="J603" s="4">
        <v>45559</v>
      </c>
      <c r="K603" s="5" t="s">
        <v>14</v>
      </c>
      <c r="L603">
        <f>YEAR(Table1[[#This Row],[Last_Restock_Date]])</f>
        <v>2024</v>
      </c>
      <c r="M603" t="str">
        <f>_xlfn.CONCAT(TEXT(Table1[[#This Row],[Last_Restock_Date]],"mmm"), "-", YEAR(Table1[[#This Row],[Last_Restock_Date]]))</f>
        <v>Sep-2024</v>
      </c>
      <c r="N603">
        <f>MONTH(Table1[[#This Row],[Last_Restock_Date]])</f>
        <v>9</v>
      </c>
      <c r="O603" t="str" cm="1">
        <f t="array" ref="O603">_xlfn.SWITCH(Table1[[#This Row],[Month_Number]],
    1,"Q1",2,"Q1",3,"Q1",
    4,"Q2",5,"Q2",6,"Q2",
    7,"Q3",8,"Q3",9,"Q3",
    10,"Q4",11,"Q4",12,"Q4",
    "Invalid Month"
)</f>
        <v>Q3</v>
      </c>
      <c r="P603" t="str">
        <f>TEXT(Table1[[#This Row],[Last_Restock_Date]],"mmm")</f>
        <v>Sep</v>
      </c>
    </row>
    <row r="604" spans="1:16" x14ac:dyDescent="0.25">
      <c r="A604">
        <v>603</v>
      </c>
      <c r="B604" s="5" t="s">
        <v>49</v>
      </c>
      <c r="C604" s="5" t="s">
        <v>16</v>
      </c>
      <c r="D604" s="5" t="s">
        <v>24</v>
      </c>
      <c r="E604" s="5" t="s">
        <v>18</v>
      </c>
      <c r="F604" s="2">
        <v>434</v>
      </c>
      <c r="G604" s="3">
        <v>66.02</v>
      </c>
      <c r="H604">
        <v>50</v>
      </c>
      <c r="I604">
        <f>IF(Table1[[#This Row],[Status]]= "Sufficient",
     Table1[[#This Row],[Stock_Quantity]] - Table1[[#This Row],[Reorder_Level]],
     0)</f>
        <v>384</v>
      </c>
      <c r="J604" s="4">
        <v>45318</v>
      </c>
      <c r="K604" s="5" t="s">
        <v>14</v>
      </c>
      <c r="L604">
        <f>YEAR(Table1[[#This Row],[Last_Restock_Date]])</f>
        <v>2024</v>
      </c>
      <c r="M604" t="str">
        <f>_xlfn.CONCAT(TEXT(Table1[[#This Row],[Last_Restock_Date]],"mmm"), "-", YEAR(Table1[[#This Row],[Last_Restock_Date]]))</f>
        <v>Jan-2024</v>
      </c>
      <c r="N604">
        <f>MONTH(Table1[[#This Row],[Last_Restock_Date]])</f>
        <v>1</v>
      </c>
      <c r="O604" t="str" cm="1">
        <f t="array" ref="O604">_xlfn.SWITCH(Table1[[#This Row],[Month_Number]],
    1,"Q1",2,"Q1",3,"Q1",
    4,"Q2",5,"Q2",6,"Q2",
    7,"Q3",8,"Q3",9,"Q3",
    10,"Q4",11,"Q4",12,"Q4",
    "Invalid Month"
)</f>
        <v>Q1</v>
      </c>
      <c r="P604" t="str">
        <f>TEXT(Table1[[#This Row],[Last_Restock_Date]],"mmm")</f>
        <v>Jan</v>
      </c>
    </row>
    <row r="605" spans="1:16" x14ac:dyDescent="0.25">
      <c r="A605">
        <v>604</v>
      </c>
      <c r="B605" s="5" t="s">
        <v>15</v>
      </c>
      <c r="C605" s="5" t="s">
        <v>16</v>
      </c>
      <c r="D605" s="5" t="s">
        <v>24</v>
      </c>
      <c r="E605" s="5" t="s">
        <v>37</v>
      </c>
      <c r="F605" s="2">
        <v>471</v>
      </c>
      <c r="G605" s="3">
        <v>205.38</v>
      </c>
      <c r="H605">
        <v>130</v>
      </c>
      <c r="I605">
        <f>IF(Table1[[#This Row],[Status]]= "Sufficient",
     Table1[[#This Row],[Stock_Quantity]] - Table1[[#This Row],[Reorder_Level]],
     0)</f>
        <v>341</v>
      </c>
      <c r="J605" s="4">
        <v>45068</v>
      </c>
      <c r="K605" s="5" t="s">
        <v>14</v>
      </c>
      <c r="L605">
        <f>YEAR(Table1[[#This Row],[Last_Restock_Date]])</f>
        <v>2023</v>
      </c>
      <c r="M605" t="str">
        <f>_xlfn.CONCAT(TEXT(Table1[[#This Row],[Last_Restock_Date]],"mmm"), "-", YEAR(Table1[[#This Row],[Last_Restock_Date]]))</f>
        <v>May-2023</v>
      </c>
      <c r="N605">
        <f>MONTH(Table1[[#This Row],[Last_Restock_Date]])</f>
        <v>5</v>
      </c>
      <c r="O605" t="str" cm="1">
        <f t="array" ref="O605">_xlfn.SWITCH(Table1[[#This Row],[Month_Number]],
    1,"Q1",2,"Q1",3,"Q1",
    4,"Q2",5,"Q2",6,"Q2",
    7,"Q3",8,"Q3",9,"Q3",
    10,"Q4",11,"Q4",12,"Q4",
    "Invalid Month"
)</f>
        <v>Q2</v>
      </c>
      <c r="P605" t="str">
        <f>TEXT(Table1[[#This Row],[Last_Restock_Date]],"mmm")</f>
        <v>May</v>
      </c>
    </row>
    <row r="606" spans="1:16" x14ac:dyDescent="0.25">
      <c r="A606">
        <v>605</v>
      </c>
      <c r="B606" s="5" t="s">
        <v>54</v>
      </c>
      <c r="C606" s="5" t="s">
        <v>20</v>
      </c>
      <c r="D606" s="5" t="s">
        <v>12</v>
      </c>
      <c r="E606" s="5" t="s">
        <v>32</v>
      </c>
      <c r="F606" s="2">
        <v>107</v>
      </c>
      <c r="G606" s="3">
        <v>199.37</v>
      </c>
      <c r="H606">
        <v>111</v>
      </c>
      <c r="I606">
        <f>IF(Table1[[#This Row],[Status]]= "Sufficient",
     Table1[[#This Row],[Stock_Quantity]] - Table1[[#This Row],[Reorder_Level]],
     0)</f>
        <v>0</v>
      </c>
      <c r="J606" s="4">
        <v>45324</v>
      </c>
      <c r="K606" s="5" t="s">
        <v>28</v>
      </c>
      <c r="L606">
        <f>YEAR(Table1[[#This Row],[Last_Restock_Date]])</f>
        <v>2024</v>
      </c>
      <c r="M606" t="str">
        <f>_xlfn.CONCAT(TEXT(Table1[[#This Row],[Last_Restock_Date]],"mmm"), "-", YEAR(Table1[[#This Row],[Last_Restock_Date]]))</f>
        <v>Feb-2024</v>
      </c>
      <c r="N606">
        <f>MONTH(Table1[[#This Row],[Last_Restock_Date]])</f>
        <v>2</v>
      </c>
      <c r="O606" t="str" cm="1">
        <f t="array" ref="O606">_xlfn.SWITCH(Table1[[#This Row],[Month_Number]],
    1,"Q1",2,"Q1",3,"Q1",
    4,"Q2",5,"Q2",6,"Q2",
    7,"Q3",8,"Q3",9,"Q3",
    10,"Q4",11,"Q4",12,"Q4",
    "Invalid Month"
)</f>
        <v>Q1</v>
      </c>
      <c r="P606" t="str">
        <f>TEXT(Table1[[#This Row],[Last_Restock_Date]],"mmm")</f>
        <v>Feb</v>
      </c>
    </row>
    <row r="607" spans="1:16" x14ac:dyDescent="0.25">
      <c r="A607">
        <v>606</v>
      </c>
      <c r="B607" s="5" t="s">
        <v>42</v>
      </c>
      <c r="C607" s="5" t="s">
        <v>16</v>
      </c>
      <c r="D607" s="5" t="s">
        <v>17</v>
      </c>
      <c r="E607" s="5" t="s">
        <v>18</v>
      </c>
      <c r="F607" s="2">
        <v>280</v>
      </c>
      <c r="G607" s="3">
        <v>463.34</v>
      </c>
      <c r="H607">
        <v>140</v>
      </c>
      <c r="I607">
        <f>IF(Table1[[#This Row],[Status]]= "Sufficient",
     Table1[[#This Row],[Stock_Quantity]] - Table1[[#This Row],[Reorder_Level]],
     0)</f>
        <v>140</v>
      </c>
      <c r="J607" s="4">
        <v>45157</v>
      </c>
      <c r="K607" s="5" t="s">
        <v>14</v>
      </c>
      <c r="L607">
        <f>YEAR(Table1[[#This Row],[Last_Restock_Date]])</f>
        <v>2023</v>
      </c>
      <c r="M607" t="str">
        <f>_xlfn.CONCAT(TEXT(Table1[[#This Row],[Last_Restock_Date]],"mmm"), "-", YEAR(Table1[[#This Row],[Last_Restock_Date]]))</f>
        <v>Aug-2023</v>
      </c>
      <c r="N607">
        <f>MONTH(Table1[[#This Row],[Last_Restock_Date]])</f>
        <v>8</v>
      </c>
      <c r="O607" t="str" cm="1">
        <f t="array" ref="O607">_xlfn.SWITCH(Table1[[#This Row],[Month_Number]],
    1,"Q1",2,"Q1",3,"Q1",
    4,"Q2",5,"Q2",6,"Q2",
    7,"Q3",8,"Q3",9,"Q3",
    10,"Q4",11,"Q4",12,"Q4",
    "Invalid Month"
)</f>
        <v>Q3</v>
      </c>
      <c r="P607" t="str">
        <f>TEXT(Table1[[#This Row],[Last_Restock_Date]],"mmm")</f>
        <v>Aug</v>
      </c>
    </row>
    <row r="608" spans="1:16" x14ac:dyDescent="0.25">
      <c r="A608">
        <v>607</v>
      </c>
      <c r="B608" s="5" t="s">
        <v>35</v>
      </c>
      <c r="C608" s="5" t="s">
        <v>11</v>
      </c>
      <c r="D608" s="5" t="s">
        <v>12</v>
      </c>
      <c r="E608" s="5" t="s">
        <v>37</v>
      </c>
      <c r="F608" s="2">
        <v>304</v>
      </c>
      <c r="G608" s="3">
        <v>647.77</v>
      </c>
      <c r="H608">
        <v>57</v>
      </c>
      <c r="I608">
        <f>IF(Table1[[#This Row],[Status]]= "Sufficient",
     Table1[[#This Row],[Stock_Quantity]] - Table1[[#This Row],[Reorder_Level]],
     0)</f>
        <v>247</v>
      </c>
      <c r="J608" s="4">
        <v>45977</v>
      </c>
      <c r="K608" s="5" t="s">
        <v>14</v>
      </c>
      <c r="L608">
        <f>YEAR(Table1[[#This Row],[Last_Restock_Date]])</f>
        <v>2025</v>
      </c>
      <c r="M608" t="str">
        <f>_xlfn.CONCAT(TEXT(Table1[[#This Row],[Last_Restock_Date]],"mmm"), "-", YEAR(Table1[[#This Row],[Last_Restock_Date]]))</f>
        <v>Nov-2025</v>
      </c>
      <c r="N608">
        <f>MONTH(Table1[[#This Row],[Last_Restock_Date]])</f>
        <v>11</v>
      </c>
      <c r="O608" t="str" cm="1">
        <f t="array" ref="O608">_xlfn.SWITCH(Table1[[#This Row],[Month_Number]],
    1,"Q1",2,"Q1",3,"Q1",
    4,"Q2",5,"Q2",6,"Q2",
    7,"Q3",8,"Q3",9,"Q3",
    10,"Q4",11,"Q4",12,"Q4",
    "Invalid Month"
)</f>
        <v>Q4</v>
      </c>
      <c r="P608" t="str">
        <f>TEXT(Table1[[#This Row],[Last_Restock_Date]],"mmm")</f>
        <v>Nov</v>
      </c>
    </row>
    <row r="609" spans="1:16" x14ac:dyDescent="0.25">
      <c r="A609">
        <v>608</v>
      </c>
      <c r="B609" s="5" t="s">
        <v>35</v>
      </c>
      <c r="C609" s="5" t="s">
        <v>11</v>
      </c>
      <c r="D609" s="5" t="s">
        <v>17</v>
      </c>
      <c r="E609" s="5" t="s">
        <v>37</v>
      </c>
      <c r="F609" s="2">
        <v>56</v>
      </c>
      <c r="G609" s="3">
        <v>429.44</v>
      </c>
      <c r="H609">
        <v>68</v>
      </c>
      <c r="I609">
        <f>IF(Table1[[#This Row],[Status]]= "Sufficient",
     Table1[[#This Row],[Stock_Quantity]] - Table1[[#This Row],[Reorder_Level]],
     0)</f>
        <v>0</v>
      </c>
      <c r="J609" s="4">
        <v>45335</v>
      </c>
      <c r="K609" s="5" t="s">
        <v>28</v>
      </c>
      <c r="L609">
        <f>YEAR(Table1[[#This Row],[Last_Restock_Date]])</f>
        <v>2024</v>
      </c>
      <c r="M609" t="str">
        <f>_xlfn.CONCAT(TEXT(Table1[[#This Row],[Last_Restock_Date]],"mmm"), "-", YEAR(Table1[[#This Row],[Last_Restock_Date]]))</f>
        <v>Feb-2024</v>
      </c>
      <c r="N609">
        <f>MONTH(Table1[[#This Row],[Last_Restock_Date]])</f>
        <v>2</v>
      </c>
      <c r="O609" t="str" cm="1">
        <f t="array" ref="O609">_xlfn.SWITCH(Table1[[#This Row],[Month_Number]],
    1,"Q1",2,"Q1",3,"Q1",
    4,"Q2",5,"Q2",6,"Q2",
    7,"Q3",8,"Q3",9,"Q3",
    10,"Q4",11,"Q4",12,"Q4",
    "Invalid Month"
)</f>
        <v>Q1</v>
      </c>
      <c r="P609" t="str">
        <f>TEXT(Table1[[#This Row],[Last_Restock_Date]],"mmm")</f>
        <v>Feb</v>
      </c>
    </row>
    <row r="610" spans="1:16" x14ac:dyDescent="0.25">
      <c r="A610">
        <v>609</v>
      </c>
      <c r="B610" s="5" t="s">
        <v>41</v>
      </c>
      <c r="C610" s="5" t="s">
        <v>16</v>
      </c>
      <c r="D610" s="5" t="s">
        <v>21</v>
      </c>
      <c r="E610" s="5" t="s">
        <v>37</v>
      </c>
      <c r="F610" s="2">
        <v>102</v>
      </c>
      <c r="G610" s="3">
        <v>84.34</v>
      </c>
      <c r="H610">
        <v>113</v>
      </c>
      <c r="I610">
        <f>IF(Table1[[#This Row],[Status]]= "Sufficient",
     Table1[[#This Row],[Stock_Quantity]] - Table1[[#This Row],[Reorder_Level]],
     0)</f>
        <v>0</v>
      </c>
      <c r="J610" s="4">
        <v>45188</v>
      </c>
      <c r="K610" s="5" t="s">
        <v>28</v>
      </c>
      <c r="L610">
        <f>YEAR(Table1[[#This Row],[Last_Restock_Date]])</f>
        <v>2023</v>
      </c>
      <c r="M610" t="str">
        <f>_xlfn.CONCAT(TEXT(Table1[[#This Row],[Last_Restock_Date]],"mmm"), "-", YEAR(Table1[[#This Row],[Last_Restock_Date]]))</f>
        <v>Sep-2023</v>
      </c>
      <c r="N610">
        <f>MONTH(Table1[[#This Row],[Last_Restock_Date]])</f>
        <v>9</v>
      </c>
      <c r="O610" t="str" cm="1">
        <f t="array" ref="O610">_xlfn.SWITCH(Table1[[#This Row],[Month_Number]],
    1,"Q1",2,"Q1",3,"Q1",
    4,"Q2",5,"Q2",6,"Q2",
    7,"Q3",8,"Q3",9,"Q3",
    10,"Q4",11,"Q4",12,"Q4",
    "Invalid Month"
)</f>
        <v>Q3</v>
      </c>
      <c r="P610" t="str">
        <f>TEXT(Table1[[#This Row],[Last_Restock_Date]],"mmm")</f>
        <v>Sep</v>
      </c>
    </row>
    <row r="611" spans="1:16" x14ac:dyDescent="0.25">
      <c r="A611">
        <v>610</v>
      </c>
      <c r="B611" s="5" t="s">
        <v>42</v>
      </c>
      <c r="C611" s="5" t="s">
        <v>16</v>
      </c>
      <c r="D611" s="5" t="s">
        <v>12</v>
      </c>
      <c r="E611" s="5" t="s">
        <v>27</v>
      </c>
      <c r="F611" s="2">
        <v>247</v>
      </c>
      <c r="G611" s="3">
        <v>324.95999999999998</v>
      </c>
      <c r="H611">
        <v>140</v>
      </c>
      <c r="I611">
        <f>IF(Table1[[#This Row],[Status]]= "Sufficient",
     Table1[[#This Row],[Stock_Quantity]] - Table1[[#This Row],[Reorder_Level]],
     0)</f>
        <v>107</v>
      </c>
      <c r="J611" s="4">
        <v>45780</v>
      </c>
      <c r="K611" s="5" t="s">
        <v>14</v>
      </c>
      <c r="L611">
        <f>YEAR(Table1[[#This Row],[Last_Restock_Date]])</f>
        <v>2025</v>
      </c>
      <c r="M611" t="str">
        <f>_xlfn.CONCAT(TEXT(Table1[[#This Row],[Last_Restock_Date]],"mmm"), "-", YEAR(Table1[[#This Row],[Last_Restock_Date]]))</f>
        <v>May-2025</v>
      </c>
      <c r="N611">
        <f>MONTH(Table1[[#This Row],[Last_Restock_Date]])</f>
        <v>5</v>
      </c>
      <c r="O611" t="str" cm="1">
        <f t="array" ref="O611">_xlfn.SWITCH(Table1[[#This Row],[Month_Number]],
    1,"Q1",2,"Q1",3,"Q1",
    4,"Q2",5,"Q2",6,"Q2",
    7,"Q3",8,"Q3",9,"Q3",
    10,"Q4",11,"Q4",12,"Q4",
    "Invalid Month"
)</f>
        <v>Q2</v>
      </c>
      <c r="P611" t="str">
        <f>TEXT(Table1[[#This Row],[Last_Restock_Date]],"mmm")</f>
        <v>May</v>
      </c>
    </row>
    <row r="612" spans="1:16" x14ac:dyDescent="0.25">
      <c r="A612">
        <v>611</v>
      </c>
      <c r="B612" s="5" t="s">
        <v>10</v>
      </c>
      <c r="C612" s="5" t="s">
        <v>11</v>
      </c>
      <c r="D612" s="5" t="s">
        <v>24</v>
      </c>
      <c r="E612" s="5" t="s">
        <v>39</v>
      </c>
      <c r="F612" s="2">
        <v>90</v>
      </c>
      <c r="G612" s="3">
        <v>681.38</v>
      </c>
      <c r="H612">
        <v>89</v>
      </c>
      <c r="I612">
        <f>IF(Table1[[#This Row],[Status]]= "Sufficient",
     Table1[[#This Row],[Stock_Quantity]] - Table1[[#This Row],[Reorder_Level]],
     0)</f>
        <v>1</v>
      </c>
      <c r="J612" s="4">
        <v>45370</v>
      </c>
      <c r="K612" s="5" t="s">
        <v>14</v>
      </c>
      <c r="L612">
        <f>YEAR(Table1[[#This Row],[Last_Restock_Date]])</f>
        <v>2024</v>
      </c>
      <c r="M612" t="str">
        <f>_xlfn.CONCAT(TEXT(Table1[[#This Row],[Last_Restock_Date]],"mmm"), "-", YEAR(Table1[[#This Row],[Last_Restock_Date]]))</f>
        <v>Mar-2024</v>
      </c>
      <c r="N612">
        <f>MONTH(Table1[[#This Row],[Last_Restock_Date]])</f>
        <v>3</v>
      </c>
      <c r="O612" t="str" cm="1">
        <f t="array" ref="O612">_xlfn.SWITCH(Table1[[#This Row],[Month_Number]],
    1,"Q1",2,"Q1",3,"Q1",
    4,"Q2",5,"Q2",6,"Q2",
    7,"Q3",8,"Q3",9,"Q3",
    10,"Q4",11,"Q4",12,"Q4",
    "Invalid Month"
)</f>
        <v>Q1</v>
      </c>
      <c r="P612" t="str">
        <f>TEXT(Table1[[#This Row],[Last_Restock_Date]],"mmm")</f>
        <v>Mar</v>
      </c>
    </row>
    <row r="613" spans="1:16" x14ac:dyDescent="0.25">
      <c r="A613">
        <v>612</v>
      </c>
      <c r="B613" s="5" t="s">
        <v>36</v>
      </c>
      <c r="C613" s="5" t="s">
        <v>11</v>
      </c>
      <c r="D613" s="5" t="s">
        <v>30</v>
      </c>
      <c r="E613" s="5" t="s">
        <v>39</v>
      </c>
      <c r="F613" s="2">
        <v>414</v>
      </c>
      <c r="G613" s="3">
        <v>533.33000000000004</v>
      </c>
      <c r="H613">
        <v>135</v>
      </c>
      <c r="I613">
        <f>IF(Table1[[#This Row],[Status]]= "Sufficient",
     Table1[[#This Row],[Stock_Quantity]] - Table1[[#This Row],[Reorder_Level]],
     0)</f>
        <v>279</v>
      </c>
      <c r="J613" s="4">
        <v>45215</v>
      </c>
      <c r="K613" s="5" t="s">
        <v>14</v>
      </c>
      <c r="L613">
        <f>YEAR(Table1[[#This Row],[Last_Restock_Date]])</f>
        <v>2023</v>
      </c>
      <c r="M613" t="str">
        <f>_xlfn.CONCAT(TEXT(Table1[[#This Row],[Last_Restock_Date]],"mmm"), "-", YEAR(Table1[[#This Row],[Last_Restock_Date]]))</f>
        <v>Oct-2023</v>
      </c>
      <c r="N613">
        <f>MONTH(Table1[[#This Row],[Last_Restock_Date]])</f>
        <v>10</v>
      </c>
      <c r="O613" t="str" cm="1">
        <f t="array" ref="O613">_xlfn.SWITCH(Table1[[#This Row],[Month_Number]],
    1,"Q1",2,"Q1",3,"Q1",
    4,"Q2",5,"Q2",6,"Q2",
    7,"Q3",8,"Q3",9,"Q3",
    10,"Q4",11,"Q4",12,"Q4",
    "Invalid Month"
)</f>
        <v>Q4</v>
      </c>
      <c r="P613" t="str">
        <f>TEXT(Table1[[#This Row],[Last_Restock_Date]],"mmm")</f>
        <v>Oct</v>
      </c>
    </row>
    <row r="614" spans="1:16" x14ac:dyDescent="0.25">
      <c r="A614">
        <v>613</v>
      </c>
      <c r="B614" s="5" t="s">
        <v>51</v>
      </c>
      <c r="C614" s="5" t="s">
        <v>11</v>
      </c>
      <c r="D614" s="5" t="s">
        <v>21</v>
      </c>
      <c r="E614" s="5" t="s">
        <v>27</v>
      </c>
      <c r="F614" s="2">
        <v>89</v>
      </c>
      <c r="G614" s="3">
        <v>632.16</v>
      </c>
      <c r="H614">
        <v>99</v>
      </c>
      <c r="I614">
        <f>IF(Table1[[#This Row],[Status]]= "Sufficient",
     Table1[[#This Row],[Stock_Quantity]] - Table1[[#This Row],[Reorder_Level]],
     0)</f>
        <v>0</v>
      </c>
      <c r="J614" s="4">
        <v>45484</v>
      </c>
      <c r="K614" s="5" t="s">
        <v>28</v>
      </c>
      <c r="L614">
        <f>YEAR(Table1[[#This Row],[Last_Restock_Date]])</f>
        <v>2024</v>
      </c>
      <c r="M614" t="str">
        <f>_xlfn.CONCAT(TEXT(Table1[[#This Row],[Last_Restock_Date]],"mmm"), "-", YEAR(Table1[[#This Row],[Last_Restock_Date]]))</f>
        <v>Jul-2024</v>
      </c>
      <c r="N614">
        <f>MONTH(Table1[[#This Row],[Last_Restock_Date]])</f>
        <v>7</v>
      </c>
      <c r="O614" t="str" cm="1">
        <f t="array" ref="O614">_xlfn.SWITCH(Table1[[#This Row],[Month_Number]],
    1,"Q1",2,"Q1",3,"Q1",
    4,"Q2",5,"Q2",6,"Q2",
    7,"Q3",8,"Q3",9,"Q3",
    10,"Q4",11,"Q4",12,"Q4",
    "Invalid Month"
)</f>
        <v>Q3</v>
      </c>
      <c r="P614" t="str">
        <f>TEXT(Table1[[#This Row],[Last_Restock_Date]],"mmm")</f>
        <v>Jul</v>
      </c>
    </row>
    <row r="615" spans="1:16" x14ac:dyDescent="0.25">
      <c r="A615">
        <v>614</v>
      </c>
      <c r="B615" s="5" t="s">
        <v>31</v>
      </c>
      <c r="C615" s="5" t="s">
        <v>20</v>
      </c>
      <c r="D615" s="5" t="s">
        <v>12</v>
      </c>
      <c r="E615" s="5" t="s">
        <v>32</v>
      </c>
      <c r="F615" s="2">
        <v>87</v>
      </c>
      <c r="G615" s="3">
        <v>37.26</v>
      </c>
      <c r="H615">
        <v>70</v>
      </c>
      <c r="I615">
        <f>IF(Table1[[#This Row],[Status]]= "Sufficient",
     Table1[[#This Row],[Stock_Quantity]] - Table1[[#This Row],[Reorder_Level]],
     0)</f>
        <v>17</v>
      </c>
      <c r="J615" s="4">
        <v>45185</v>
      </c>
      <c r="K615" s="5" t="s">
        <v>14</v>
      </c>
      <c r="L615">
        <f>YEAR(Table1[[#This Row],[Last_Restock_Date]])</f>
        <v>2023</v>
      </c>
      <c r="M615" t="str">
        <f>_xlfn.CONCAT(TEXT(Table1[[#This Row],[Last_Restock_Date]],"mmm"), "-", YEAR(Table1[[#This Row],[Last_Restock_Date]]))</f>
        <v>Sep-2023</v>
      </c>
      <c r="N615">
        <f>MONTH(Table1[[#This Row],[Last_Restock_Date]])</f>
        <v>9</v>
      </c>
      <c r="O615" t="str" cm="1">
        <f t="array" ref="O615">_xlfn.SWITCH(Table1[[#This Row],[Month_Number]],
    1,"Q1",2,"Q1",3,"Q1",
    4,"Q2",5,"Q2",6,"Q2",
    7,"Q3",8,"Q3",9,"Q3",
    10,"Q4",11,"Q4",12,"Q4",
    "Invalid Month"
)</f>
        <v>Q3</v>
      </c>
      <c r="P615" t="str">
        <f>TEXT(Table1[[#This Row],[Last_Restock_Date]],"mmm")</f>
        <v>Sep</v>
      </c>
    </row>
    <row r="616" spans="1:16" x14ac:dyDescent="0.25">
      <c r="A616">
        <v>615</v>
      </c>
      <c r="B616" s="5" t="s">
        <v>38</v>
      </c>
      <c r="C616" s="5" t="s">
        <v>26</v>
      </c>
      <c r="D616" s="5" t="s">
        <v>24</v>
      </c>
      <c r="E616" s="5" t="s">
        <v>39</v>
      </c>
      <c r="F616" s="2">
        <v>381</v>
      </c>
      <c r="G616" s="3">
        <v>48.7</v>
      </c>
      <c r="H616">
        <v>81</v>
      </c>
      <c r="I616">
        <f>IF(Table1[[#This Row],[Status]]= "Sufficient",
     Table1[[#This Row],[Stock_Quantity]] - Table1[[#This Row],[Reorder_Level]],
     0)</f>
        <v>300</v>
      </c>
      <c r="J616" s="4">
        <v>45413</v>
      </c>
      <c r="K616" s="5" t="s">
        <v>14</v>
      </c>
      <c r="L616">
        <f>YEAR(Table1[[#This Row],[Last_Restock_Date]])</f>
        <v>2024</v>
      </c>
      <c r="M616" t="str">
        <f>_xlfn.CONCAT(TEXT(Table1[[#This Row],[Last_Restock_Date]],"mmm"), "-", YEAR(Table1[[#This Row],[Last_Restock_Date]]))</f>
        <v>May-2024</v>
      </c>
      <c r="N616">
        <f>MONTH(Table1[[#This Row],[Last_Restock_Date]])</f>
        <v>5</v>
      </c>
      <c r="O616" t="str" cm="1">
        <f t="array" ref="O616">_xlfn.SWITCH(Table1[[#This Row],[Month_Number]],
    1,"Q1",2,"Q1",3,"Q1",
    4,"Q2",5,"Q2",6,"Q2",
    7,"Q3",8,"Q3",9,"Q3",
    10,"Q4",11,"Q4",12,"Q4",
    "Invalid Month"
)</f>
        <v>Q2</v>
      </c>
      <c r="P616" t="str">
        <f>TEXT(Table1[[#This Row],[Last_Restock_Date]],"mmm")</f>
        <v>May</v>
      </c>
    </row>
    <row r="617" spans="1:16" x14ac:dyDescent="0.25">
      <c r="A617">
        <v>616</v>
      </c>
      <c r="B617" s="5" t="s">
        <v>10</v>
      </c>
      <c r="C617" s="5" t="s">
        <v>11</v>
      </c>
      <c r="D617" s="5" t="s">
        <v>24</v>
      </c>
      <c r="E617" s="5" t="s">
        <v>37</v>
      </c>
      <c r="F617" s="2">
        <v>111</v>
      </c>
      <c r="G617" s="3">
        <v>448.42</v>
      </c>
      <c r="H617">
        <v>52</v>
      </c>
      <c r="I617">
        <f>IF(Table1[[#This Row],[Status]]= "Sufficient",
     Table1[[#This Row],[Stock_Quantity]] - Table1[[#This Row],[Reorder_Level]],
     0)</f>
        <v>59</v>
      </c>
      <c r="J617" s="4">
        <v>45803</v>
      </c>
      <c r="K617" s="5" t="s">
        <v>14</v>
      </c>
      <c r="L617">
        <f>YEAR(Table1[[#This Row],[Last_Restock_Date]])</f>
        <v>2025</v>
      </c>
      <c r="M617" t="str">
        <f>_xlfn.CONCAT(TEXT(Table1[[#This Row],[Last_Restock_Date]],"mmm"), "-", YEAR(Table1[[#This Row],[Last_Restock_Date]]))</f>
        <v>May-2025</v>
      </c>
      <c r="N617">
        <f>MONTH(Table1[[#This Row],[Last_Restock_Date]])</f>
        <v>5</v>
      </c>
      <c r="O617" t="str" cm="1">
        <f t="array" ref="O617">_xlfn.SWITCH(Table1[[#This Row],[Month_Number]],
    1,"Q1",2,"Q1",3,"Q1",
    4,"Q2",5,"Q2",6,"Q2",
    7,"Q3",8,"Q3",9,"Q3",
    10,"Q4",11,"Q4",12,"Q4",
    "Invalid Month"
)</f>
        <v>Q2</v>
      </c>
      <c r="P617" t="str">
        <f>TEXT(Table1[[#This Row],[Last_Restock_Date]],"mmm")</f>
        <v>May</v>
      </c>
    </row>
    <row r="618" spans="1:16" x14ac:dyDescent="0.25">
      <c r="A618">
        <v>617</v>
      </c>
      <c r="B618" s="5" t="s">
        <v>22</v>
      </c>
      <c r="C618" s="5" t="s">
        <v>11</v>
      </c>
      <c r="D618" s="5" t="s">
        <v>12</v>
      </c>
      <c r="E618" s="5" t="s">
        <v>27</v>
      </c>
      <c r="F618" s="2">
        <v>63</v>
      </c>
      <c r="G618" s="3">
        <v>338.55</v>
      </c>
      <c r="H618">
        <v>88</v>
      </c>
      <c r="I618">
        <f>IF(Table1[[#This Row],[Status]]= "Sufficient",
     Table1[[#This Row],[Stock_Quantity]] - Table1[[#This Row],[Reorder_Level]],
     0)</f>
        <v>0</v>
      </c>
      <c r="J618" s="4">
        <v>45463</v>
      </c>
      <c r="K618" s="5" t="s">
        <v>28</v>
      </c>
      <c r="L618">
        <f>YEAR(Table1[[#This Row],[Last_Restock_Date]])</f>
        <v>2024</v>
      </c>
      <c r="M618" t="str">
        <f>_xlfn.CONCAT(TEXT(Table1[[#This Row],[Last_Restock_Date]],"mmm"), "-", YEAR(Table1[[#This Row],[Last_Restock_Date]]))</f>
        <v>Jun-2024</v>
      </c>
      <c r="N618">
        <f>MONTH(Table1[[#This Row],[Last_Restock_Date]])</f>
        <v>6</v>
      </c>
      <c r="O618" t="str" cm="1">
        <f t="array" ref="O618">_xlfn.SWITCH(Table1[[#This Row],[Month_Number]],
    1,"Q1",2,"Q1",3,"Q1",
    4,"Q2",5,"Q2",6,"Q2",
    7,"Q3",8,"Q3",9,"Q3",
    10,"Q4",11,"Q4",12,"Q4",
    "Invalid Month"
)</f>
        <v>Q2</v>
      </c>
      <c r="P618" t="str">
        <f>TEXT(Table1[[#This Row],[Last_Restock_Date]],"mmm")</f>
        <v>Jun</v>
      </c>
    </row>
    <row r="619" spans="1:16" x14ac:dyDescent="0.25">
      <c r="A619">
        <v>618</v>
      </c>
      <c r="B619" s="5" t="s">
        <v>54</v>
      </c>
      <c r="C619" s="5" t="s">
        <v>20</v>
      </c>
      <c r="D619" s="5" t="s">
        <v>21</v>
      </c>
      <c r="E619" s="5" t="s">
        <v>32</v>
      </c>
      <c r="F619" s="2">
        <v>303</v>
      </c>
      <c r="G619" s="3">
        <v>607.01</v>
      </c>
      <c r="H619">
        <v>109</v>
      </c>
      <c r="I619">
        <f>IF(Table1[[#This Row],[Status]]= "Sufficient",
     Table1[[#This Row],[Stock_Quantity]] - Table1[[#This Row],[Reorder_Level]],
     0)</f>
        <v>194</v>
      </c>
      <c r="J619" s="4">
        <v>45493</v>
      </c>
      <c r="K619" s="5" t="s">
        <v>14</v>
      </c>
      <c r="L619">
        <f>YEAR(Table1[[#This Row],[Last_Restock_Date]])</f>
        <v>2024</v>
      </c>
      <c r="M619" t="str">
        <f>_xlfn.CONCAT(TEXT(Table1[[#This Row],[Last_Restock_Date]],"mmm"), "-", YEAR(Table1[[#This Row],[Last_Restock_Date]]))</f>
        <v>Jul-2024</v>
      </c>
      <c r="N619">
        <f>MONTH(Table1[[#This Row],[Last_Restock_Date]])</f>
        <v>7</v>
      </c>
      <c r="O619" t="str" cm="1">
        <f t="array" ref="O619">_xlfn.SWITCH(Table1[[#This Row],[Month_Number]],
    1,"Q1",2,"Q1",3,"Q1",
    4,"Q2",5,"Q2",6,"Q2",
    7,"Q3",8,"Q3",9,"Q3",
    10,"Q4",11,"Q4",12,"Q4",
    "Invalid Month"
)</f>
        <v>Q3</v>
      </c>
      <c r="P619" t="str">
        <f>TEXT(Table1[[#This Row],[Last_Restock_Date]],"mmm")</f>
        <v>Jul</v>
      </c>
    </row>
    <row r="620" spans="1:16" x14ac:dyDescent="0.25">
      <c r="A620">
        <v>619</v>
      </c>
      <c r="B620" s="5" t="s">
        <v>44</v>
      </c>
      <c r="C620" s="5" t="s">
        <v>34</v>
      </c>
      <c r="D620" s="5" t="s">
        <v>30</v>
      </c>
      <c r="E620" s="5" t="s">
        <v>27</v>
      </c>
      <c r="F620" s="2">
        <v>478</v>
      </c>
      <c r="G620" s="3">
        <v>589.91999999999996</v>
      </c>
      <c r="H620">
        <v>150</v>
      </c>
      <c r="I620">
        <f>IF(Table1[[#This Row],[Status]]= "Sufficient",
     Table1[[#This Row],[Stock_Quantity]] - Table1[[#This Row],[Reorder_Level]],
     0)</f>
        <v>328</v>
      </c>
      <c r="J620" s="4">
        <v>45641</v>
      </c>
      <c r="K620" s="5" t="s">
        <v>14</v>
      </c>
      <c r="L620">
        <f>YEAR(Table1[[#This Row],[Last_Restock_Date]])</f>
        <v>2024</v>
      </c>
      <c r="M620" t="str">
        <f>_xlfn.CONCAT(TEXT(Table1[[#This Row],[Last_Restock_Date]],"mmm"), "-", YEAR(Table1[[#This Row],[Last_Restock_Date]]))</f>
        <v>Dec-2024</v>
      </c>
      <c r="N620">
        <f>MONTH(Table1[[#This Row],[Last_Restock_Date]])</f>
        <v>12</v>
      </c>
      <c r="O620" t="str" cm="1">
        <f t="array" ref="O620">_xlfn.SWITCH(Table1[[#This Row],[Month_Number]],
    1,"Q1",2,"Q1",3,"Q1",
    4,"Q2",5,"Q2",6,"Q2",
    7,"Q3",8,"Q3",9,"Q3",
    10,"Q4",11,"Q4",12,"Q4",
    "Invalid Month"
)</f>
        <v>Q4</v>
      </c>
      <c r="P620" t="str">
        <f>TEXT(Table1[[#This Row],[Last_Restock_Date]],"mmm")</f>
        <v>Dec</v>
      </c>
    </row>
    <row r="621" spans="1:16" x14ac:dyDescent="0.25">
      <c r="A621">
        <v>620</v>
      </c>
      <c r="B621" s="5" t="s">
        <v>53</v>
      </c>
      <c r="C621" s="5" t="s">
        <v>26</v>
      </c>
      <c r="D621" s="5" t="s">
        <v>24</v>
      </c>
      <c r="E621" s="5" t="s">
        <v>39</v>
      </c>
      <c r="F621" s="2">
        <v>33</v>
      </c>
      <c r="G621" s="3">
        <v>176.76</v>
      </c>
      <c r="H621">
        <v>126</v>
      </c>
      <c r="I621">
        <f>IF(Table1[[#This Row],[Status]]= "Sufficient",
     Table1[[#This Row],[Stock_Quantity]] - Table1[[#This Row],[Reorder_Level]],
     0)</f>
        <v>0</v>
      </c>
      <c r="J621" s="4">
        <v>45547</v>
      </c>
      <c r="K621" s="5" t="s">
        <v>28</v>
      </c>
      <c r="L621">
        <f>YEAR(Table1[[#This Row],[Last_Restock_Date]])</f>
        <v>2024</v>
      </c>
      <c r="M621" t="str">
        <f>_xlfn.CONCAT(TEXT(Table1[[#This Row],[Last_Restock_Date]],"mmm"), "-", YEAR(Table1[[#This Row],[Last_Restock_Date]]))</f>
        <v>Sep-2024</v>
      </c>
      <c r="N621">
        <f>MONTH(Table1[[#This Row],[Last_Restock_Date]])</f>
        <v>9</v>
      </c>
      <c r="O621" t="str" cm="1">
        <f t="array" ref="O621">_xlfn.SWITCH(Table1[[#This Row],[Month_Number]],
    1,"Q1",2,"Q1",3,"Q1",
    4,"Q2",5,"Q2",6,"Q2",
    7,"Q3",8,"Q3",9,"Q3",
    10,"Q4",11,"Q4",12,"Q4",
    "Invalid Month"
)</f>
        <v>Q3</v>
      </c>
      <c r="P621" t="str">
        <f>TEXT(Table1[[#This Row],[Last_Restock_Date]],"mmm")</f>
        <v>Sep</v>
      </c>
    </row>
    <row r="622" spans="1:16" x14ac:dyDescent="0.25">
      <c r="A622">
        <v>621</v>
      </c>
      <c r="B622" s="5" t="s">
        <v>29</v>
      </c>
      <c r="C622" s="5" t="s">
        <v>16</v>
      </c>
      <c r="D622" s="5" t="s">
        <v>24</v>
      </c>
      <c r="E622" s="5" t="s">
        <v>37</v>
      </c>
      <c r="F622" s="2">
        <v>473</v>
      </c>
      <c r="G622" s="3">
        <v>77.959999999999994</v>
      </c>
      <c r="H622">
        <v>56</v>
      </c>
      <c r="I622">
        <f>IF(Table1[[#This Row],[Status]]= "Sufficient",
     Table1[[#This Row],[Stock_Quantity]] - Table1[[#This Row],[Reorder_Level]],
     0)</f>
        <v>417</v>
      </c>
      <c r="J622" s="4">
        <v>45963</v>
      </c>
      <c r="K622" s="5" t="s">
        <v>14</v>
      </c>
      <c r="L622">
        <f>YEAR(Table1[[#This Row],[Last_Restock_Date]])</f>
        <v>2025</v>
      </c>
      <c r="M622" t="str">
        <f>_xlfn.CONCAT(TEXT(Table1[[#This Row],[Last_Restock_Date]],"mmm"), "-", YEAR(Table1[[#This Row],[Last_Restock_Date]]))</f>
        <v>Nov-2025</v>
      </c>
      <c r="N622">
        <f>MONTH(Table1[[#This Row],[Last_Restock_Date]])</f>
        <v>11</v>
      </c>
      <c r="O622" t="str" cm="1">
        <f t="array" ref="O622">_xlfn.SWITCH(Table1[[#This Row],[Month_Number]],
    1,"Q1",2,"Q1",3,"Q1",
    4,"Q2",5,"Q2",6,"Q2",
    7,"Q3",8,"Q3",9,"Q3",
    10,"Q4",11,"Q4",12,"Q4",
    "Invalid Month"
)</f>
        <v>Q4</v>
      </c>
      <c r="P622" t="str">
        <f>TEXT(Table1[[#This Row],[Last_Restock_Date]],"mmm")</f>
        <v>Nov</v>
      </c>
    </row>
    <row r="623" spans="1:16" x14ac:dyDescent="0.25">
      <c r="A623">
        <v>622</v>
      </c>
      <c r="B623" s="5" t="s">
        <v>10</v>
      </c>
      <c r="C623" s="5" t="s">
        <v>11</v>
      </c>
      <c r="D623" s="5" t="s">
        <v>17</v>
      </c>
      <c r="E623" s="5" t="s">
        <v>13</v>
      </c>
      <c r="F623" s="2">
        <v>53</v>
      </c>
      <c r="G623" s="3">
        <v>55.33</v>
      </c>
      <c r="H623">
        <v>124</v>
      </c>
      <c r="I623">
        <f>IF(Table1[[#This Row],[Status]]= "Sufficient",
     Table1[[#This Row],[Stock_Quantity]] - Table1[[#This Row],[Reorder_Level]],
     0)</f>
        <v>0</v>
      </c>
      <c r="J623" s="4">
        <v>45973</v>
      </c>
      <c r="K623" s="5" t="s">
        <v>28</v>
      </c>
      <c r="L623">
        <f>YEAR(Table1[[#This Row],[Last_Restock_Date]])</f>
        <v>2025</v>
      </c>
      <c r="M623" t="str">
        <f>_xlfn.CONCAT(TEXT(Table1[[#This Row],[Last_Restock_Date]],"mmm"), "-", YEAR(Table1[[#This Row],[Last_Restock_Date]]))</f>
        <v>Nov-2025</v>
      </c>
      <c r="N623">
        <f>MONTH(Table1[[#This Row],[Last_Restock_Date]])</f>
        <v>11</v>
      </c>
      <c r="O623" t="str" cm="1">
        <f t="array" ref="O623">_xlfn.SWITCH(Table1[[#This Row],[Month_Number]],
    1,"Q1",2,"Q1",3,"Q1",
    4,"Q2",5,"Q2",6,"Q2",
    7,"Q3",8,"Q3",9,"Q3",
    10,"Q4",11,"Q4",12,"Q4",
    "Invalid Month"
)</f>
        <v>Q4</v>
      </c>
      <c r="P623" t="str">
        <f>TEXT(Table1[[#This Row],[Last_Restock_Date]],"mmm")</f>
        <v>Nov</v>
      </c>
    </row>
    <row r="624" spans="1:16" x14ac:dyDescent="0.25">
      <c r="A624">
        <v>623</v>
      </c>
      <c r="B624" s="5" t="s">
        <v>33</v>
      </c>
      <c r="C624" s="5" t="s">
        <v>34</v>
      </c>
      <c r="D624" s="5" t="s">
        <v>12</v>
      </c>
      <c r="E624" s="5" t="s">
        <v>18</v>
      </c>
      <c r="F624" s="2">
        <v>452</v>
      </c>
      <c r="G624" s="3">
        <v>283.54000000000002</v>
      </c>
      <c r="H624">
        <v>108</v>
      </c>
      <c r="I624">
        <f>IF(Table1[[#This Row],[Status]]= "Sufficient",
     Table1[[#This Row],[Stock_Quantity]] - Table1[[#This Row],[Reorder_Level]],
     0)</f>
        <v>344</v>
      </c>
      <c r="J624" s="4">
        <v>45164</v>
      </c>
      <c r="K624" s="5" t="s">
        <v>14</v>
      </c>
      <c r="L624">
        <f>YEAR(Table1[[#This Row],[Last_Restock_Date]])</f>
        <v>2023</v>
      </c>
      <c r="M624" t="str">
        <f>_xlfn.CONCAT(TEXT(Table1[[#This Row],[Last_Restock_Date]],"mmm"), "-", YEAR(Table1[[#This Row],[Last_Restock_Date]]))</f>
        <v>Aug-2023</v>
      </c>
      <c r="N624">
        <f>MONTH(Table1[[#This Row],[Last_Restock_Date]])</f>
        <v>8</v>
      </c>
      <c r="O624" t="str" cm="1">
        <f t="array" ref="O624">_xlfn.SWITCH(Table1[[#This Row],[Month_Number]],
    1,"Q1",2,"Q1",3,"Q1",
    4,"Q2",5,"Q2",6,"Q2",
    7,"Q3",8,"Q3",9,"Q3",
    10,"Q4",11,"Q4",12,"Q4",
    "Invalid Month"
)</f>
        <v>Q3</v>
      </c>
      <c r="P624" t="str">
        <f>TEXT(Table1[[#This Row],[Last_Restock_Date]],"mmm")</f>
        <v>Aug</v>
      </c>
    </row>
    <row r="625" spans="1:16" x14ac:dyDescent="0.25">
      <c r="A625">
        <v>624</v>
      </c>
      <c r="B625" s="5" t="s">
        <v>43</v>
      </c>
      <c r="C625" s="5" t="s">
        <v>26</v>
      </c>
      <c r="D625" s="5" t="s">
        <v>17</v>
      </c>
      <c r="E625" s="5" t="s">
        <v>32</v>
      </c>
      <c r="F625" s="2">
        <v>390</v>
      </c>
      <c r="G625" s="3">
        <v>736.87</v>
      </c>
      <c r="H625">
        <v>123</v>
      </c>
      <c r="I625">
        <f>IF(Table1[[#This Row],[Status]]= "Sufficient",
     Table1[[#This Row],[Stock_Quantity]] - Table1[[#This Row],[Reorder_Level]],
     0)</f>
        <v>267</v>
      </c>
      <c r="J625" s="4">
        <v>45365</v>
      </c>
      <c r="K625" s="5" t="s">
        <v>14</v>
      </c>
      <c r="L625">
        <f>YEAR(Table1[[#This Row],[Last_Restock_Date]])</f>
        <v>2024</v>
      </c>
      <c r="M625" t="str">
        <f>_xlfn.CONCAT(TEXT(Table1[[#This Row],[Last_Restock_Date]],"mmm"), "-", YEAR(Table1[[#This Row],[Last_Restock_Date]]))</f>
        <v>Mar-2024</v>
      </c>
      <c r="N625">
        <f>MONTH(Table1[[#This Row],[Last_Restock_Date]])</f>
        <v>3</v>
      </c>
      <c r="O625" t="str" cm="1">
        <f t="array" ref="O625">_xlfn.SWITCH(Table1[[#This Row],[Month_Number]],
    1,"Q1",2,"Q1",3,"Q1",
    4,"Q2",5,"Q2",6,"Q2",
    7,"Q3",8,"Q3",9,"Q3",
    10,"Q4",11,"Q4",12,"Q4",
    "Invalid Month"
)</f>
        <v>Q1</v>
      </c>
      <c r="P625" t="str">
        <f>TEXT(Table1[[#This Row],[Last_Restock_Date]],"mmm")</f>
        <v>Mar</v>
      </c>
    </row>
    <row r="626" spans="1:16" x14ac:dyDescent="0.25">
      <c r="A626">
        <v>625</v>
      </c>
      <c r="B626" s="5" t="s">
        <v>38</v>
      </c>
      <c r="C626" s="5" t="s">
        <v>26</v>
      </c>
      <c r="D626" s="5" t="s">
        <v>17</v>
      </c>
      <c r="E626" s="5" t="s">
        <v>18</v>
      </c>
      <c r="F626" s="2">
        <v>180</v>
      </c>
      <c r="G626" s="3">
        <v>390.51</v>
      </c>
      <c r="H626">
        <v>139</v>
      </c>
      <c r="I626">
        <f>IF(Table1[[#This Row],[Status]]= "Sufficient",
     Table1[[#This Row],[Stock_Quantity]] - Table1[[#This Row],[Reorder_Level]],
     0)</f>
        <v>41</v>
      </c>
      <c r="J626" s="4">
        <v>45744</v>
      </c>
      <c r="K626" s="5" t="s">
        <v>14</v>
      </c>
      <c r="L626">
        <f>YEAR(Table1[[#This Row],[Last_Restock_Date]])</f>
        <v>2025</v>
      </c>
      <c r="M626" t="str">
        <f>_xlfn.CONCAT(TEXT(Table1[[#This Row],[Last_Restock_Date]],"mmm"), "-", YEAR(Table1[[#This Row],[Last_Restock_Date]]))</f>
        <v>Mar-2025</v>
      </c>
      <c r="N626">
        <f>MONTH(Table1[[#This Row],[Last_Restock_Date]])</f>
        <v>3</v>
      </c>
      <c r="O626" t="str" cm="1">
        <f t="array" ref="O626">_xlfn.SWITCH(Table1[[#This Row],[Month_Number]],
    1,"Q1",2,"Q1",3,"Q1",
    4,"Q2",5,"Q2",6,"Q2",
    7,"Q3",8,"Q3",9,"Q3",
    10,"Q4",11,"Q4",12,"Q4",
    "Invalid Month"
)</f>
        <v>Q1</v>
      </c>
      <c r="P626" t="str">
        <f>TEXT(Table1[[#This Row],[Last_Restock_Date]],"mmm")</f>
        <v>Mar</v>
      </c>
    </row>
    <row r="627" spans="1:16" x14ac:dyDescent="0.25">
      <c r="A627">
        <v>626</v>
      </c>
      <c r="B627" s="5" t="s">
        <v>41</v>
      </c>
      <c r="C627" s="5" t="s">
        <v>16</v>
      </c>
      <c r="D627" s="5" t="s">
        <v>30</v>
      </c>
      <c r="E627" s="5" t="s">
        <v>39</v>
      </c>
      <c r="F627" s="2">
        <v>430</v>
      </c>
      <c r="G627" s="3">
        <v>641.71</v>
      </c>
      <c r="H627">
        <v>74</v>
      </c>
      <c r="I627">
        <f>IF(Table1[[#This Row],[Status]]= "Sufficient",
     Table1[[#This Row],[Stock_Quantity]] - Table1[[#This Row],[Reorder_Level]],
     0)</f>
        <v>356</v>
      </c>
      <c r="J627" s="4">
        <v>44929</v>
      </c>
      <c r="K627" s="5" t="s">
        <v>14</v>
      </c>
      <c r="L627">
        <f>YEAR(Table1[[#This Row],[Last_Restock_Date]])</f>
        <v>2023</v>
      </c>
      <c r="M627" t="str">
        <f>_xlfn.CONCAT(TEXT(Table1[[#This Row],[Last_Restock_Date]],"mmm"), "-", YEAR(Table1[[#This Row],[Last_Restock_Date]]))</f>
        <v>Jan-2023</v>
      </c>
      <c r="N627">
        <f>MONTH(Table1[[#This Row],[Last_Restock_Date]])</f>
        <v>1</v>
      </c>
      <c r="O627" t="str" cm="1">
        <f t="array" ref="O627">_xlfn.SWITCH(Table1[[#This Row],[Month_Number]],
    1,"Q1",2,"Q1",3,"Q1",
    4,"Q2",5,"Q2",6,"Q2",
    7,"Q3",8,"Q3",9,"Q3",
    10,"Q4",11,"Q4",12,"Q4",
    "Invalid Month"
)</f>
        <v>Q1</v>
      </c>
      <c r="P627" t="str">
        <f>TEXT(Table1[[#This Row],[Last_Restock_Date]],"mmm")</f>
        <v>Jan</v>
      </c>
    </row>
    <row r="628" spans="1:16" x14ac:dyDescent="0.25">
      <c r="A628">
        <v>627</v>
      </c>
      <c r="B628" s="5" t="s">
        <v>23</v>
      </c>
      <c r="C628" s="5" t="s">
        <v>20</v>
      </c>
      <c r="D628" s="5" t="s">
        <v>24</v>
      </c>
      <c r="E628" s="5" t="s">
        <v>27</v>
      </c>
      <c r="F628" s="2">
        <v>178</v>
      </c>
      <c r="G628" s="3">
        <v>413.76</v>
      </c>
      <c r="H628">
        <v>138</v>
      </c>
      <c r="I628">
        <f>IF(Table1[[#This Row],[Status]]= "Sufficient",
     Table1[[#This Row],[Stock_Quantity]] - Table1[[#This Row],[Reorder_Level]],
     0)</f>
        <v>40</v>
      </c>
      <c r="J628" s="4">
        <v>45937</v>
      </c>
      <c r="K628" s="5" t="s">
        <v>14</v>
      </c>
      <c r="L628">
        <f>YEAR(Table1[[#This Row],[Last_Restock_Date]])</f>
        <v>2025</v>
      </c>
      <c r="M628" t="str">
        <f>_xlfn.CONCAT(TEXT(Table1[[#This Row],[Last_Restock_Date]],"mmm"), "-", YEAR(Table1[[#This Row],[Last_Restock_Date]]))</f>
        <v>Oct-2025</v>
      </c>
      <c r="N628">
        <f>MONTH(Table1[[#This Row],[Last_Restock_Date]])</f>
        <v>10</v>
      </c>
      <c r="O628" t="str" cm="1">
        <f t="array" ref="O628">_xlfn.SWITCH(Table1[[#This Row],[Month_Number]],
    1,"Q1",2,"Q1",3,"Q1",
    4,"Q2",5,"Q2",6,"Q2",
    7,"Q3",8,"Q3",9,"Q3",
    10,"Q4",11,"Q4",12,"Q4",
    "Invalid Month"
)</f>
        <v>Q4</v>
      </c>
      <c r="P628" t="str">
        <f>TEXT(Table1[[#This Row],[Last_Restock_Date]],"mmm")</f>
        <v>Oct</v>
      </c>
    </row>
    <row r="629" spans="1:16" x14ac:dyDescent="0.25">
      <c r="A629">
        <v>628</v>
      </c>
      <c r="B629" s="5" t="s">
        <v>46</v>
      </c>
      <c r="C629" s="5" t="s">
        <v>34</v>
      </c>
      <c r="D629" s="5" t="s">
        <v>12</v>
      </c>
      <c r="E629" s="5" t="s">
        <v>27</v>
      </c>
      <c r="F629" s="2">
        <v>254</v>
      </c>
      <c r="G629" s="3">
        <v>624.98</v>
      </c>
      <c r="H629">
        <v>96</v>
      </c>
      <c r="I629">
        <f>IF(Table1[[#This Row],[Status]]= "Sufficient",
     Table1[[#This Row],[Stock_Quantity]] - Table1[[#This Row],[Reorder_Level]],
     0)</f>
        <v>158</v>
      </c>
      <c r="J629" s="4">
        <v>45471</v>
      </c>
      <c r="K629" s="5" t="s">
        <v>14</v>
      </c>
      <c r="L629">
        <f>YEAR(Table1[[#This Row],[Last_Restock_Date]])</f>
        <v>2024</v>
      </c>
      <c r="M629" t="str">
        <f>_xlfn.CONCAT(TEXT(Table1[[#This Row],[Last_Restock_Date]],"mmm"), "-", YEAR(Table1[[#This Row],[Last_Restock_Date]]))</f>
        <v>Jun-2024</v>
      </c>
      <c r="N629">
        <f>MONTH(Table1[[#This Row],[Last_Restock_Date]])</f>
        <v>6</v>
      </c>
      <c r="O629" t="str" cm="1">
        <f t="array" ref="O629">_xlfn.SWITCH(Table1[[#This Row],[Month_Number]],
    1,"Q1",2,"Q1",3,"Q1",
    4,"Q2",5,"Q2",6,"Q2",
    7,"Q3",8,"Q3",9,"Q3",
    10,"Q4",11,"Q4",12,"Q4",
    "Invalid Month"
)</f>
        <v>Q2</v>
      </c>
      <c r="P629" t="str">
        <f>TEXT(Table1[[#This Row],[Last_Restock_Date]],"mmm")</f>
        <v>Jun</v>
      </c>
    </row>
    <row r="630" spans="1:16" x14ac:dyDescent="0.25">
      <c r="A630">
        <v>629</v>
      </c>
      <c r="B630" s="5" t="s">
        <v>23</v>
      </c>
      <c r="C630" s="5" t="s">
        <v>20</v>
      </c>
      <c r="D630" s="5" t="s">
        <v>21</v>
      </c>
      <c r="E630" s="5" t="s">
        <v>13</v>
      </c>
      <c r="F630" s="2">
        <v>80</v>
      </c>
      <c r="G630" s="3">
        <v>480.73</v>
      </c>
      <c r="H630">
        <v>92</v>
      </c>
      <c r="I630">
        <f>IF(Table1[[#This Row],[Status]]= "Sufficient",
     Table1[[#This Row],[Stock_Quantity]] - Table1[[#This Row],[Reorder_Level]],
     0)</f>
        <v>0</v>
      </c>
      <c r="J630" s="4">
        <v>45394</v>
      </c>
      <c r="K630" s="5" t="s">
        <v>28</v>
      </c>
      <c r="L630">
        <f>YEAR(Table1[[#This Row],[Last_Restock_Date]])</f>
        <v>2024</v>
      </c>
      <c r="M630" t="str">
        <f>_xlfn.CONCAT(TEXT(Table1[[#This Row],[Last_Restock_Date]],"mmm"), "-", YEAR(Table1[[#This Row],[Last_Restock_Date]]))</f>
        <v>Apr-2024</v>
      </c>
      <c r="N630">
        <f>MONTH(Table1[[#This Row],[Last_Restock_Date]])</f>
        <v>4</v>
      </c>
      <c r="O630" t="str" cm="1">
        <f t="array" ref="O630">_xlfn.SWITCH(Table1[[#This Row],[Month_Number]],
    1,"Q1",2,"Q1",3,"Q1",
    4,"Q2",5,"Q2",6,"Q2",
    7,"Q3",8,"Q3",9,"Q3",
    10,"Q4",11,"Q4",12,"Q4",
    "Invalid Month"
)</f>
        <v>Q2</v>
      </c>
      <c r="P630" t="str">
        <f>TEXT(Table1[[#This Row],[Last_Restock_Date]],"mmm")</f>
        <v>Apr</v>
      </c>
    </row>
    <row r="631" spans="1:16" x14ac:dyDescent="0.25">
      <c r="A631">
        <v>630</v>
      </c>
      <c r="B631" s="5" t="s">
        <v>45</v>
      </c>
      <c r="C631" s="5" t="s">
        <v>26</v>
      </c>
      <c r="D631" s="5" t="s">
        <v>30</v>
      </c>
      <c r="E631" s="5" t="s">
        <v>13</v>
      </c>
      <c r="F631" s="2">
        <v>433</v>
      </c>
      <c r="G631" s="3">
        <v>671.09</v>
      </c>
      <c r="H631">
        <v>82</v>
      </c>
      <c r="I631">
        <f>IF(Table1[[#This Row],[Status]]= "Sufficient",
     Table1[[#This Row],[Stock_Quantity]] - Table1[[#This Row],[Reorder_Level]],
     0)</f>
        <v>351</v>
      </c>
      <c r="J631" s="4">
        <v>45703</v>
      </c>
      <c r="K631" s="5" t="s">
        <v>14</v>
      </c>
      <c r="L631">
        <f>YEAR(Table1[[#This Row],[Last_Restock_Date]])</f>
        <v>2025</v>
      </c>
      <c r="M631" t="str">
        <f>_xlfn.CONCAT(TEXT(Table1[[#This Row],[Last_Restock_Date]],"mmm"), "-", YEAR(Table1[[#This Row],[Last_Restock_Date]]))</f>
        <v>Feb-2025</v>
      </c>
      <c r="N631">
        <f>MONTH(Table1[[#This Row],[Last_Restock_Date]])</f>
        <v>2</v>
      </c>
      <c r="O631" t="str" cm="1">
        <f t="array" ref="O631">_xlfn.SWITCH(Table1[[#This Row],[Month_Number]],
    1,"Q1",2,"Q1",3,"Q1",
    4,"Q2",5,"Q2",6,"Q2",
    7,"Q3",8,"Q3",9,"Q3",
    10,"Q4",11,"Q4",12,"Q4",
    "Invalid Month"
)</f>
        <v>Q1</v>
      </c>
      <c r="P631" t="str">
        <f>TEXT(Table1[[#This Row],[Last_Restock_Date]],"mmm")</f>
        <v>Feb</v>
      </c>
    </row>
    <row r="632" spans="1:16" x14ac:dyDescent="0.25">
      <c r="A632">
        <v>631</v>
      </c>
      <c r="B632" s="5" t="s">
        <v>25</v>
      </c>
      <c r="C632" s="5" t="s">
        <v>26</v>
      </c>
      <c r="D632" s="5" t="s">
        <v>30</v>
      </c>
      <c r="E632" s="5" t="s">
        <v>37</v>
      </c>
      <c r="F632" s="2">
        <v>220</v>
      </c>
      <c r="G632" s="3">
        <v>199.99</v>
      </c>
      <c r="H632">
        <v>114</v>
      </c>
      <c r="I632">
        <f>IF(Table1[[#This Row],[Status]]= "Sufficient",
     Table1[[#This Row],[Stock_Quantity]] - Table1[[#This Row],[Reorder_Level]],
     0)</f>
        <v>106</v>
      </c>
      <c r="J632" s="4">
        <v>45585</v>
      </c>
      <c r="K632" s="5" t="s">
        <v>14</v>
      </c>
      <c r="L632">
        <f>YEAR(Table1[[#This Row],[Last_Restock_Date]])</f>
        <v>2024</v>
      </c>
      <c r="M632" t="str">
        <f>_xlfn.CONCAT(TEXT(Table1[[#This Row],[Last_Restock_Date]],"mmm"), "-", YEAR(Table1[[#This Row],[Last_Restock_Date]]))</f>
        <v>Oct-2024</v>
      </c>
      <c r="N632">
        <f>MONTH(Table1[[#This Row],[Last_Restock_Date]])</f>
        <v>10</v>
      </c>
      <c r="O632" t="str" cm="1">
        <f t="array" ref="O632">_xlfn.SWITCH(Table1[[#This Row],[Month_Number]],
    1,"Q1",2,"Q1",3,"Q1",
    4,"Q2",5,"Q2",6,"Q2",
    7,"Q3",8,"Q3",9,"Q3",
    10,"Q4",11,"Q4",12,"Q4",
    "Invalid Month"
)</f>
        <v>Q4</v>
      </c>
      <c r="P632" t="str">
        <f>TEXT(Table1[[#This Row],[Last_Restock_Date]],"mmm")</f>
        <v>Oct</v>
      </c>
    </row>
    <row r="633" spans="1:16" x14ac:dyDescent="0.25">
      <c r="A633">
        <v>632</v>
      </c>
      <c r="B633" s="5" t="s">
        <v>44</v>
      </c>
      <c r="C633" s="5" t="s">
        <v>34</v>
      </c>
      <c r="D633" s="5" t="s">
        <v>24</v>
      </c>
      <c r="E633" s="5" t="s">
        <v>27</v>
      </c>
      <c r="F633" s="2">
        <v>456</v>
      </c>
      <c r="G633" s="3">
        <v>264.39999999999998</v>
      </c>
      <c r="H633">
        <v>103</v>
      </c>
      <c r="I633">
        <f>IF(Table1[[#This Row],[Status]]= "Sufficient",
     Table1[[#This Row],[Stock_Quantity]] - Table1[[#This Row],[Reorder_Level]],
     0)</f>
        <v>353</v>
      </c>
      <c r="J633" s="4">
        <v>45578</v>
      </c>
      <c r="K633" s="5" t="s">
        <v>14</v>
      </c>
      <c r="L633">
        <f>YEAR(Table1[[#This Row],[Last_Restock_Date]])</f>
        <v>2024</v>
      </c>
      <c r="M633" t="str">
        <f>_xlfn.CONCAT(TEXT(Table1[[#This Row],[Last_Restock_Date]],"mmm"), "-", YEAR(Table1[[#This Row],[Last_Restock_Date]]))</f>
        <v>Oct-2024</v>
      </c>
      <c r="N633">
        <f>MONTH(Table1[[#This Row],[Last_Restock_Date]])</f>
        <v>10</v>
      </c>
      <c r="O633" t="str" cm="1">
        <f t="array" ref="O633">_xlfn.SWITCH(Table1[[#This Row],[Month_Number]],
    1,"Q1",2,"Q1",3,"Q1",
    4,"Q2",5,"Q2",6,"Q2",
    7,"Q3",8,"Q3",9,"Q3",
    10,"Q4",11,"Q4",12,"Q4",
    "Invalid Month"
)</f>
        <v>Q4</v>
      </c>
      <c r="P633" t="str">
        <f>TEXT(Table1[[#This Row],[Last_Restock_Date]],"mmm")</f>
        <v>Oct</v>
      </c>
    </row>
    <row r="634" spans="1:16" x14ac:dyDescent="0.25">
      <c r="A634">
        <v>633</v>
      </c>
      <c r="B634" s="5" t="s">
        <v>45</v>
      </c>
      <c r="C634" s="5" t="s">
        <v>26</v>
      </c>
      <c r="D634" s="5" t="s">
        <v>12</v>
      </c>
      <c r="E634" s="5" t="s">
        <v>18</v>
      </c>
      <c r="F634" s="2">
        <v>378</v>
      </c>
      <c r="G634" s="3">
        <v>424.75</v>
      </c>
      <c r="H634">
        <v>119</v>
      </c>
      <c r="I634">
        <f>IF(Table1[[#This Row],[Status]]= "Sufficient",
     Table1[[#This Row],[Stock_Quantity]] - Table1[[#This Row],[Reorder_Level]],
     0)</f>
        <v>259</v>
      </c>
      <c r="J634" s="4">
        <v>44943</v>
      </c>
      <c r="K634" s="5" t="s">
        <v>14</v>
      </c>
      <c r="L634">
        <f>YEAR(Table1[[#This Row],[Last_Restock_Date]])</f>
        <v>2023</v>
      </c>
      <c r="M634" t="str">
        <f>_xlfn.CONCAT(TEXT(Table1[[#This Row],[Last_Restock_Date]],"mmm"), "-", YEAR(Table1[[#This Row],[Last_Restock_Date]]))</f>
        <v>Jan-2023</v>
      </c>
      <c r="N634">
        <f>MONTH(Table1[[#This Row],[Last_Restock_Date]])</f>
        <v>1</v>
      </c>
      <c r="O634" t="str" cm="1">
        <f t="array" ref="O634">_xlfn.SWITCH(Table1[[#This Row],[Month_Number]],
    1,"Q1",2,"Q1",3,"Q1",
    4,"Q2",5,"Q2",6,"Q2",
    7,"Q3",8,"Q3",9,"Q3",
    10,"Q4",11,"Q4",12,"Q4",
    "Invalid Month"
)</f>
        <v>Q1</v>
      </c>
      <c r="P634" t="str">
        <f>TEXT(Table1[[#This Row],[Last_Restock_Date]],"mmm")</f>
        <v>Jan</v>
      </c>
    </row>
    <row r="635" spans="1:16" x14ac:dyDescent="0.25">
      <c r="A635">
        <v>634</v>
      </c>
      <c r="B635" s="5" t="s">
        <v>31</v>
      </c>
      <c r="C635" s="5" t="s">
        <v>20</v>
      </c>
      <c r="D635" s="5" t="s">
        <v>21</v>
      </c>
      <c r="E635" s="5" t="s">
        <v>39</v>
      </c>
      <c r="F635" s="2">
        <v>479</v>
      </c>
      <c r="G635" s="3">
        <v>11.24</v>
      </c>
      <c r="H635">
        <v>101</v>
      </c>
      <c r="I635">
        <f>IF(Table1[[#This Row],[Status]]= "Sufficient",
     Table1[[#This Row],[Stock_Quantity]] - Table1[[#This Row],[Reorder_Level]],
     0)</f>
        <v>378</v>
      </c>
      <c r="J635" s="4">
        <v>45835</v>
      </c>
      <c r="K635" s="5" t="s">
        <v>14</v>
      </c>
      <c r="L635">
        <f>YEAR(Table1[[#This Row],[Last_Restock_Date]])</f>
        <v>2025</v>
      </c>
      <c r="M635" t="str">
        <f>_xlfn.CONCAT(TEXT(Table1[[#This Row],[Last_Restock_Date]],"mmm"), "-", YEAR(Table1[[#This Row],[Last_Restock_Date]]))</f>
        <v>Jun-2025</v>
      </c>
      <c r="N635">
        <f>MONTH(Table1[[#This Row],[Last_Restock_Date]])</f>
        <v>6</v>
      </c>
      <c r="O635" t="str" cm="1">
        <f t="array" ref="O635">_xlfn.SWITCH(Table1[[#This Row],[Month_Number]],
    1,"Q1",2,"Q1",3,"Q1",
    4,"Q2",5,"Q2",6,"Q2",
    7,"Q3",8,"Q3",9,"Q3",
    10,"Q4",11,"Q4",12,"Q4",
    "Invalid Month"
)</f>
        <v>Q2</v>
      </c>
      <c r="P635" t="str">
        <f>TEXT(Table1[[#This Row],[Last_Restock_Date]],"mmm")</f>
        <v>Jun</v>
      </c>
    </row>
    <row r="636" spans="1:16" x14ac:dyDescent="0.25">
      <c r="A636">
        <v>635</v>
      </c>
      <c r="B636" s="5" t="s">
        <v>36</v>
      </c>
      <c r="C636" s="5" t="s">
        <v>11</v>
      </c>
      <c r="D636" s="5" t="s">
        <v>17</v>
      </c>
      <c r="E636" s="5" t="s">
        <v>18</v>
      </c>
      <c r="F636" s="2">
        <v>215</v>
      </c>
      <c r="G636" s="3">
        <v>649.41999999999996</v>
      </c>
      <c r="H636">
        <v>147</v>
      </c>
      <c r="I636">
        <f>IF(Table1[[#This Row],[Status]]= "Sufficient",
     Table1[[#This Row],[Stock_Quantity]] - Table1[[#This Row],[Reorder_Level]],
     0)</f>
        <v>68</v>
      </c>
      <c r="J636" s="4">
        <v>45300</v>
      </c>
      <c r="K636" s="5" t="s">
        <v>14</v>
      </c>
      <c r="L636">
        <f>YEAR(Table1[[#This Row],[Last_Restock_Date]])</f>
        <v>2024</v>
      </c>
      <c r="M636" t="str">
        <f>_xlfn.CONCAT(TEXT(Table1[[#This Row],[Last_Restock_Date]],"mmm"), "-", YEAR(Table1[[#This Row],[Last_Restock_Date]]))</f>
        <v>Jan-2024</v>
      </c>
      <c r="N636">
        <f>MONTH(Table1[[#This Row],[Last_Restock_Date]])</f>
        <v>1</v>
      </c>
      <c r="O636" t="str" cm="1">
        <f t="array" ref="O636">_xlfn.SWITCH(Table1[[#This Row],[Month_Number]],
    1,"Q1",2,"Q1",3,"Q1",
    4,"Q2",5,"Q2",6,"Q2",
    7,"Q3",8,"Q3",9,"Q3",
    10,"Q4",11,"Q4",12,"Q4",
    "Invalid Month"
)</f>
        <v>Q1</v>
      </c>
      <c r="P636" t="str">
        <f>TEXT(Table1[[#This Row],[Last_Restock_Date]],"mmm")</f>
        <v>Jan</v>
      </c>
    </row>
    <row r="637" spans="1:16" x14ac:dyDescent="0.25">
      <c r="A637">
        <v>636</v>
      </c>
      <c r="B637" s="5" t="s">
        <v>54</v>
      </c>
      <c r="C637" s="5" t="s">
        <v>20</v>
      </c>
      <c r="D637" s="5" t="s">
        <v>30</v>
      </c>
      <c r="E637" s="5" t="s">
        <v>32</v>
      </c>
      <c r="F637" s="2">
        <v>393</v>
      </c>
      <c r="G637" s="3">
        <v>5.18</v>
      </c>
      <c r="H637">
        <v>80</v>
      </c>
      <c r="I637">
        <f>IF(Table1[[#This Row],[Status]]= "Sufficient",
     Table1[[#This Row],[Stock_Quantity]] - Table1[[#This Row],[Reorder_Level]],
     0)</f>
        <v>313</v>
      </c>
      <c r="J637" s="4">
        <v>45684</v>
      </c>
      <c r="K637" s="5" t="s">
        <v>14</v>
      </c>
      <c r="L637">
        <f>YEAR(Table1[[#This Row],[Last_Restock_Date]])</f>
        <v>2025</v>
      </c>
      <c r="M637" t="str">
        <f>_xlfn.CONCAT(TEXT(Table1[[#This Row],[Last_Restock_Date]],"mmm"), "-", YEAR(Table1[[#This Row],[Last_Restock_Date]]))</f>
        <v>Jan-2025</v>
      </c>
      <c r="N637">
        <f>MONTH(Table1[[#This Row],[Last_Restock_Date]])</f>
        <v>1</v>
      </c>
      <c r="O637" t="str" cm="1">
        <f t="array" ref="O637">_xlfn.SWITCH(Table1[[#This Row],[Month_Number]],
    1,"Q1",2,"Q1",3,"Q1",
    4,"Q2",5,"Q2",6,"Q2",
    7,"Q3",8,"Q3",9,"Q3",
    10,"Q4",11,"Q4",12,"Q4",
    "Invalid Month"
)</f>
        <v>Q1</v>
      </c>
      <c r="P637" t="str">
        <f>TEXT(Table1[[#This Row],[Last_Restock_Date]],"mmm")</f>
        <v>Jan</v>
      </c>
    </row>
    <row r="638" spans="1:16" x14ac:dyDescent="0.25">
      <c r="A638">
        <v>637</v>
      </c>
      <c r="B638" s="5" t="s">
        <v>36</v>
      </c>
      <c r="C638" s="5" t="s">
        <v>11</v>
      </c>
      <c r="D638" s="5" t="s">
        <v>30</v>
      </c>
      <c r="E638" s="5" t="s">
        <v>37</v>
      </c>
      <c r="F638" s="2">
        <v>360</v>
      </c>
      <c r="G638" s="3">
        <v>398.63</v>
      </c>
      <c r="H638">
        <v>133</v>
      </c>
      <c r="I638">
        <f>IF(Table1[[#This Row],[Status]]= "Sufficient",
     Table1[[#This Row],[Stock_Quantity]] - Table1[[#This Row],[Reorder_Level]],
     0)</f>
        <v>227</v>
      </c>
      <c r="J638" s="4">
        <v>45716</v>
      </c>
      <c r="K638" s="5" t="s">
        <v>14</v>
      </c>
      <c r="L638">
        <f>YEAR(Table1[[#This Row],[Last_Restock_Date]])</f>
        <v>2025</v>
      </c>
      <c r="M638" t="str">
        <f>_xlfn.CONCAT(TEXT(Table1[[#This Row],[Last_Restock_Date]],"mmm"), "-", YEAR(Table1[[#This Row],[Last_Restock_Date]]))</f>
        <v>Feb-2025</v>
      </c>
      <c r="N638">
        <f>MONTH(Table1[[#This Row],[Last_Restock_Date]])</f>
        <v>2</v>
      </c>
      <c r="O638" t="str" cm="1">
        <f t="array" ref="O638">_xlfn.SWITCH(Table1[[#This Row],[Month_Number]],
    1,"Q1",2,"Q1",3,"Q1",
    4,"Q2",5,"Q2",6,"Q2",
    7,"Q3",8,"Q3",9,"Q3",
    10,"Q4",11,"Q4",12,"Q4",
    "Invalid Month"
)</f>
        <v>Q1</v>
      </c>
      <c r="P638" t="str">
        <f>TEXT(Table1[[#This Row],[Last_Restock_Date]],"mmm")</f>
        <v>Feb</v>
      </c>
    </row>
    <row r="639" spans="1:16" x14ac:dyDescent="0.25">
      <c r="A639">
        <v>638</v>
      </c>
      <c r="B639" s="5" t="s">
        <v>40</v>
      </c>
      <c r="C639" s="5" t="s">
        <v>34</v>
      </c>
      <c r="D639" s="5" t="s">
        <v>17</v>
      </c>
      <c r="E639" s="5" t="s">
        <v>39</v>
      </c>
      <c r="F639" s="2">
        <v>435</v>
      </c>
      <c r="G639" s="3">
        <v>310.97000000000003</v>
      </c>
      <c r="H639">
        <v>90</v>
      </c>
      <c r="I639">
        <f>IF(Table1[[#This Row],[Status]]= "Sufficient",
     Table1[[#This Row],[Stock_Quantity]] - Table1[[#This Row],[Reorder_Level]],
     0)</f>
        <v>345</v>
      </c>
      <c r="J639" s="4">
        <v>45441</v>
      </c>
      <c r="K639" s="5" t="s">
        <v>14</v>
      </c>
      <c r="L639">
        <f>YEAR(Table1[[#This Row],[Last_Restock_Date]])</f>
        <v>2024</v>
      </c>
      <c r="M639" t="str">
        <f>_xlfn.CONCAT(TEXT(Table1[[#This Row],[Last_Restock_Date]],"mmm"), "-", YEAR(Table1[[#This Row],[Last_Restock_Date]]))</f>
        <v>May-2024</v>
      </c>
      <c r="N639">
        <f>MONTH(Table1[[#This Row],[Last_Restock_Date]])</f>
        <v>5</v>
      </c>
      <c r="O639" t="str" cm="1">
        <f t="array" ref="O639">_xlfn.SWITCH(Table1[[#This Row],[Month_Number]],
    1,"Q1",2,"Q1",3,"Q1",
    4,"Q2",5,"Q2",6,"Q2",
    7,"Q3",8,"Q3",9,"Q3",
    10,"Q4",11,"Q4",12,"Q4",
    "Invalid Month"
)</f>
        <v>Q2</v>
      </c>
      <c r="P639" t="str">
        <f>TEXT(Table1[[#This Row],[Last_Restock_Date]],"mmm")</f>
        <v>May</v>
      </c>
    </row>
    <row r="640" spans="1:16" x14ac:dyDescent="0.25">
      <c r="A640">
        <v>639</v>
      </c>
      <c r="B640" s="5" t="s">
        <v>10</v>
      </c>
      <c r="C640" s="5" t="s">
        <v>11</v>
      </c>
      <c r="D640" s="5" t="s">
        <v>30</v>
      </c>
      <c r="E640" s="5" t="s">
        <v>32</v>
      </c>
      <c r="F640" s="2">
        <v>175</v>
      </c>
      <c r="G640" s="3">
        <v>132.79</v>
      </c>
      <c r="H640">
        <v>87</v>
      </c>
      <c r="I640">
        <f>IF(Table1[[#This Row],[Status]]= "Sufficient",
     Table1[[#This Row],[Stock_Quantity]] - Table1[[#This Row],[Reorder_Level]],
     0)</f>
        <v>88</v>
      </c>
      <c r="J640" s="4">
        <v>45855</v>
      </c>
      <c r="K640" s="5" t="s">
        <v>14</v>
      </c>
      <c r="L640">
        <f>YEAR(Table1[[#This Row],[Last_Restock_Date]])</f>
        <v>2025</v>
      </c>
      <c r="M640" t="str">
        <f>_xlfn.CONCAT(TEXT(Table1[[#This Row],[Last_Restock_Date]],"mmm"), "-", YEAR(Table1[[#This Row],[Last_Restock_Date]]))</f>
        <v>Jul-2025</v>
      </c>
      <c r="N640">
        <f>MONTH(Table1[[#This Row],[Last_Restock_Date]])</f>
        <v>7</v>
      </c>
      <c r="O640" t="str" cm="1">
        <f t="array" ref="O640">_xlfn.SWITCH(Table1[[#This Row],[Month_Number]],
    1,"Q1",2,"Q1",3,"Q1",
    4,"Q2",5,"Q2",6,"Q2",
    7,"Q3",8,"Q3",9,"Q3",
    10,"Q4",11,"Q4",12,"Q4",
    "Invalid Month"
)</f>
        <v>Q3</v>
      </c>
      <c r="P640" t="str">
        <f>TEXT(Table1[[#This Row],[Last_Restock_Date]],"mmm")</f>
        <v>Jul</v>
      </c>
    </row>
    <row r="641" spans="1:16" x14ac:dyDescent="0.25">
      <c r="A641">
        <v>640</v>
      </c>
      <c r="B641" s="5" t="s">
        <v>49</v>
      </c>
      <c r="C641" s="5" t="s">
        <v>16</v>
      </c>
      <c r="D641" s="5" t="s">
        <v>21</v>
      </c>
      <c r="E641" s="5" t="s">
        <v>27</v>
      </c>
      <c r="F641" s="2">
        <v>432</v>
      </c>
      <c r="G641" s="3">
        <v>562.04</v>
      </c>
      <c r="H641">
        <v>75</v>
      </c>
      <c r="I641">
        <f>IF(Table1[[#This Row],[Status]]= "Sufficient",
     Table1[[#This Row],[Stock_Quantity]] - Table1[[#This Row],[Reorder_Level]],
     0)</f>
        <v>357</v>
      </c>
      <c r="J641" s="4">
        <v>44975</v>
      </c>
      <c r="K641" s="5" t="s">
        <v>14</v>
      </c>
      <c r="L641">
        <f>YEAR(Table1[[#This Row],[Last_Restock_Date]])</f>
        <v>2023</v>
      </c>
      <c r="M641" t="str">
        <f>_xlfn.CONCAT(TEXT(Table1[[#This Row],[Last_Restock_Date]],"mmm"), "-", YEAR(Table1[[#This Row],[Last_Restock_Date]]))</f>
        <v>Feb-2023</v>
      </c>
      <c r="N641">
        <f>MONTH(Table1[[#This Row],[Last_Restock_Date]])</f>
        <v>2</v>
      </c>
      <c r="O641" t="str" cm="1">
        <f t="array" ref="O641">_xlfn.SWITCH(Table1[[#This Row],[Month_Number]],
    1,"Q1",2,"Q1",3,"Q1",
    4,"Q2",5,"Q2",6,"Q2",
    7,"Q3",8,"Q3",9,"Q3",
    10,"Q4",11,"Q4",12,"Q4",
    "Invalid Month"
)</f>
        <v>Q1</v>
      </c>
      <c r="P641" t="str">
        <f>TEXT(Table1[[#This Row],[Last_Restock_Date]],"mmm")</f>
        <v>Feb</v>
      </c>
    </row>
    <row r="642" spans="1:16" x14ac:dyDescent="0.25">
      <c r="A642">
        <v>641</v>
      </c>
      <c r="B642" s="5" t="s">
        <v>47</v>
      </c>
      <c r="C642" s="5" t="s">
        <v>20</v>
      </c>
      <c r="D642" s="5" t="s">
        <v>21</v>
      </c>
      <c r="E642" s="5" t="s">
        <v>18</v>
      </c>
      <c r="F642" s="2">
        <v>300</v>
      </c>
      <c r="G642" s="3">
        <v>464.45</v>
      </c>
      <c r="H642">
        <v>71</v>
      </c>
      <c r="I642">
        <f>IF(Table1[[#This Row],[Status]]= "Sufficient",
     Table1[[#This Row],[Stock_Quantity]] - Table1[[#This Row],[Reorder_Level]],
     0)</f>
        <v>229</v>
      </c>
      <c r="J642" s="4">
        <v>45162</v>
      </c>
      <c r="K642" s="5" t="s">
        <v>14</v>
      </c>
      <c r="L642">
        <f>YEAR(Table1[[#This Row],[Last_Restock_Date]])</f>
        <v>2023</v>
      </c>
      <c r="M642" t="str">
        <f>_xlfn.CONCAT(TEXT(Table1[[#This Row],[Last_Restock_Date]],"mmm"), "-", YEAR(Table1[[#This Row],[Last_Restock_Date]]))</f>
        <v>Aug-2023</v>
      </c>
      <c r="N642">
        <f>MONTH(Table1[[#This Row],[Last_Restock_Date]])</f>
        <v>8</v>
      </c>
      <c r="O642" t="str" cm="1">
        <f t="array" ref="O642">_xlfn.SWITCH(Table1[[#This Row],[Month_Number]],
    1,"Q1",2,"Q1",3,"Q1",
    4,"Q2",5,"Q2",6,"Q2",
    7,"Q3",8,"Q3",9,"Q3",
    10,"Q4",11,"Q4",12,"Q4",
    "Invalid Month"
)</f>
        <v>Q3</v>
      </c>
      <c r="P642" t="str">
        <f>TEXT(Table1[[#This Row],[Last_Restock_Date]],"mmm")</f>
        <v>Aug</v>
      </c>
    </row>
    <row r="643" spans="1:16" x14ac:dyDescent="0.25">
      <c r="A643">
        <v>642</v>
      </c>
      <c r="B643" s="5" t="s">
        <v>48</v>
      </c>
      <c r="C643" s="5" t="s">
        <v>20</v>
      </c>
      <c r="D643" s="5" t="s">
        <v>12</v>
      </c>
      <c r="E643" s="5" t="s">
        <v>18</v>
      </c>
      <c r="F643" s="2">
        <v>211</v>
      </c>
      <c r="G643" s="3">
        <v>239.06</v>
      </c>
      <c r="H643">
        <v>86</v>
      </c>
      <c r="I643">
        <f>IF(Table1[[#This Row],[Status]]= "Sufficient",
     Table1[[#This Row],[Stock_Quantity]] - Table1[[#This Row],[Reorder_Level]],
     0)</f>
        <v>125</v>
      </c>
      <c r="J643" s="4">
        <v>45270</v>
      </c>
      <c r="K643" s="5" t="s">
        <v>14</v>
      </c>
      <c r="L643">
        <f>YEAR(Table1[[#This Row],[Last_Restock_Date]])</f>
        <v>2023</v>
      </c>
      <c r="M643" t="str">
        <f>_xlfn.CONCAT(TEXT(Table1[[#This Row],[Last_Restock_Date]],"mmm"), "-", YEAR(Table1[[#This Row],[Last_Restock_Date]]))</f>
        <v>Dec-2023</v>
      </c>
      <c r="N643">
        <f>MONTH(Table1[[#This Row],[Last_Restock_Date]])</f>
        <v>12</v>
      </c>
      <c r="O643" t="str" cm="1">
        <f t="array" ref="O643">_xlfn.SWITCH(Table1[[#This Row],[Month_Number]],
    1,"Q1",2,"Q1",3,"Q1",
    4,"Q2",5,"Q2",6,"Q2",
    7,"Q3",8,"Q3",9,"Q3",
    10,"Q4",11,"Q4",12,"Q4",
    "Invalid Month"
)</f>
        <v>Q4</v>
      </c>
      <c r="P643" t="str">
        <f>TEXT(Table1[[#This Row],[Last_Restock_Date]],"mmm")</f>
        <v>Dec</v>
      </c>
    </row>
    <row r="644" spans="1:16" x14ac:dyDescent="0.25">
      <c r="A644">
        <v>643</v>
      </c>
      <c r="B644" s="5" t="s">
        <v>54</v>
      </c>
      <c r="C644" s="5" t="s">
        <v>20</v>
      </c>
      <c r="D644" s="5" t="s">
        <v>17</v>
      </c>
      <c r="E644" s="5" t="s">
        <v>18</v>
      </c>
      <c r="F644" s="2">
        <v>156</v>
      </c>
      <c r="G644" s="3">
        <v>144.35</v>
      </c>
      <c r="H644">
        <v>50</v>
      </c>
      <c r="I644">
        <f>IF(Table1[[#This Row],[Status]]= "Sufficient",
     Table1[[#This Row],[Stock_Quantity]] - Table1[[#This Row],[Reorder_Level]],
     0)</f>
        <v>106</v>
      </c>
      <c r="J644" s="4">
        <v>45615</v>
      </c>
      <c r="K644" s="5" t="s">
        <v>14</v>
      </c>
      <c r="L644">
        <f>YEAR(Table1[[#This Row],[Last_Restock_Date]])</f>
        <v>2024</v>
      </c>
      <c r="M644" t="str">
        <f>_xlfn.CONCAT(TEXT(Table1[[#This Row],[Last_Restock_Date]],"mmm"), "-", YEAR(Table1[[#This Row],[Last_Restock_Date]]))</f>
        <v>Nov-2024</v>
      </c>
      <c r="N644">
        <f>MONTH(Table1[[#This Row],[Last_Restock_Date]])</f>
        <v>11</v>
      </c>
      <c r="O644" t="str" cm="1">
        <f t="array" ref="O644">_xlfn.SWITCH(Table1[[#This Row],[Month_Number]],
    1,"Q1",2,"Q1",3,"Q1",
    4,"Q2",5,"Q2",6,"Q2",
    7,"Q3",8,"Q3",9,"Q3",
    10,"Q4",11,"Q4",12,"Q4",
    "Invalid Month"
)</f>
        <v>Q4</v>
      </c>
      <c r="P644" t="str">
        <f>TEXT(Table1[[#This Row],[Last_Restock_Date]],"mmm")</f>
        <v>Nov</v>
      </c>
    </row>
    <row r="645" spans="1:16" x14ac:dyDescent="0.25">
      <c r="A645">
        <v>644</v>
      </c>
      <c r="B645" s="5" t="s">
        <v>44</v>
      </c>
      <c r="C645" s="5" t="s">
        <v>34</v>
      </c>
      <c r="D645" s="5" t="s">
        <v>21</v>
      </c>
      <c r="E645" s="5" t="s">
        <v>32</v>
      </c>
      <c r="F645" s="2">
        <v>212</v>
      </c>
      <c r="G645" s="3">
        <v>235.72</v>
      </c>
      <c r="H645">
        <v>73</v>
      </c>
      <c r="I645">
        <f>IF(Table1[[#This Row],[Status]]= "Sufficient",
     Table1[[#This Row],[Stock_Quantity]] - Table1[[#This Row],[Reorder_Level]],
     0)</f>
        <v>139</v>
      </c>
      <c r="J645" s="4">
        <v>45017</v>
      </c>
      <c r="K645" s="5" t="s">
        <v>14</v>
      </c>
      <c r="L645">
        <f>YEAR(Table1[[#This Row],[Last_Restock_Date]])</f>
        <v>2023</v>
      </c>
      <c r="M645" t="str">
        <f>_xlfn.CONCAT(TEXT(Table1[[#This Row],[Last_Restock_Date]],"mmm"), "-", YEAR(Table1[[#This Row],[Last_Restock_Date]]))</f>
        <v>Apr-2023</v>
      </c>
      <c r="N645">
        <f>MONTH(Table1[[#This Row],[Last_Restock_Date]])</f>
        <v>4</v>
      </c>
      <c r="O645" t="str" cm="1">
        <f t="array" ref="O645">_xlfn.SWITCH(Table1[[#This Row],[Month_Number]],
    1,"Q1",2,"Q1",3,"Q1",
    4,"Q2",5,"Q2",6,"Q2",
    7,"Q3",8,"Q3",9,"Q3",
    10,"Q4",11,"Q4",12,"Q4",
    "Invalid Month"
)</f>
        <v>Q2</v>
      </c>
      <c r="P645" t="str">
        <f>TEXT(Table1[[#This Row],[Last_Restock_Date]],"mmm")</f>
        <v>Apr</v>
      </c>
    </row>
    <row r="646" spans="1:16" x14ac:dyDescent="0.25">
      <c r="A646">
        <v>645</v>
      </c>
      <c r="B646" s="5" t="s">
        <v>41</v>
      </c>
      <c r="C646" s="5" t="s">
        <v>16</v>
      </c>
      <c r="D646" s="5" t="s">
        <v>21</v>
      </c>
      <c r="E646" s="5" t="s">
        <v>18</v>
      </c>
      <c r="F646" s="2">
        <v>71</v>
      </c>
      <c r="G646" s="3">
        <v>600.72</v>
      </c>
      <c r="H646">
        <v>114</v>
      </c>
      <c r="I646">
        <f>IF(Table1[[#This Row],[Status]]= "Sufficient",
     Table1[[#This Row],[Stock_Quantity]] - Table1[[#This Row],[Reorder_Level]],
     0)</f>
        <v>0</v>
      </c>
      <c r="J646" s="4">
        <v>44976</v>
      </c>
      <c r="K646" s="5" t="s">
        <v>28</v>
      </c>
      <c r="L646">
        <f>YEAR(Table1[[#This Row],[Last_Restock_Date]])</f>
        <v>2023</v>
      </c>
      <c r="M646" t="str">
        <f>_xlfn.CONCAT(TEXT(Table1[[#This Row],[Last_Restock_Date]],"mmm"), "-", YEAR(Table1[[#This Row],[Last_Restock_Date]]))</f>
        <v>Feb-2023</v>
      </c>
      <c r="N646">
        <f>MONTH(Table1[[#This Row],[Last_Restock_Date]])</f>
        <v>2</v>
      </c>
      <c r="O646" t="str" cm="1">
        <f t="array" ref="O646">_xlfn.SWITCH(Table1[[#This Row],[Month_Number]],
    1,"Q1",2,"Q1",3,"Q1",
    4,"Q2",5,"Q2",6,"Q2",
    7,"Q3",8,"Q3",9,"Q3",
    10,"Q4",11,"Q4",12,"Q4",
    "Invalid Month"
)</f>
        <v>Q1</v>
      </c>
      <c r="P646" t="str">
        <f>TEXT(Table1[[#This Row],[Last_Restock_Date]],"mmm")</f>
        <v>Feb</v>
      </c>
    </row>
    <row r="647" spans="1:16" x14ac:dyDescent="0.25">
      <c r="A647">
        <v>646</v>
      </c>
      <c r="B647" s="5" t="s">
        <v>10</v>
      </c>
      <c r="C647" s="5" t="s">
        <v>11</v>
      </c>
      <c r="D647" s="5" t="s">
        <v>21</v>
      </c>
      <c r="E647" s="5" t="s">
        <v>39</v>
      </c>
      <c r="F647" s="2">
        <v>189</v>
      </c>
      <c r="G647" s="3">
        <v>744.94</v>
      </c>
      <c r="H647">
        <v>92</v>
      </c>
      <c r="I647">
        <f>IF(Table1[[#This Row],[Status]]= "Sufficient",
     Table1[[#This Row],[Stock_Quantity]] - Table1[[#This Row],[Reorder_Level]],
     0)</f>
        <v>97</v>
      </c>
      <c r="J647" s="4">
        <v>45879</v>
      </c>
      <c r="K647" s="5" t="s">
        <v>14</v>
      </c>
      <c r="L647">
        <f>YEAR(Table1[[#This Row],[Last_Restock_Date]])</f>
        <v>2025</v>
      </c>
      <c r="M647" t="str">
        <f>_xlfn.CONCAT(TEXT(Table1[[#This Row],[Last_Restock_Date]],"mmm"), "-", YEAR(Table1[[#This Row],[Last_Restock_Date]]))</f>
        <v>Aug-2025</v>
      </c>
      <c r="N647">
        <f>MONTH(Table1[[#This Row],[Last_Restock_Date]])</f>
        <v>8</v>
      </c>
      <c r="O647" t="str" cm="1">
        <f t="array" ref="O647">_xlfn.SWITCH(Table1[[#This Row],[Month_Number]],
    1,"Q1",2,"Q1",3,"Q1",
    4,"Q2",5,"Q2",6,"Q2",
    7,"Q3",8,"Q3",9,"Q3",
    10,"Q4",11,"Q4",12,"Q4",
    "Invalid Month"
)</f>
        <v>Q3</v>
      </c>
      <c r="P647" t="str">
        <f>TEXT(Table1[[#This Row],[Last_Restock_Date]],"mmm")</f>
        <v>Aug</v>
      </c>
    </row>
    <row r="648" spans="1:16" x14ac:dyDescent="0.25">
      <c r="A648">
        <v>647</v>
      </c>
      <c r="B648" s="5" t="s">
        <v>36</v>
      </c>
      <c r="C648" s="5" t="s">
        <v>11</v>
      </c>
      <c r="D648" s="5" t="s">
        <v>24</v>
      </c>
      <c r="E648" s="5" t="s">
        <v>32</v>
      </c>
      <c r="F648" s="2">
        <v>423</v>
      </c>
      <c r="G648" s="3">
        <v>728.6</v>
      </c>
      <c r="H648">
        <v>105</v>
      </c>
      <c r="I648">
        <f>IF(Table1[[#This Row],[Status]]= "Sufficient",
     Table1[[#This Row],[Stock_Quantity]] - Table1[[#This Row],[Reorder_Level]],
     0)</f>
        <v>318</v>
      </c>
      <c r="J648" s="4">
        <v>45251</v>
      </c>
      <c r="K648" s="5" t="s">
        <v>14</v>
      </c>
      <c r="L648">
        <f>YEAR(Table1[[#This Row],[Last_Restock_Date]])</f>
        <v>2023</v>
      </c>
      <c r="M648" t="str">
        <f>_xlfn.CONCAT(TEXT(Table1[[#This Row],[Last_Restock_Date]],"mmm"), "-", YEAR(Table1[[#This Row],[Last_Restock_Date]]))</f>
        <v>Nov-2023</v>
      </c>
      <c r="N648">
        <f>MONTH(Table1[[#This Row],[Last_Restock_Date]])</f>
        <v>11</v>
      </c>
      <c r="O648" t="str" cm="1">
        <f t="array" ref="O648">_xlfn.SWITCH(Table1[[#This Row],[Month_Number]],
    1,"Q1",2,"Q1",3,"Q1",
    4,"Q2",5,"Q2",6,"Q2",
    7,"Q3",8,"Q3",9,"Q3",
    10,"Q4",11,"Q4",12,"Q4",
    "Invalid Month"
)</f>
        <v>Q4</v>
      </c>
      <c r="P648" t="str">
        <f>TEXT(Table1[[#This Row],[Last_Restock_Date]],"mmm")</f>
        <v>Nov</v>
      </c>
    </row>
    <row r="649" spans="1:16" x14ac:dyDescent="0.25">
      <c r="A649">
        <v>648</v>
      </c>
      <c r="B649" s="5" t="s">
        <v>54</v>
      </c>
      <c r="C649" s="5" t="s">
        <v>20</v>
      </c>
      <c r="D649" s="5" t="s">
        <v>24</v>
      </c>
      <c r="E649" s="5" t="s">
        <v>37</v>
      </c>
      <c r="F649" s="2">
        <v>159</v>
      </c>
      <c r="G649" s="3">
        <v>470.55</v>
      </c>
      <c r="H649">
        <v>101</v>
      </c>
      <c r="I649">
        <f>IF(Table1[[#This Row],[Status]]= "Sufficient",
     Table1[[#This Row],[Stock_Quantity]] - Table1[[#This Row],[Reorder_Level]],
     0)</f>
        <v>58</v>
      </c>
      <c r="J649" s="4">
        <v>45643</v>
      </c>
      <c r="K649" s="5" t="s">
        <v>14</v>
      </c>
      <c r="L649">
        <f>YEAR(Table1[[#This Row],[Last_Restock_Date]])</f>
        <v>2024</v>
      </c>
      <c r="M649" t="str">
        <f>_xlfn.CONCAT(TEXT(Table1[[#This Row],[Last_Restock_Date]],"mmm"), "-", YEAR(Table1[[#This Row],[Last_Restock_Date]]))</f>
        <v>Dec-2024</v>
      </c>
      <c r="N649">
        <f>MONTH(Table1[[#This Row],[Last_Restock_Date]])</f>
        <v>12</v>
      </c>
      <c r="O649" t="str" cm="1">
        <f t="array" ref="O649">_xlfn.SWITCH(Table1[[#This Row],[Month_Number]],
    1,"Q1",2,"Q1",3,"Q1",
    4,"Q2",5,"Q2",6,"Q2",
    7,"Q3",8,"Q3",9,"Q3",
    10,"Q4",11,"Q4",12,"Q4",
    "Invalid Month"
)</f>
        <v>Q4</v>
      </c>
      <c r="P649" t="str">
        <f>TEXT(Table1[[#This Row],[Last_Restock_Date]],"mmm")</f>
        <v>Dec</v>
      </c>
    </row>
    <row r="650" spans="1:16" x14ac:dyDescent="0.25">
      <c r="A650">
        <v>649</v>
      </c>
      <c r="B650" s="5" t="s">
        <v>29</v>
      </c>
      <c r="C650" s="5" t="s">
        <v>16</v>
      </c>
      <c r="D650" s="5" t="s">
        <v>17</v>
      </c>
      <c r="E650" s="5" t="s">
        <v>37</v>
      </c>
      <c r="F650" s="2">
        <v>319</v>
      </c>
      <c r="G650" s="3">
        <v>390.94</v>
      </c>
      <c r="H650">
        <v>75</v>
      </c>
      <c r="I650">
        <f>IF(Table1[[#This Row],[Status]]= "Sufficient",
     Table1[[#This Row],[Stock_Quantity]] - Table1[[#This Row],[Reorder_Level]],
     0)</f>
        <v>244</v>
      </c>
      <c r="J650" s="4">
        <v>45114</v>
      </c>
      <c r="K650" s="5" t="s">
        <v>14</v>
      </c>
      <c r="L650">
        <f>YEAR(Table1[[#This Row],[Last_Restock_Date]])</f>
        <v>2023</v>
      </c>
      <c r="M650" t="str">
        <f>_xlfn.CONCAT(TEXT(Table1[[#This Row],[Last_Restock_Date]],"mmm"), "-", YEAR(Table1[[#This Row],[Last_Restock_Date]]))</f>
        <v>Jul-2023</v>
      </c>
      <c r="N650">
        <f>MONTH(Table1[[#This Row],[Last_Restock_Date]])</f>
        <v>7</v>
      </c>
      <c r="O650" t="str" cm="1">
        <f t="array" ref="O650">_xlfn.SWITCH(Table1[[#This Row],[Month_Number]],
    1,"Q1",2,"Q1",3,"Q1",
    4,"Q2",5,"Q2",6,"Q2",
    7,"Q3",8,"Q3",9,"Q3",
    10,"Q4",11,"Q4",12,"Q4",
    "Invalid Month"
)</f>
        <v>Q3</v>
      </c>
      <c r="P650" t="str">
        <f>TEXT(Table1[[#This Row],[Last_Restock_Date]],"mmm")</f>
        <v>Jul</v>
      </c>
    </row>
    <row r="651" spans="1:16" x14ac:dyDescent="0.25">
      <c r="A651">
        <v>650</v>
      </c>
      <c r="B651" s="5" t="s">
        <v>40</v>
      </c>
      <c r="C651" s="5" t="s">
        <v>34</v>
      </c>
      <c r="D651" s="5" t="s">
        <v>24</v>
      </c>
      <c r="E651" s="5" t="s">
        <v>39</v>
      </c>
      <c r="F651" s="2">
        <v>116</v>
      </c>
      <c r="G651" s="3">
        <v>178.08</v>
      </c>
      <c r="H651">
        <v>65</v>
      </c>
      <c r="I651">
        <f>IF(Table1[[#This Row],[Status]]= "Sufficient",
     Table1[[#This Row],[Stock_Quantity]] - Table1[[#This Row],[Reorder_Level]],
     0)</f>
        <v>51</v>
      </c>
      <c r="J651" s="4">
        <v>45540</v>
      </c>
      <c r="K651" s="5" t="s">
        <v>14</v>
      </c>
      <c r="L651">
        <f>YEAR(Table1[[#This Row],[Last_Restock_Date]])</f>
        <v>2024</v>
      </c>
      <c r="M651" t="str">
        <f>_xlfn.CONCAT(TEXT(Table1[[#This Row],[Last_Restock_Date]],"mmm"), "-", YEAR(Table1[[#This Row],[Last_Restock_Date]]))</f>
        <v>Sep-2024</v>
      </c>
      <c r="N651">
        <f>MONTH(Table1[[#This Row],[Last_Restock_Date]])</f>
        <v>9</v>
      </c>
      <c r="O651" t="str" cm="1">
        <f t="array" ref="O651">_xlfn.SWITCH(Table1[[#This Row],[Month_Number]],
    1,"Q1",2,"Q1",3,"Q1",
    4,"Q2",5,"Q2",6,"Q2",
    7,"Q3",8,"Q3",9,"Q3",
    10,"Q4",11,"Q4",12,"Q4",
    "Invalid Month"
)</f>
        <v>Q3</v>
      </c>
      <c r="P651" t="str">
        <f>TEXT(Table1[[#This Row],[Last_Restock_Date]],"mmm")</f>
        <v>Sep</v>
      </c>
    </row>
    <row r="652" spans="1:16" x14ac:dyDescent="0.25">
      <c r="A652">
        <v>651</v>
      </c>
      <c r="B652" s="5" t="s">
        <v>10</v>
      </c>
      <c r="C652" s="5" t="s">
        <v>11</v>
      </c>
      <c r="D652" s="5" t="s">
        <v>24</v>
      </c>
      <c r="E652" s="5" t="s">
        <v>13</v>
      </c>
      <c r="F652" s="2">
        <v>16</v>
      </c>
      <c r="G652" s="3">
        <v>685.83</v>
      </c>
      <c r="H652">
        <v>95</v>
      </c>
      <c r="I652">
        <f>IF(Table1[[#This Row],[Status]]= "Sufficient",
     Table1[[#This Row],[Stock_Quantity]] - Table1[[#This Row],[Reorder_Level]],
     0)</f>
        <v>0</v>
      </c>
      <c r="J652" s="4">
        <v>45879</v>
      </c>
      <c r="K652" s="5" t="s">
        <v>28</v>
      </c>
      <c r="L652">
        <f>YEAR(Table1[[#This Row],[Last_Restock_Date]])</f>
        <v>2025</v>
      </c>
      <c r="M652" t="str">
        <f>_xlfn.CONCAT(TEXT(Table1[[#This Row],[Last_Restock_Date]],"mmm"), "-", YEAR(Table1[[#This Row],[Last_Restock_Date]]))</f>
        <v>Aug-2025</v>
      </c>
      <c r="N652">
        <f>MONTH(Table1[[#This Row],[Last_Restock_Date]])</f>
        <v>8</v>
      </c>
      <c r="O652" t="str" cm="1">
        <f t="array" ref="O652">_xlfn.SWITCH(Table1[[#This Row],[Month_Number]],
    1,"Q1",2,"Q1",3,"Q1",
    4,"Q2",5,"Q2",6,"Q2",
    7,"Q3",8,"Q3",9,"Q3",
    10,"Q4",11,"Q4",12,"Q4",
    "Invalid Month"
)</f>
        <v>Q3</v>
      </c>
      <c r="P652" t="str">
        <f>TEXT(Table1[[#This Row],[Last_Restock_Date]],"mmm")</f>
        <v>Aug</v>
      </c>
    </row>
    <row r="653" spans="1:16" x14ac:dyDescent="0.25">
      <c r="A653">
        <v>652</v>
      </c>
      <c r="B653" s="5" t="s">
        <v>45</v>
      </c>
      <c r="C653" s="5" t="s">
        <v>26</v>
      </c>
      <c r="D653" s="5" t="s">
        <v>30</v>
      </c>
      <c r="E653" s="5" t="s">
        <v>13</v>
      </c>
      <c r="F653" s="2">
        <v>218</v>
      </c>
      <c r="G653" s="3">
        <v>549.85</v>
      </c>
      <c r="H653">
        <v>135</v>
      </c>
      <c r="I653">
        <f>IF(Table1[[#This Row],[Status]]= "Sufficient",
     Table1[[#This Row],[Stock_Quantity]] - Table1[[#This Row],[Reorder_Level]],
     0)</f>
        <v>83</v>
      </c>
      <c r="J653" s="4">
        <v>46006</v>
      </c>
      <c r="K653" s="5" t="s">
        <v>14</v>
      </c>
      <c r="L653">
        <f>YEAR(Table1[[#This Row],[Last_Restock_Date]])</f>
        <v>2025</v>
      </c>
      <c r="M653" t="str">
        <f>_xlfn.CONCAT(TEXT(Table1[[#This Row],[Last_Restock_Date]],"mmm"), "-", YEAR(Table1[[#This Row],[Last_Restock_Date]]))</f>
        <v>Dec-2025</v>
      </c>
      <c r="N653">
        <f>MONTH(Table1[[#This Row],[Last_Restock_Date]])</f>
        <v>12</v>
      </c>
      <c r="O653" t="str" cm="1">
        <f t="array" ref="O653">_xlfn.SWITCH(Table1[[#This Row],[Month_Number]],
    1,"Q1",2,"Q1",3,"Q1",
    4,"Q2",5,"Q2",6,"Q2",
    7,"Q3",8,"Q3",9,"Q3",
    10,"Q4",11,"Q4",12,"Q4",
    "Invalid Month"
)</f>
        <v>Q4</v>
      </c>
      <c r="P653" t="str">
        <f>TEXT(Table1[[#This Row],[Last_Restock_Date]],"mmm")</f>
        <v>Dec</v>
      </c>
    </row>
    <row r="654" spans="1:16" x14ac:dyDescent="0.25">
      <c r="A654">
        <v>653</v>
      </c>
      <c r="B654" s="5" t="s">
        <v>53</v>
      </c>
      <c r="C654" s="5" t="s">
        <v>26</v>
      </c>
      <c r="D654" s="5" t="s">
        <v>17</v>
      </c>
      <c r="E654" s="5" t="s">
        <v>27</v>
      </c>
      <c r="F654" s="2">
        <v>75</v>
      </c>
      <c r="G654" s="3">
        <v>353.27</v>
      </c>
      <c r="H654">
        <v>137</v>
      </c>
      <c r="I654">
        <f>IF(Table1[[#This Row],[Status]]= "Sufficient",
     Table1[[#This Row],[Stock_Quantity]] - Table1[[#This Row],[Reorder_Level]],
     0)</f>
        <v>0</v>
      </c>
      <c r="J654" s="4">
        <v>45115</v>
      </c>
      <c r="K654" s="5" t="s">
        <v>28</v>
      </c>
      <c r="L654">
        <f>YEAR(Table1[[#This Row],[Last_Restock_Date]])</f>
        <v>2023</v>
      </c>
      <c r="M654" t="str">
        <f>_xlfn.CONCAT(TEXT(Table1[[#This Row],[Last_Restock_Date]],"mmm"), "-", YEAR(Table1[[#This Row],[Last_Restock_Date]]))</f>
        <v>Jul-2023</v>
      </c>
      <c r="N654">
        <f>MONTH(Table1[[#This Row],[Last_Restock_Date]])</f>
        <v>7</v>
      </c>
      <c r="O654" t="str" cm="1">
        <f t="array" ref="O654">_xlfn.SWITCH(Table1[[#This Row],[Month_Number]],
    1,"Q1",2,"Q1",3,"Q1",
    4,"Q2",5,"Q2",6,"Q2",
    7,"Q3",8,"Q3",9,"Q3",
    10,"Q4",11,"Q4",12,"Q4",
    "Invalid Month"
)</f>
        <v>Q3</v>
      </c>
      <c r="P654" t="str">
        <f>TEXT(Table1[[#This Row],[Last_Restock_Date]],"mmm")</f>
        <v>Jul</v>
      </c>
    </row>
    <row r="655" spans="1:16" x14ac:dyDescent="0.25">
      <c r="A655">
        <v>654</v>
      </c>
      <c r="B655" s="5" t="s">
        <v>38</v>
      </c>
      <c r="C655" s="5" t="s">
        <v>26</v>
      </c>
      <c r="D655" s="5" t="s">
        <v>12</v>
      </c>
      <c r="E655" s="5" t="s">
        <v>13</v>
      </c>
      <c r="F655" s="2">
        <v>259</v>
      </c>
      <c r="G655" s="3">
        <v>395.04</v>
      </c>
      <c r="H655">
        <v>85</v>
      </c>
      <c r="I655">
        <f>IF(Table1[[#This Row],[Status]]= "Sufficient",
     Table1[[#This Row],[Stock_Quantity]] - Table1[[#This Row],[Reorder_Level]],
     0)</f>
        <v>174</v>
      </c>
      <c r="J655" s="4">
        <v>44991</v>
      </c>
      <c r="K655" s="5" t="s">
        <v>14</v>
      </c>
      <c r="L655">
        <f>YEAR(Table1[[#This Row],[Last_Restock_Date]])</f>
        <v>2023</v>
      </c>
      <c r="M655" t="str">
        <f>_xlfn.CONCAT(TEXT(Table1[[#This Row],[Last_Restock_Date]],"mmm"), "-", YEAR(Table1[[#This Row],[Last_Restock_Date]]))</f>
        <v>Mar-2023</v>
      </c>
      <c r="N655">
        <f>MONTH(Table1[[#This Row],[Last_Restock_Date]])</f>
        <v>3</v>
      </c>
      <c r="O655" t="str" cm="1">
        <f t="array" ref="O655">_xlfn.SWITCH(Table1[[#This Row],[Month_Number]],
    1,"Q1",2,"Q1",3,"Q1",
    4,"Q2",5,"Q2",6,"Q2",
    7,"Q3",8,"Q3",9,"Q3",
    10,"Q4",11,"Q4",12,"Q4",
    "Invalid Month"
)</f>
        <v>Q1</v>
      </c>
      <c r="P655" t="str">
        <f>TEXT(Table1[[#This Row],[Last_Restock_Date]],"mmm")</f>
        <v>Mar</v>
      </c>
    </row>
    <row r="656" spans="1:16" x14ac:dyDescent="0.25">
      <c r="A656">
        <v>655</v>
      </c>
      <c r="B656" s="5" t="s">
        <v>23</v>
      </c>
      <c r="C656" s="5" t="s">
        <v>20</v>
      </c>
      <c r="D656" s="5" t="s">
        <v>17</v>
      </c>
      <c r="E656" s="5" t="s">
        <v>32</v>
      </c>
      <c r="F656" s="2">
        <v>482</v>
      </c>
      <c r="G656" s="3">
        <v>314.48</v>
      </c>
      <c r="H656">
        <v>149</v>
      </c>
      <c r="I656">
        <f>IF(Table1[[#This Row],[Status]]= "Sufficient",
     Table1[[#This Row],[Stock_Quantity]] - Table1[[#This Row],[Reorder_Level]],
     0)</f>
        <v>333</v>
      </c>
      <c r="J656" s="4">
        <v>45209</v>
      </c>
      <c r="K656" s="5" t="s">
        <v>14</v>
      </c>
      <c r="L656">
        <f>YEAR(Table1[[#This Row],[Last_Restock_Date]])</f>
        <v>2023</v>
      </c>
      <c r="M656" t="str">
        <f>_xlfn.CONCAT(TEXT(Table1[[#This Row],[Last_Restock_Date]],"mmm"), "-", YEAR(Table1[[#This Row],[Last_Restock_Date]]))</f>
        <v>Oct-2023</v>
      </c>
      <c r="N656">
        <f>MONTH(Table1[[#This Row],[Last_Restock_Date]])</f>
        <v>10</v>
      </c>
      <c r="O656" t="str" cm="1">
        <f t="array" ref="O656">_xlfn.SWITCH(Table1[[#This Row],[Month_Number]],
    1,"Q1",2,"Q1",3,"Q1",
    4,"Q2",5,"Q2",6,"Q2",
    7,"Q3",8,"Q3",9,"Q3",
    10,"Q4",11,"Q4",12,"Q4",
    "Invalid Month"
)</f>
        <v>Q4</v>
      </c>
      <c r="P656" t="str">
        <f>TEXT(Table1[[#This Row],[Last_Restock_Date]],"mmm")</f>
        <v>Oct</v>
      </c>
    </row>
    <row r="657" spans="1:16" x14ac:dyDescent="0.25">
      <c r="A657">
        <v>656</v>
      </c>
      <c r="B657" s="5" t="s">
        <v>22</v>
      </c>
      <c r="C657" s="5" t="s">
        <v>11</v>
      </c>
      <c r="D657" s="5" t="s">
        <v>12</v>
      </c>
      <c r="E657" s="5" t="s">
        <v>27</v>
      </c>
      <c r="F657" s="2">
        <v>225</v>
      </c>
      <c r="G657" s="3">
        <v>700.31</v>
      </c>
      <c r="H657">
        <v>128</v>
      </c>
      <c r="I657">
        <f>IF(Table1[[#This Row],[Status]]= "Sufficient",
     Table1[[#This Row],[Stock_Quantity]] - Table1[[#This Row],[Reorder_Level]],
     0)</f>
        <v>97</v>
      </c>
      <c r="J657" s="4">
        <v>45379</v>
      </c>
      <c r="K657" s="5" t="s">
        <v>14</v>
      </c>
      <c r="L657">
        <f>YEAR(Table1[[#This Row],[Last_Restock_Date]])</f>
        <v>2024</v>
      </c>
      <c r="M657" t="str">
        <f>_xlfn.CONCAT(TEXT(Table1[[#This Row],[Last_Restock_Date]],"mmm"), "-", YEAR(Table1[[#This Row],[Last_Restock_Date]]))</f>
        <v>Mar-2024</v>
      </c>
      <c r="N657">
        <f>MONTH(Table1[[#This Row],[Last_Restock_Date]])</f>
        <v>3</v>
      </c>
      <c r="O657" t="str" cm="1">
        <f t="array" ref="O657">_xlfn.SWITCH(Table1[[#This Row],[Month_Number]],
    1,"Q1",2,"Q1",3,"Q1",
    4,"Q2",5,"Q2",6,"Q2",
    7,"Q3",8,"Q3",9,"Q3",
    10,"Q4",11,"Q4",12,"Q4",
    "Invalid Month"
)</f>
        <v>Q1</v>
      </c>
      <c r="P657" t="str">
        <f>TEXT(Table1[[#This Row],[Last_Restock_Date]],"mmm")</f>
        <v>Mar</v>
      </c>
    </row>
    <row r="658" spans="1:16" x14ac:dyDescent="0.25">
      <c r="A658">
        <v>657</v>
      </c>
      <c r="B658" s="5" t="s">
        <v>51</v>
      </c>
      <c r="C658" s="5" t="s">
        <v>11</v>
      </c>
      <c r="D658" s="5" t="s">
        <v>21</v>
      </c>
      <c r="E658" s="5" t="s">
        <v>18</v>
      </c>
      <c r="F658" s="2">
        <v>7</v>
      </c>
      <c r="G658" s="3">
        <v>421.06</v>
      </c>
      <c r="H658">
        <v>112</v>
      </c>
      <c r="I658">
        <f>IF(Table1[[#This Row],[Status]]= "Sufficient",
     Table1[[#This Row],[Stock_Quantity]] - Table1[[#This Row],[Reorder_Level]],
     0)</f>
        <v>0</v>
      </c>
      <c r="J658" s="4">
        <v>45697</v>
      </c>
      <c r="K658" s="5" t="s">
        <v>28</v>
      </c>
      <c r="L658">
        <f>YEAR(Table1[[#This Row],[Last_Restock_Date]])</f>
        <v>2025</v>
      </c>
      <c r="M658" t="str">
        <f>_xlfn.CONCAT(TEXT(Table1[[#This Row],[Last_Restock_Date]],"mmm"), "-", YEAR(Table1[[#This Row],[Last_Restock_Date]]))</f>
        <v>Feb-2025</v>
      </c>
      <c r="N658">
        <f>MONTH(Table1[[#This Row],[Last_Restock_Date]])</f>
        <v>2</v>
      </c>
      <c r="O658" t="str" cm="1">
        <f t="array" ref="O658">_xlfn.SWITCH(Table1[[#This Row],[Month_Number]],
    1,"Q1",2,"Q1",3,"Q1",
    4,"Q2",5,"Q2",6,"Q2",
    7,"Q3",8,"Q3",9,"Q3",
    10,"Q4",11,"Q4",12,"Q4",
    "Invalid Month"
)</f>
        <v>Q1</v>
      </c>
      <c r="P658" t="str">
        <f>TEXT(Table1[[#This Row],[Last_Restock_Date]],"mmm")</f>
        <v>Feb</v>
      </c>
    </row>
    <row r="659" spans="1:16" x14ac:dyDescent="0.25">
      <c r="A659">
        <v>658</v>
      </c>
      <c r="B659" s="5" t="s">
        <v>19</v>
      </c>
      <c r="C659" s="5" t="s">
        <v>20</v>
      </c>
      <c r="D659" s="5" t="s">
        <v>21</v>
      </c>
      <c r="E659" s="5" t="s">
        <v>27</v>
      </c>
      <c r="F659" s="2">
        <v>23</v>
      </c>
      <c r="G659" s="3">
        <v>93.8</v>
      </c>
      <c r="H659">
        <v>85</v>
      </c>
      <c r="I659">
        <f>IF(Table1[[#This Row],[Status]]= "Sufficient",
     Table1[[#This Row],[Stock_Quantity]] - Table1[[#This Row],[Reorder_Level]],
     0)</f>
        <v>0</v>
      </c>
      <c r="J659" s="4">
        <v>45004</v>
      </c>
      <c r="K659" s="5" t="s">
        <v>28</v>
      </c>
      <c r="L659">
        <f>YEAR(Table1[[#This Row],[Last_Restock_Date]])</f>
        <v>2023</v>
      </c>
      <c r="M659" t="str">
        <f>_xlfn.CONCAT(TEXT(Table1[[#This Row],[Last_Restock_Date]],"mmm"), "-", YEAR(Table1[[#This Row],[Last_Restock_Date]]))</f>
        <v>Mar-2023</v>
      </c>
      <c r="N659">
        <f>MONTH(Table1[[#This Row],[Last_Restock_Date]])</f>
        <v>3</v>
      </c>
      <c r="O659" t="str" cm="1">
        <f t="array" ref="O659">_xlfn.SWITCH(Table1[[#This Row],[Month_Number]],
    1,"Q1",2,"Q1",3,"Q1",
    4,"Q2",5,"Q2",6,"Q2",
    7,"Q3",8,"Q3",9,"Q3",
    10,"Q4",11,"Q4",12,"Q4",
    "Invalid Month"
)</f>
        <v>Q1</v>
      </c>
      <c r="P659" t="str">
        <f>TEXT(Table1[[#This Row],[Last_Restock_Date]],"mmm")</f>
        <v>Mar</v>
      </c>
    </row>
    <row r="660" spans="1:16" x14ac:dyDescent="0.25">
      <c r="A660">
        <v>659</v>
      </c>
      <c r="B660" s="5" t="s">
        <v>33</v>
      </c>
      <c r="C660" s="5" t="s">
        <v>34</v>
      </c>
      <c r="D660" s="5" t="s">
        <v>12</v>
      </c>
      <c r="E660" s="5" t="s">
        <v>37</v>
      </c>
      <c r="F660" s="2">
        <v>87</v>
      </c>
      <c r="G660" s="3">
        <v>609.22</v>
      </c>
      <c r="H660">
        <v>53</v>
      </c>
      <c r="I660">
        <f>IF(Table1[[#This Row],[Status]]= "Sufficient",
     Table1[[#This Row],[Stock_Quantity]] - Table1[[#This Row],[Reorder_Level]],
     0)</f>
        <v>34</v>
      </c>
      <c r="J660" s="4">
        <v>45493</v>
      </c>
      <c r="K660" s="5" t="s">
        <v>14</v>
      </c>
      <c r="L660">
        <f>YEAR(Table1[[#This Row],[Last_Restock_Date]])</f>
        <v>2024</v>
      </c>
      <c r="M660" t="str">
        <f>_xlfn.CONCAT(TEXT(Table1[[#This Row],[Last_Restock_Date]],"mmm"), "-", YEAR(Table1[[#This Row],[Last_Restock_Date]]))</f>
        <v>Jul-2024</v>
      </c>
      <c r="N660">
        <f>MONTH(Table1[[#This Row],[Last_Restock_Date]])</f>
        <v>7</v>
      </c>
      <c r="O660" t="str" cm="1">
        <f t="array" ref="O660">_xlfn.SWITCH(Table1[[#This Row],[Month_Number]],
    1,"Q1",2,"Q1",3,"Q1",
    4,"Q2",5,"Q2",6,"Q2",
    7,"Q3",8,"Q3",9,"Q3",
    10,"Q4",11,"Q4",12,"Q4",
    "Invalid Month"
)</f>
        <v>Q3</v>
      </c>
      <c r="P660" t="str">
        <f>TEXT(Table1[[#This Row],[Last_Restock_Date]],"mmm")</f>
        <v>Jul</v>
      </c>
    </row>
    <row r="661" spans="1:16" x14ac:dyDescent="0.25">
      <c r="A661">
        <v>660</v>
      </c>
      <c r="B661" s="5" t="s">
        <v>52</v>
      </c>
      <c r="C661" s="5" t="s">
        <v>16</v>
      </c>
      <c r="D661" s="5" t="s">
        <v>21</v>
      </c>
      <c r="E661" s="5" t="s">
        <v>39</v>
      </c>
      <c r="F661" s="2">
        <v>420</v>
      </c>
      <c r="G661" s="3">
        <v>674.42</v>
      </c>
      <c r="H661">
        <v>65</v>
      </c>
      <c r="I661">
        <f>IF(Table1[[#This Row],[Status]]= "Sufficient",
     Table1[[#This Row],[Stock_Quantity]] - Table1[[#This Row],[Reorder_Level]],
     0)</f>
        <v>355</v>
      </c>
      <c r="J661" s="4">
        <v>45319</v>
      </c>
      <c r="K661" s="5" t="s">
        <v>14</v>
      </c>
      <c r="L661">
        <f>YEAR(Table1[[#This Row],[Last_Restock_Date]])</f>
        <v>2024</v>
      </c>
      <c r="M661" t="str">
        <f>_xlfn.CONCAT(TEXT(Table1[[#This Row],[Last_Restock_Date]],"mmm"), "-", YEAR(Table1[[#This Row],[Last_Restock_Date]]))</f>
        <v>Jan-2024</v>
      </c>
      <c r="N661">
        <f>MONTH(Table1[[#This Row],[Last_Restock_Date]])</f>
        <v>1</v>
      </c>
      <c r="O661" t="str" cm="1">
        <f t="array" ref="O661">_xlfn.SWITCH(Table1[[#This Row],[Month_Number]],
    1,"Q1",2,"Q1",3,"Q1",
    4,"Q2",5,"Q2",6,"Q2",
    7,"Q3",8,"Q3",9,"Q3",
    10,"Q4",11,"Q4",12,"Q4",
    "Invalid Month"
)</f>
        <v>Q1</v>
      </c>
      <c r="P661" t="str">
        <f>TEXT(Table1[[#This Row],[Last_Restock_Date]],"mmm")</f>
        <v>Jan</v>
      </c>
    </row>
    <row r="662" spans="1:16" x14ac:dyDescent="0.25">
      <c r="A662">
        <v>661</v>
      </c>
      <c r="B662" s="5" t="s">
        <v>25</v>
      </c>
      <c r="C662" s="5" t="s">
        <v>26</v>
      </c>
      <c r="D662" s="5" t="s">
        <v>24</v>
      </c>
      <c r="E662" s="5" t="s">
        <v>39</v>
      </c>
      <c r="F662" s="2">
        <v>330</v>
      </c>
      <c r="G662" s="3">
        <v>655.78</v>
      </c>
      <c r="H662">
        <v>55</v>
      </c>
      <c r="I662">
        <f>IF(Table1[[#This Row],[Status]]= "Sufficient",
     Table1[[#This Row],[Stock_Quantity]] - Table1[[#This Row],[Reorder_Level]],
     0)</f>
        <v>275</v>
      </c>
      <c r="J662" s="4">
        <v>44928</v>
      </c>
      <c r="K662" s="5" t="s">
        <v>14</v>
      </c>
      <c r="L662">
        <f>YEAR(Table1[[#This Row],[Last_Restock_Date]])</f>
        <v>2023</v>
      </c>
      <c r="M662" t="str">
        <f>_xlfn.CONCAT(TEXT(Table1[[#This Row],[Last_Restock_Date]],"mmm"), "-", YEAR(Table1[[#This Row],[Last_Restock_Date]]))</f>
        <v>Jan-2023</v>
      </c>
      <c r="N662">
        <f>MONTH(Table1[[#This Row],[Last_Restock_Date]])</f>
        <v>1</v>
      </c>
      <c r="O662" t="str" cm="1">
        <f t="array" ref="O662">_xlfn.SWITCH(Table1[[#This Row],[Month_Number]],
    1,"Q1",2,"Q1",3,"Q1",
    4,"Q2",5,"Q2",6,"Q2",
    7,"Q3",8,"Q3",9,"Q3",
    10,"Q4",11,"Q4",12,"Q4",
    "Invalid Month"
)</f>
        <v>Q1</v>
      </c>
      <c r="P662" t="str">
        <f>TEXT(Table1[[#This Row],[Last_Restock_Date]],"mmm")</f>
        <v>Jan</v>
      </c>
    </row>
    <row r="663" spans="1:16" x14ac:dyDescent="0.25">
      <c r="A663">
        <v>662</v>
      </c>
      <c r="B663" s="5" t="s">
        <v>48</v>
      </c>
      <c r="C663" s="5" t="s">
        <v>20</v>
      </c>
      <c r="D663" s="5" t="s">
        <v>24</v>
      </c>
      <c r="E663" s="5" t="s">
        <v>32</v>
      </c>
      <c r="F663" s="2">
        <v>168</v>
      </c>
      <c r="G663" s="3">
        <v>93.95</v>
      </c>
      <c r="H663">
        <v>50</v>
      </c>
      <c r="I663">
        <f>IF(Table1[[#This Row],[Status]]= "Sufficient",
     Table1[[#This Row],[Stock_Quantity]] - Table1[[#This Row],[Reorder_Level]],
     0)</f>
        <v>118</v>
      </c>
      <c r="J663" s="4">
        <v>45017</v>
      </c>
      <c r="K663" s="5" t="s">
        <v>14</v>
      </c>
      <c r="L663">
        <f>YEAR(Table1[[#This Row],[Last_Restock_Date]])</f>
        <v>2023</v>
      </c>
      <c r="M663" t="str">
        <f>_xlfn.CONCAT(TEXT(Table1[[#This Row],[Last_Restock_Date]],"mmm"), "-", YEAR(Table1[[#This Row],[Last_Restock_Date]]))</f>
        <v>Apr-2023</v>
      </c>
      <c r="N663">
        <f>MONTH(Table1[[#This Row],[Last_Restock_Date]])</f>
        <v>4</v>
      </c>
      <c r="O663" t="str" cm="1">
        <f t="array" ref="O663">_xlfn.SWITCH(Table1[[#This Row],[Month_Number]],
    1,"Q1",2,"Q1",3,"Q1",
    4,"Q2",5,"Q2",6,"Q2",
    7,"Q3",8,"Q3",9,"Q3",
    10,"Q4",11,"Q4",12,"Q4",
    "Invalid Month"
)</f>
        <v>Q2</v>
      </c>
      <c r="P663" t="str">
        <f>TEXT(Table1[[#This Row],[Last_Restock_Date]],"mmm")</f>
        <v>Apr</v>
      </c>
    </row>
    <row r="664" spans="1:16" x14ac:dyDescent="0.25">
      <c r="A664">
        <v>663</v>
      </c>
      <c r="B664" s="5" t="s">
        <v>49</v>
      </c>
      <c r="C664" s="5" t="s">
        <v>16</v>
      </c>
      <c r="D664" s="5" t="s">
        <v>21</v>
      </c>
      <c r="E664" s="5" t="s">
        <v>39</v>
      </c>
      <c r="F664" s="2">
        <v>149</v>
      </c>
      <c r="G664" s="3">
        <v>442.26</v>
      </c>
      <c r="H664">
        <v>133</v>
      </c>
      <c r="I664">
        <f>IF(Table1[[#This Row],[Status]]= "Sufficient",
     Table1[[#This Row],[Stock_Quantity]] - Table1[[#This Row],[Reorder_Level]],
     0)</f>
        <v>16</v>
      </c>
      <c r="J664" s="4">
        <v>45796</v>
      </c>
      <c r="K664" s="5" t="s">
        <v>14</v>
      </c>
      <c r="L664">
        <f>YEAR(Table1[[#This Row],[Last_Restock_Date]])</f>
        <v>2025</v>
      </c>
      <c r="M664" t="str">
        <f>_xlfn.CONCAT(TEXT(Table1[[#This Row],[Last_Restock_Date]],"mmm"), "-", YEAR(Table1[[#This Row],[Last_Restock_Date]]))</f>
        <v>May-2025</v>
      </c>
      <c r="N664">
        <f>MONTH(Table1[[#This Row],[Last_Restock_Date]])</f>
        <v>5</v>
      </c>
      <c r="O664" t="str" cm="1">
        <f t="array" ref="O664">_xlfn.SWITCH(Table1[[#This Row],[Month_Number]],
    1,"Q1",2,"Q1",3,"Q1",
    4,"Q2",5,"Q2",6,"Q2",
    7,"Q3",8,"Q3",9,"Q3",
    10,"Q4",11,"Q4",12,"Q4",
    "Invalid Month"
)</f>
        <v>Q2</v>
      </c>
      <c r="P664" t="str">
        <f>TEXT(Table1[[#This Row],[Last_Restock_Date]],"mmm")</f>
        <v>May</v>
      </c>
    </row>
    <row r="665" spans="1:16" x14ac:dyDescent="0.25">
      <c r="A665">
        <v>664</v>
      </c>
      <c r="B665" s="5" t="s">
        <v>51</v>
      </c>
      <c r="C665" s="5" t="s">
        <v>11</v>
      </c>
      <c r="D665" s="5" t="s">
        <v>17</v>
      </c>
      <c r="E665" s="5" t="s">
        <v>37</v>
      </c>
      <c r="F665" s="2">
        <v>72</v>
      </c>
      <c r="G665" s="3">
        <v>298.60000000000002</v>
      </c>
      <c r="H665">
        <v>121</v>
      </c>
      <c r="I665">
        <f>IF(Table1[[#This Row],[Status]]= "Sufficient",
     Table1[[#This Row],[Stock_Quantity]] - Table1[[#This Row],[Reorder_Level]],
     0)</f>
        <v>0</v>
      </c>
      <c r="J665" s="4">
        <v>45637</v>
      </c>
      <c r="K665" s="5" t="s">
        <v>28</v>
      </c>
      <c r="L665">
        <f>YEAR(Table1[[#This Row],[Last_Restock_Date]])</f>
        <v>2024</v>
      </c>
      <c r="M665" t="str">
        <f>_xlfn.CONCAT(TEXT(Table1[[#This Row],[Last_Restock_Date]],"mmm"), "-", YEAR(Table1[[#This Row],[Last_Restock_Date]]))</f>
        <v>Dec-2024</v>
      </c>
      <c r="N665">
        <f>MONTH(Table1[[#This Row],[Last_Restock_Date]])</f>
        <v>12</v>
      </c>
      <c r="O665" t="str" cm="1">
        <f t="array" ref="O665">_xlfn.SWITCH(Table1[[#This Row],[Month_Number]],
    1,"Q1",2,"Q1",3,"Q1",
    4,"Q2",5,"Q2",6,"Q2",
    7,"Q3",8,"Q3",9,"Q3",
    10,"Q4",11,"Q4",12,"Q4",
    "Invalid Month"
)</f>
        <v>Q4</v>
      </c>
      <c r="P665" t="str">
        <f>TEXT(Table1[[#This Row],[Last_Restock_Date]],"mmm")</f>
        <v>Dec</v>
      </c>
    </row>
    <row r="666" spans="1:16" x14ac:dyDescent="0.25">
      <c r="A666">
        <v>665</v>
      </c>
      <c r="B666" s="5" t="s">
        <v>41</v>
      </c>
      <c r="C666" s="5" t="s">
        <v>16</v>
      </c>
      <c r="D666" s="5" t="s">
        <v>12</v>
      </c>
      <c r="E666" s="5" t="s">
        <v>18</v>
      </c>
      <c r="F666" s="2">
        <v>294</v>
      </c>
      <c r="G666" s="3">
        <v>53.3</v>
      </c>
      <c r="H666">
        <v>92</v>
      </c>
      <c r="I666">
        <f>IF(Table1[[#This Row],[Status]]= "Sufficient",
     Table1[[#This Row],[Stock_Quantity]] - Table1[[#This Row],[Reorder_Level]],
     0)</f>
        <v>202</v>
      </c>
      <c r="J666" s="4">
        <v>45422</v>
      </c>
      <c r="K666" s="5" t="s">
        <v>14</v>
      </c>
      <c r="L666">
        <f>YEAR(Table1[[#This Row],[Last_Restock_Date]])</f>
        <v>2024</v>
      </c>
      <c r="M666" t="str">
        <f>_xlfn.CONCAT(TEXT(Table1[[#This Row],[Last_Restock_Date]],"mmm"), "-", YEAR(Table1[[#This Row],[Last_Restock_Date]]))</f>
        <v>May-2024</v>
      </c>
      <c r="N666">
        <f>MONTH(Table1[[#This Row],[Last_Restock_Date]])</f>
        <v>5</v>
      </c>
      <c r="O666" t="str" cm="1">
        <f t="array" ref="O666">_xlfn.SWITCH(Table1[[#This Row],[Month_Number]],
    1,"Q1",2,"Q1",3,"Q1",
    4,"Q2",5,"Q2",6,"Q2",
    7,"Q3",8,"Q3",9,"Q3",
    10,"Q4",11,"Q4",12,"Q4",
    "Invalid Month"
)</f>
        <v>Q2</v>
      </c>
      <c r="P666" t="str">
        <f>TEXT(Table1[[#This Row],[Last_Restock_Date]],"mmm")</f>
        <v>May</v>
      </c>
    </row>
    <row r="667" spans="1:16" x14ac:dyDescent="0.25">
      <c r="A667">
        <v>666</v>
      </c>
      <c r="B667" s="5" t="s">
        <v>36</v>
      </c>
      <c r="C667" s="5" t="s">
        <v>11</v>
      </c>
      <c r="D667" s="5" t="s">
        <v>12</v>
      </c>
      <c r="E667" s="5" t="s">
        <v>13</v>
      </c>
      <c r="F667" s="2">
        <v>337</v>
      </c>
      <c r="G667" s="3">
        <v>512.82000000000005</v>
      </c>
      <c r="H667">
        <v>94</v>
      </c>
      <c r="I667">
        <f>IF(Table1[[#This Row],[Status]]= "Sufficient",
     Table1[[#This Row],[Stock_Quantity]] - Table1[[#This Row],[Reorder_Level]],
     0)</f>
        <v>243</v>
      </c>
      <c r="J667" s="4">
        <v>45486</v>
      </c>
      <c r="K667" s="5" t="s">
        <v>14</v>
      </c>
      <c r="L667">
        <f>YEAR(Table1[[#This Row],[Last_Restock_Date]])</f>
        <v>2024</v>
      </c>
      <c r="M667" t="str">
        <f>_xlfn.CONCAT(TEXT(Table1[[#This Row],[Last_Restock_Date]],"mmm"), "-", YEAR(Table1[[#This Row],[Last_Restock_Date]]))</f>
        <v>Jul-2024</v>
      </c>
      <c r="N667">
        <f>MONTH(Table1[[#This Row],[Last_Restock_Date]])</f>
        <v>7</v>
      </c>
      <c r="O667" t="str" cm="1">
        <f t="array" ref="O667">_xlfn.SWITCH(Table1[[#This Row],[Month_Number]],
    1,"Q1",2,"Q1",3,"Q1",
    4,"Q2",5,"Q2",6,"Q2",
    7,"Q3",8,"Q3",9,"Q3",
    10,"Q4",11,"Q4",12,"Q4",
    "Invalid Month"
)</f>
        <v>Q3</v>
      </c>
      <c r="P667" t="str">
        <f>TEXT(Table1[[#This Row],[Last_Restock_Date]],"mmm")</f>
        <v>Jul</v>
      </c>
    </row>
    <row r="668" spans="1:16" x14ac:dyDescent="0.25">
      <c r="A668">
        <v>667</v>
      </c>
      <c r="B668" s="5" t="s">
        <v>25</v>
      </c>
      <c r="C668" s="5" t="s">
        <v>26</v>
      </c>
      <c r="D668" s="5" t="s">
        <v>12</v>
      </c>
      <c r="E668" s="5" t="s">
        <v>32</v>
      </c>
      <c r="F668" s="2">
        <v>330</v>
      </c>
      <c r="G668" s="3">
        <v>774.92</v>
      </c>
      <c r="H668">
        <v>140</v>
      </c>
      <c r="I668">
        <f>IF(Table1[[#This Row],[Status]]= "Sufficient",
     Table1[[#This Row],[Stock_Quantity]] - Table1[[#This Row],[Reorder_Level]],
     0)</f>
        <v>190</v>
      </c>
      <c r="J668" s="4">
        <v>45803</v>
      </c>
      <c r="K668" s="5" t="s">
        <v>14</v>
      </c>
      <c r="L668">
        <f>YEAR(Table1[[#This Row],[Last_Restock_Date]])</f>
        <v>2025</v>
      </c>
      <c r="M668" t="str">
        <f>_xlfn.CONCAT(TEXT(Table1[[#This Row],[Last_Restock_Date]],"mmm"), "-", YEAR(Table1[[#This Row],[Last_Restock_Date]]))</f>
        <v>May-2025</v>
      </c>
      <c r="N668">
        <f>MONTH(Table1[[#This Row],[Last_Restock_Date]])</f>
        <v>5</v>
      </c>
      <c r="O668" t="str" cm="1">
        <f t="array" ref="O668">_xlfn.SWITCH(Table1[[#This Row],[Month_Number]],
    1,"Q1",2,"Q1",3,"Q1",
    4,"Q2",5,"Q2",6,"Q2",
    7,"Q3",8,"Q3",9,"Q3",
    10,"Q4",11,"Q4",12,"Q4",
    "Invalid Month"
)</f>
        <v>Q2</v>
      </c>
      <c r="P668" t="str">
        <f>TEXT(Table1[[#This Row],[Last_Restock_Date]],"mmm")</f>
        <v>May</v>
      </c>
    </row>
    <row r="669" spans="1:16" x14ac:dyDescent="0.25">
      <c r="A669">
        <v>668</v>
      </c>
      <c r="B669" s="5" t="s">
        <v>54</v>
      </c>
      <c r="C669" s="5" t="s">
        <v>20</v>
      </c>
      <c r="D669" s="5" t="s">
        <v>17</v>
      </c>
      <c r="E669" s="5" t="s">
        <v>37</v>
      </c>
      <c r="F669" s="2">
        <v>417</v>
      </c>
      <c r="G669" s="3">
        <v>490.88</v>
      </c>
      <c r="H669">
        <v>64</v>
      </c>
      <c r="I669">
        <f>IF(Table1[[#This Row],[Status]]= "Sufficient",
     Table1[[#This Row],[Stock_Quantity]] - Table1[[#This Row],[Reorder_Level]],
     0)</f>
        <v>353</v>
      </c>
      <c r="J669" s="4">
        <v>45608</v>
      </c>
      <c r="K669" s="5" t="s">
        <v>14</v>
      </c>
      <c r="L669">
        <f>YEAR(Table1[[#This Row],[Last_Restock_Date]])</f>
        <v>2024</v>
      </c>
      <c r="M669" t="str">
        <f>_xlfn.CONCAT(TEXT(Table1[[#This Row],[Last_Restock_Date]],"mmm"), "-", YEAR(Table1[[#This Row],[Last_Restock_Date]]))</f>
        <v>Nov-2024</v>
      </c>
      <c r="N669">
        <f>MONTH(Table1[[#This Row],[Last_Restock_Date]])</f>
        <v>11</v>
      </c>
      <c r="O669" t="str" cm="1">
        <f t="array" ref="O669">_xlfn.SWITCH(Table1[[#This Row],[Month_Number]],
    1,"Q1",2,"Q1",3,"Q1",
    4,"Q2",5,"Q2",6,"Q2",
    7,"Q3",8,"Q3",9,"Q3",
    10,"Q4",11,"Q4",12,"Q4",
    "Invalid Month"
)</f>
        <v>Q4</v>
      </c>
      <c r="P669" t="str">
        <f>TEXT(Table1[[#This Row],[Last_Restock_Date]],"mmm")</f>
        <v>Nov</v>
      </c>
    </row>
    <row r="670" spans="1:16" x14ac:dyDescent="0.25">
      <c r="A670">
        <v>669</v>
      </c>
      <c r="B670" s="5" t="s">
        <v>43</v>
      </c>
      <c r="C670" s="5" t="s">
        <v>26</v>
      </c>
      <c r="D670" s="5" t="s">
        <v>21</v>
      </c>
      <c r="E670" s="5" t="s">
        <v>13</v>
      </c>
      <c r="F670" s="2">
        <v>94</v>
      </c>
      <c r="G670" s="3">
        <v>462.35</v>
      </c>
      <c r="H670">
        <v>89</v>
      </c>
      <c r="I670">
        <f>IF(Table1[[#This Row],[Status]]= "Sufficient",
     Table1[[#This Row],[Stock_Quantity]] - Table1[[#This Row],[Reorder_Level]],
     0)</f>
        <v>5</v>
      </c>
      <c r="J670" s="4">
        <v>45616</v>
      </c>
      <c r="K670" s="5" t="s">
        <v>14</v>
      </c>
      <c r="L670">
        <f>YEAR(Table1[[#This Row],[Last_Restock_Date]])</f>
        <v>2024</v>
      </c>
      <c r="M670" t="str">
        <f>_xlfn.CONCAT(TEXT(Table1[[#This Row],[Last_Restock_Date]],"mmm"), "-", YEAR(Table1[[#This Row],[Last_Restock_Date]]))</f>
        <v>Nov-2024</v>
      </c>
      <c r="N670">
        <f>MONTH(Table1[[#This Row],[Last_Restock_Date]])</f>
        <v>11</v>
      </c>
      <c r="O670" t="str" cm="1">
        <f t="array" ref="O670">_xlfn.SWITCH(Table1[[#This Row],[Month_Number]],
    1,"Q1",2,"Q1",3,"Q1",
    4,"Q2",5,"Q2",6,"Q2",
    7,"Q3",8,"Q3",9,"Q3",
    10,"Q4",11,"Q4",12,"Q4",
    "Invalid Month"
)</f>
        <v>Q4</v>
      </c>
      <c r="P670" t="str">
        <f>TEXT(Table1[[#This Row],[Last_Restock_Date]],"mmm")</f>
        <v>Nov</v>
      </c>
    </row>
    <row r="671" spans="1:16" x14ac:dyDescent="0.25">
      <c r="A671">
        <v>670</v>
      </c>
      <c r="B671" s="5" t="s">
        <v>25</v>
      </c>
      <c r="C671" s="5" t="s">
        <v>26</v>
      </c>
      <c r="D671" s="5" t="s">
        <v>17</v>
      </c>
      <c r="E671" s="5" t="s">
        <v>13</v>
      </c>
      <c r="F671" s="2">
        <v>67</v>
      </c>
      <c r="G671" s="3">
        <v>298.58999999999997</v>
      </c>
      <c r="H671">
        <v>144</v>
      </c>
      <c r="I671">
        <f>IF(Table1[[#This Row],[Status]]= "Sufficient",
     Table1[[#This Row],[Stock_Quantity]] - Table1[[#This Row],[Reorder_Level]],
     0)</f>
        <v>0</v>
      </c>
      <c r="J671" s="4">
        <v>45340</v>
      </c>
      <c r="K671" s="5" t="s">
        <v>28</v>
      </c>
      <c r="L671">
        <f>YEAR(Table1[[#This Row],[Last_Restock_Date]])</f>
        <v>2024</v>
      </c>
      <c r="M671" t="str">
        <f>_xlfn.CONCAT(TEXT(Table1[[#This Row],[Last_Restock_Date]],"mmm"), "-", YEAR(Table1[[#This Row],[Last_Restock_Date]]))</f>
        <v>Feb-2024</v>
      </c>
      <c r="N671">
        <f>MONTH(Table1[[#This Row],[Last_Restock_Date]])</f>
        <v>2</v>
      </c>
      <c r="O671" t="str" cm="1">
        <f t="array" ref="O671">_xlfn.SWITCH(Table1[[#This Row],[Month_Number]],
    1,"Q1",2,"Q1",3,"Q1",
    4,"Q2",5,"Q2",6,"Q2",
    7,"Q3",8,"Q3",9,"Q3",
    10,"Q4",11,"Q4",12,"Q4",
    "Invalid Month"
)</f>
        <v>Q1</v>
      </c>
      <c r="P671" t="str">
        <f>TEXT(Table1[[#This Row],[Last_Restock_Date]],"mmm")</f>
        <v>Feb</v>
      </c>
    </row>
    <row r="672" spans="1:16" x14ac:dyDescent="0.25">
      <c r="A672">
        <v>671</v>
      </c>
      <c r="B672" s="5" t="s">
        <v>29</v>
      </c>
      <c r="C672" s="5" t="s">
        <v>16</v>
      </c>
      <c r="D672" s="5" t="s">
        <v>17</v>
      </c>
      <c r="E672" s="5" t="s">
        <v>18</v>
      </c>
      <c r="F672" s="2">
        <v>102</v>
      </c>
      <c r="G672" s="3">
        <v>300.10000000000002</v>
      </c>
      <c r="H672">
        <v>92</v>
      </c>
      <c r="I672">
        <f>IF(Table1[[#This Row],[Status]]= "Sufficient",
     Table1[[#This Row],[Stock_Quantity]] - Table1[[#This Row],[Reorder_Level]],
     0)</f>
        <v>10</v>
      </c>
      <c r="J672" s="4">
        <v>45882</v>
      </c>
      <c r="K672" s="5" t="s">
        <v>14</v>
      </c>
      <c r="L672">
        <f>YEAR(Table1[[#This Row],[Last_Restock_Date]])</f>
        <v>2025</v>
      </c>
      <c r="M672" t="str">
        <f>_xlfn.CONCAT(TEXT(Table1[[#This Row],[Last_Restock_Date]],"mmm"), "-", YEAR(Table1[[#This Row],[Last_Restock_Date]]))</f>
        <v>Aug-2025</v>
      </c>
      <c r="N672">
        <f>MONTH(Table1[[#This Row],[Last_Restock_Date]])</f>
        <v>8</v>
      </c>
      <c r="O672" t="str" cm="1">
        <f t="array" ref="O672">_xlfn.SWITCH(Table1[[#This Row],[Month_Number]],
    1,"Q1",2,"Q1",3,"Q1",
    4,"Q2",5,"Q2",6,"Q2",
    7,"Q3",8,"Q3",9,"Q3",
    10,"Q4",11,"Q4",12,"Q4",
    "Invalid Month"
)</f>
        <v>Q3</v>
      </c>
      <c r="P672" t="str">
        <f>TEXT(Table1[[#This Row],[Last_Restock_Date]],"mmm")</f>
        <v>Aug</v>
      </c>
    </row>
    <row r="673" spans="1:16" x14ac:dyDescent="0.25">
      <c r="A673">
        <v>672</v>
      </c>
      <c r="B673" s="5" t="s">
        <v>23</v>
      </c>
      <c r="C673" s="5" t="s">
        <v>20</v>
      </c>
      <c r="D673" s="5" t="s">
        <v>12</v>
      </c>
      <c r="E673" s="5" t="s">
        <v>37</v>
      </c>
      <c r="F673" s="2">
        <v>35</v>
      </c>
      <c r="G673" s="3">
        <v>466.56</v>
      </c>
      <c r="H673">
        <v>65</v>
      </c>
      <c r="I673">
        <f>IF(Table1[[#This Row],[Status]]= "Sufficient",
     Table1[[#This Row],[Stock_Quantity]] - Table1[[#This Row],[Reorder_Level]],
     0)</f>
        <v>0</v>
      </c>
      <c r="J673" s="4">
        <v>45604</v>
      </c>
      <c r="K673" s="5" t="s">
        <v>28</v>
      </c>
      <c r="L673">
        <f>YEAR(Table1[[#This Row],[Last_Restock_Date]])</f>
        <v>2024</v>
      </c>
      <c r="M673" t="str">
        <f>_xlfn.CONCAT(TEXT(Table1[[#This Row],[Last_Restock_Date]],"mmm"), "-", YEAR(Table1[[#This Row],[Last_Restock_Date]]))</f>
        <v>Nov-2024</v>
      </c>
      <c r="N673">
        <f>MONTH(Table1[[#This Row],[Last_Restock_Date]])</f>
        <v>11</v>
      </c>
      <c r="O673" t="str" cm="1">
        <f t="array" ref="O673">_xlfn.SWITCH(Table1[[#This Row],[Month_Number]],
    1,"Q1",2,"Q1",3,"Q1",
    4,"Q2",5,"Q2",6,"Q2",
    7,"Q3",8,"Q3",9,"Q3",
    10,"Q4",11,"Q4",12,"Q4",
    "Invalid Month"
)</f>
        <v>Q4</v>
      </c>
      <c r="P673" t="str">
        <f>TEXT(Table1[[#This Row],[Last_Restock_Date]],"mmm")</f>
        <v>Nov</v>
      </c>
    </row>
    <row r="674" spans="1:16" x14ac:dyDescent="0.25">
      <c r="A674">
        <v>673</v>
      </c>
      <c r="B674" s="5" t="s">
        <v>49</v>
      </c>
      <c r="C674" s="5" t="s">
        <v>16</v>
      </c>
      <c r="D674" s="5" t="s">
        <v>21</v>
      </c>
      <c r="E674" s="5" t="s">
        <v>18</v>
      </c>
      <c r="F674" s="2">
        <v>258</v>
      </c>
      <c r="G674" s="3">
        <v>234.47</v>
      </c>
      <c r="H674">
        <v>140</v>
      </c>
      <c r="I674">
        <f>IF(Table1[[#This Row],[Status]]= "Sufficient",
     Table1[[#This Row],[Stock_Quantity]] - Table1[[#This Row],[Reorder_Level]],
     0)</f>
        <v>118</v>
      </c>
      <c r="J674" s="4">
        <v>45652</v>
      </c>
      <c r="K674" s="5" t="s">
        <v>14</v>
      </c>
      <c r="L674">
        <f>YEAR(Table1[[#This Row],[Last_Restock_Date]])</f>
        <v>2024</v>
      </c>
      <c r="M674" t="str">
        <f>_xlfn.CONCAT(TEXT(Table1[[#This Row],[Last_Restock_Date]],"mmm"), "-", YEAR(Table1[[#This Row],[Last_Restock_Date]]))</f>
        <v>Dec-2024</v>
      </c>
      <c r="N674">
        <f>MONTH(Table1[[#This Row],[Last_Restock_Date]])</f>
        <v>12</v>
      </c>
      <c r="O674" t="str" cm="1">
        <f t="array" ref="O674">_xlfn.SWITCH(Table1[[#This Row],[Month_Number]],
    1,"Q1",2,"Q1",3,"Q1",
    4,"Q2",5,"Q2",6,"Q2",
    7,"Q3",8,"Q3",9,"Q3",
    10,"Q4",11,"Q4",12,"Q4",
    "Invalid Month"
)</f>
        <v>Q4</v>
      </c>
      <c r="P674" t="str">
        <f>TEXT(Table1[[#This Row],[Last_Restock_Date]],"mmm")</f>
        <v>Dec</v>
      </c>
    </row>
    <row r="675" spans="1:16" x14ac:dyDescent="0.25">
      <c r="A675">
        <v>674</v>
      </c>
      <c r="B675" s="5" t="s">
        <v>25</v>
      </c>
      <c r="C675" s="5" t="s">
        <v>26</v>
      </c>
      <c r="D675" s="5" t="s">
        <v>30</v>
      </c>
      <c r="E675" s="5" t="s">
        <v>18</v>
      </c>
      <c r="F675" s="2">
        <v>221</v>
      </c>
      <c r="G675" s="3">
        <v>725.24</v>
      </c>
      <c r="H675">
        <v>104</v>
      </c>
      <c r="I675">
        <f>IF(Table1[[#This Row],[Status]]= "Sufficient",
     Table1[[#This Row],[Stock_Quantity]] - Table1[[#This Row],[Reorder_Level]],
     0)</f>
        <v>117</v>
      </c>
      <c r="J675" s="4">
        <v>45284</v>
      </c>
      <c r="K675" s="5" t="s">
        <v>14</v>
      </c>
      <c r="L675">
        <f>YEAR(Table1[[#This Row],[Last_Restock_Date]])</f>
        <v>2023</v>
      </c>
      <c r="M675" t="str">
        <f>_xlfn.CONCAT(TEXT(Table1[[#This Row],[Last_Restock_Date]],"mmm"), "-", YEAR(Table1[[#This Row],[Last_Restock_Date]]))</f>
        <v>Dec-2023</v>
      </c>
      <c r="N675">
        <f>MONTH(Table1[[#This Row],[Last_Restock_Date]])</f>
        <v>12</v>
      </c>
      <c r="O675" t="str" cm="1">
        <f t="array" ref="O675">_xlfn.SWITCH(Table1[[#This Row],[Month_Number]],
    1,"Q1",2,"Q1",3,"Q1",
    4,"Q2",5,"Q2",6,"Q2",
    7,"Q3",8,"Q3",9,"Q3",
    10,"Q4",11,"Q4",12,"Q4",
    "Invalid Month"
)</f>
        <v>Q4</v>
      </c>
      <c r="P675" t="str">
        <f>TEXT(Table1[[#This Row],[Last_Restock_Date]],"mmm")</f>
        <v>Dec</v>
      </c>
    </row>
    <row r="676" spans="1:16" x14ac:dyDescent="0.25">
      <c r="A676">
        <v>675</v>
      </c>
      <c r="B676" s="5" t="s">
        <v>15</v>
      </c>
      <c r="C676" s="5" t="s">
        <v>16</v>
      </c>
      <c r="D676" s="5" t="s">
        <v>21</v>
      </c>
      <c r="E676" s="5" t="s">
        <v>18</v>
      </c>
      <c r="F676" s="2">
        <v>390</v>
      </c>
      <c r="G676" s="3">
        <v>151.04</v>
      </c>
      <c r="H676">
        <v>113</v>
      </c>
      <c r="I676">
        <f>IF(Table1[[#This Row],[Status]]= "Sufficient",
     Table1[[#This Row],[Stock_Quantity]] - Table1[[#This Row],[Reorder_Level]],
     0)</f>
        <v>277</v>
      </c>
      <c r="J676" s="4">
        <v>45134</v>
      </c>
      <c r="K676" s="5" t="s">
        <v>14</v>
      </c>
      <c r="L676">
        <f>YEAR(Table1[[#This Row],[Last_Restock_Date]])</f>
        <v>2023</v>
      </c>
      <c r="M676" t="str">
        <f>_xlfn.CONCAT(TEXT(Table1[[#This Row],[Last_Restock_Date]],"mmm"), "-", YEAR(Table1[[#This Row],[Last_Restock_Date]]))</f>
        <v>Jul-2023</v>
      </c>
      <c r="N676">
        <f>MONTH(Table1[[#This Row],[Last_Restock_Date]])</f>
        <v>7</v>
      </c>
      <c r="O676" t="str" cm="1">
        <f t="array" ref="O676">_xlfn.SWITCH(Table1[[#This Row],[Month_Number]],
    1,"Q1",2,"Q1",3,"Q1",
    4,"Q2",5,"Q2",6,"Q2",
    7,"Q3",8,"Q3",9,"Q3",
    10,"Q4",11,"Q4",12,"Q4",
    "Invalid Month"
)</f>
        <v>Q3</v>
      </c>
      <c r="P676" t="str">
        <f>TEXT(Table1[[#This Row],[Last_Restock_Date]],"mmm")</f>
        <v>Jul</v>
      </c>
    </row>
    <row r="677" spans="1:16" x14ac:dyDescent="0.25">
      <c r="A677">
        <v>676</v>
      </c>
      <c r="B677" s="5" t="s">
        <v>52</v>
      </c>
      <c r="C677" s="5" t="s">
        <v>16</v>
      </c>
      <c r="D677" s="5" t="s">
        <v>12</v>
      </c>
      <c r="E677" s="5" t="s">
        <v>37</v>
      </c>
      <c r="F677" s="2">
        <v>403</v>
      </c>
      <c r="G677" s="3">
        <v>799.35</v>
      </c>
      <c r="H677">
        <v>103</v>
      </c>
      <c r="I677">
        <f>IF(Table1[[#This Row],[Status]]= "Sufficient",
     Table1[[#This Row],[Stock_Quantity]] - Table1[[#This Row],[Reorder_Level]],
     0)</f>
        <v>300</v>
      </c>
      <c r="J677" s="4">
        <v>45375</v>
      </c>
      <c r="K677" s="5" t="s">
        <v>14</v>
      </c>
      <c r="L677">
        <f>YEAR(Table1[[#This Row],[Last_Restock_Date]])</f>
        <v>2024</v>
      </c>
      <c r="M677" t="str">
        <f>_xlfn.CONCAT(TEXT(Table1[[#This Row],[Last_Restock_Date]],"mmm"), "-", YEAR(Table1[[#This Row],[Last_Restock_Date]]))</f>
        <v>Mar-2024</v>
      </c>
      <c r="N677">
        <f>MONTH(Table1[[#This Row],[Last_Restock_Date]])</f>
        <v>3</v>
      </c>
      <c r="O677" t="str" cm="1">
        <f t="array" ref="O677">_xlfn.SWITCH(Table1[[#This Row],[Month_Number]],
    1,"Q1",2,"Q1",3,"Q1",
    4,"Q2",5,"Q2",6,"Q2",
    7,"Q3",8,"Q3",9,"Q3",
    10,"Q4",11,"Q4",12,"Q4",
    "Invalid Month"
)</f>
        <v>Q1</v>
      </c>
      <c r="P677" t="str">
        <f>TEXT(Table1[[#This Row],[Last_Restock_Date]],"mmm")</f>
        <v>Mar</v>
      </c>
    </row>
    <row r="678" spans="1:16" x14ac:dyDescent="0.25">
      <c r="A678">
        <v>677</v>
      </c>
      <c r="B678" s="5" t="s">
        <v>22</v>
      </c>
      <c r="C678" s="5" t="s">
        <v>11</v>
      </c>
      <c r="D678" s="5" t="s">
        <v>17</v>
      </c>
      <c r="E678" s="5" t="s">
        <v>32</v>
      </c>
      <c r="F678" s="2">
        <v>339</v>
      </c>
      <c r="G678" s="3">
        <v>708.73</v>
      </c>
      <c r="H678">
        <v>82</v>
      </c>
      <c r="I678">
        <f>IF(Table1[[#This Row],[Status]]= "Sufficient",
     Table1[[#This Row],[Stock_Quantity]] - Table1[[#This Row],[Reorder_Level]],
     0)</f>
        <v>257</v>
      </c>
      <c r="J678" s="4">
        <v>45289</v>
      </c>
      <c r="K678" s="5" t="s">
        <v>14</v>
      </c>
      <c r="L678">
        <f>YEAR(Table1[[#This Row],[Last_Restock_Date]])</f>
        <v>2023</v>
      </c>
      <c r="M678" t="str">
        <f>_xlfn.CONCAT(TEXT(Table1[[#This Row],[Last_Restock_Date]],"mmm"), "-", YEAR(Table1[[#This Row],[Last_Restock_Date]]))</f>
        <v>Dec-2023</v>
      </c>
      <c r="N678">
        <f>MONTH(Table1[[#This Row],[Last_Restock_Date]])</f>
        <v>12</v>
      </c>
      <c r="O678" t="str" cm="1">
        <f t="array" ref="O678">_xlfn.SWITCH(Table1[[#This Row],[Month_Number]],
    1,"Q1",2,"Q1",3,"Q1",
    4,"Q2",5,"Q2",6,"Q2",
    7,"Q3",8,"Q3",9,"Q3",
    10,"Q4",11,"Q4",12,"Q4",
    "Invalid Month"
)</f>
        <v>Q4</v>
      </c>
      <c r="P678" t="str">
        <f>TEXT(Table1[[#This Row],[Last_Restock_Date]],"mmm")</f>
        <v>Dec</v>
      </c>
    </row>
    <row r="679" spans="1:16" x14ac:dyDescent="0.25">
      <c r="A679">
        <v>678</v>
      </c>
      <c r="B679" s="5" t="s">
        <v>38</v>
      </c>
      <c r="C679" s="5" t="s">
        <v>26</v>
      </c>
      <c r="D679" s="5" t="s">
        <v>24</v>
      </c>
      <c r="E679" s="5" t="s">
        <v>32</v>
      </c>
      <c r="F679" s="2">
        <v>289</v>
      </c>
      <c r="G679" s="3">
        <v>27.1</v>
      </c>
      <c r="H679">
        <v>126</v>
      </c>
      <c r="I679">
        <f>IF(Table1[[#This Row],[Status]]= "Sufficient",
     Table1[[#This Row],[Stock_Quantity]] - Table1[[#This Row],[Reorder_Level]],
     0)</f>
        <v>163</v>
      </c>
      <c r="J679" s="4">
        <v>45590</v>
      </c>
      <c r="K679" s="5" t="s">
        <v>14</v>
      </c>
      <c r="L679">
        <f>YEAR(Table1[[#This Row],[Last_Restock_Date]])</f>
        <v>2024</v>
      </c>
      <c r="M679" t="str">
        <f>_xlfn.CONCAT(TEXT(Table1[[#This Row],[Last_Restock_Date]],"mmm"), "-", YEAR(Table1[[#This Row],[Last_Restock_Date]]))</f>
        <v>Oct-2024</v>
      </c>
      <c r="N679">
        <f>MONTH(Table1[[#This Row],[Last_Restock_Date]])</f>
        <v>10</v>
      </c>
      <c r="O679" t="str" cm="1">
        <f t="array" ref="O679">_xlfn.SWITCH(Table1[[#This Row],[Month_Number]],
    1,"Q1",2,"Q1",3,"Q1",
    4,"Q2",5,"Q2",6,"Q2",
    7,"Q3",8,"Q3",9,"Q3",
    10,"Q4",11,"Q4",12,"Q4",
    "Invalid Month"
)</f>
        <v>Q4</v>
      </c>
      <c r="P679" t="str">
        <f>TEXT(Table1[[#This Row],[Last_Restock_Date]],"mmm")</f>
        <v>Oct</v>
      </c>
    </row>
    <row r="680" spans="1:16" x14ac:dyDescent="0.25">
      <c r="A680">
        <v>679</v>
      </c>
      <c r="B680" s="5" t="s">
        <v>29</v>
      </c>
      <c r="C680" s="5" t="s">
        <v>16</v>
      </c>
      <c r="D680" s="5" t="s">
        <v>30</v>
      </c>
      <c r="E680" s="5" t="s">
        <v>37</v>
      </c>
      <c r="F680" s="2">
        <v>26</v>
      </c>
      <c r="G680" s="3">
        <v>604.55999999999995</v>
      </c>
      <c r="H680">
        <v>121</v>
      </c>
      <c r="I680">
        <f>IF(Table1[[#This Row],[Status]]= "Sufficient",
     Table1[[#This Row],[Stock_Quantity]] - Table1[[#This Row],[Reorder_Level]],
     0)</f>
        <v>0</v>
      </c>
      <c r="J680" s="4">
        <v>44990</v>
      </c>
      <c r="K680" s="5" t="s">
        <v>28</v>
      </c>
      <c r="L680">
        <f>YEAR(Table1[[#This Row],[Last_Restock_Date]])</f>
        <v>2023</v>
      </c>
      <c r="M680" t="str">
        <f>_xlfn.CONCAT(TEXT(Table1[[#This Row],[Last_Restock_Date]],"mmm"), "-", YEAR(Table1[[#This Row],[Last_Restock_Date]]))</f>
        <v>Mar-2023</v>
      </c>
      <c r="N680">
        <f>MONTH(Table1[[#This Row],[Last_Restock_Date]])</f>
        <v>3</v>
      </c>
      <c r="O680" t="str" cm="1">
        <f t="array" ref="O680">_xlfn.SWITCH(Table1[[#This Row],[Month_Number]],
    1,"Q1",2,"Q1",3,"Q1",
    4,"Q2",5,"Q2",6,"Q2",
    7,"Q3",8,"Q3",9,"Q3",
    10,"Q4",11,"Q4",12,"Q4",
    "Invalid Month"
)</f>
        <v>Q1</v>
      </c>
      <c r="P680" t="str">
        <f>TEXT(Table1[[#This Row],[Last_Restock_Date]],"mmm")</f>
        <v>Mar</v>
      </c>
    </row>
    <row r="681" spans="1:16" x14ac:dyDescent="0.25">
      <c r="A681">
        <v>680</v>
      </c>
      <c r="B681" s="5" t="s">
        <v>48</v>
      </c>
      <c r="C681" s="5" t="s">
        <v>20</v>
      </c>
      <c r="D681" s="5" t="s">
        <v>24</v>
      </c>
      <c r="E681" s="5" t="s">
        <v>37</v>
      </c>
      <c r="F681" s="2">
        <v>300</v>
      </c>
      <c r="G681" s="3">
        <v>24.89</v>
      </c>
      <c r="H681">
        <v>140</v>
      </c>
      <c r="I681">
        <f>IF(Table1[[#This Row],[Status]]= "Sufficient",
     Table1[[#This Row],[Stock_Quantity]] - Table1[[#This Row],[Reorder_Level]],
     0)</f>
        <v>160</v>
      </c>
      <c r="J681" s="4">
        <v>45985</v>
      </c>
      <c r="K681" s="5" t="s">
        <v>14</v>
      </c>
      <c r="L681">
        <f>YEAR(Table1[[#This Row],[Last_Restock_Date]])</f>
        <v>2025</v>
      </c>
      <c r="M681" t="str">
        <f>_xlfn.CONCAT(TEXT(Table1[[#This Row],[Last_Restock_Date]],"mmm"), "-", YEAR(Table1[[#This Row],[Last_Restock_Date]]))</f>
        <v>Nov-2025</v>
      </c>
      <c r="N681">
        <f>MONTH(Table1[[#This Row],[Last_Restock_Date]])</f>
        <v>11</v>
      </c>
      <c r="O681" t="str" cm="1">
        <f t="array" ref="O681">_xlfn.SWITCH(Table1[[#This Row],[Month_Number]],
    1,"Q1",2,"Q1",3,"Q1",
    4,"Q2",5,"Q2",6,"Q2",
    7,"Q3",8,"Q3",9,"Q3",
    10,"Q4",11,"Q4",12,"Q4",
    "Invalid Month"
)</f>
        <v>Q4</v>
      </c>
      <c r="P681" t="str">
        <f>TEXT(Table1[[#This Row],[Last_Restock_Date]],"mmm")</f>
        <v>Nov</v>
      </c>
    </row>
    <row r="682" spans="1:16" x14ac:dyDescent="0.25">
      <c r="A682">
        <v>681</v>
      </c>
      <c r="B682" s="5" t="s">
        <v>44</v>
      </c>
      <c r="C682" s="5" t="s">
        <v>34</v>
      </c>
      <c r="D682" s="5" t="s">
        <v>21</v>
      </c>
      <c r="E682" s="5" t="s">
        <v>32</v>
      </c>
      <c r="F682" s="2">
        <v>282</v>
      </c>
      <c r="G682" s="3">
        <v>391.44</v>
      </c>
      <c r="H682">
        <v>58</v>
      </c>
      <c r="I682">
        <f>IF(Table1[[#This Row],[Status]]= "Sufficient",
     Table1[[#This Row],[Stock_Quantity]] - Table1[[#This Row],[Reorder_Level]],
     0)</f>
        <v>224</v>
      </c>
      <c r="J682" s="4">
        <v>45355</v>
      </c>
      <c r="K682" s="5" t="s">
        <v>14</v>
      </c>
      <c r="L682">
        <f>YEAR(Table1[[#This Row],[Last_Restock_Date]])</f>
        <v>2024</v>
      </c>
      <c r="M682" t="str">
        <f>_xlfn.CONCAT(TEXT(Table1[[#This Row],[Last_Restock_Date]],"mmm"), "-", YEAR(Table1[[#This Row],[Last_Restock_Date]]))</f>
        <v>Mar-2024</v>
      </c>
      <c r="N682">
        <f>MONTH(Table1[[#This Row],[Last_Restock_Date]])</f>
        <v>3</v>
      </c>
      <c r="O682" t="str" cm="1">
        <f t="array" ref="O682">_xlfn.SWITCH(Table1[[#This Row],[Month_Number]],
    1,"Q1",2,"Q1",3,"Q1",
    4,"Q2",5,"Q2",6,"Q2",
    7,"Q3",8,"Q3",9,"Q3",
    10,"Q4",11,"Q4",12,"Q4",
    "Invalid Month"
)</f>
        <v>Q1</v>
      </c>
      <c r="P682" t="str">
        <f>TEXT(Table1[[#This Row],[Last_Restock_Date]],"mmm")</f>
        <v>Mar</v>
      </c>
    </row>
    <row r="683" spans="1:16" x14ac:dyDescent="0.25">
      <c r="A683">
        <v>682</v>
      </c>
      <c r="B683" s="5" t="s">
        <v>47</v>
      </c>
      <c r="C683" s="5" t="s">
        <v>20</v>
      </c>
      <c r="D683" s="5" t="s">
        <v>24</v>
      </c>
      <c r="E683" s="5" t="s">
        <v>13</v>
      </c>
      <c r="F683" s="2">
        <v>223</v>
      </c>
      <c r="G683" s="3">
        <v>216.29</v>
      </c>
      <c r="H683">
        <v>100</v>
      </c>
      <c r="I683">
        <f>IF(Table1[[#This Row],[Status]]= "Sufficient",
     Table1[[#This Row],[Stock_Quantity]] - Table1[[#This Row],[Reorder_Level]],
     0)</f>
        <v>123</v>
      </c>
      <c r="J683" s="4">
        <v>45796</v>
      </c>
      <c r="K683" s="5" t="s">
        <v>14</v>
      </c>
      <c r="L683">
        <f>YEAR(Table1[[#This Row],[Last_Restock_Date]])</f>
        <v>2025</v>
      </c>
      <c r="M683" t="str">
        <f>_xlfn.CONCAT(TEXT(Table1[[#This Row],[Last_Restock_Date]],"mmm"), "-", YEAR(Table1[[#This Row],[Last_Restock_Date]]))</f>
        <v>May-2025</v>
      </c>
      <c r="N683">
        <f>MONTH(Table1[[#This Row],[Last_Restock_Date]])</f>
        <v>5</v>
      </c>
      <c r="O683" t="str" cm="1">
        <f t="array" ref="O683">_xlfn.SWITCH(Table1[[#This Row],[Month_Number]],
    1,"Q1",2,"Q1",3,"Q1",
    4,"Q2",5,"Q2",6,"Q2",
    7,"Q3",8,"Q3",9,"Q3",
    10,"Q4",11,"Q4",12,"Q4",
    "Invalid Month"
)</f>
        <v>Q2</v>
      </c>
      <c r="P683" t="str">
        <f>TEXT(Table1[[#This Row],[Last_Restock_Date]],"mmm")</f>
        <v>May</v>
      </c>
    </row>
    <row r="684" spans="1:16" x14ac:dyDescent="0.25">
      <c r="A684">
        <v>683</v>
      </c>
      <c r="B684" s="5" t="s">
        <v>33</v>
      </c>
      <c r="C684" s="5" t="s">
        <v>34</v>
      </c>
      <c r="D684" s="5" t="s">
        <v>30</v>
      </c>
      <c r="E684" s="5" t="s">
        <v>27</v>
      </c>
      <c r="F684" s="2">
        <v>264</v>
      </c>
      <c r="G684" s="3">
        <v>383.49</v>
      </c>
      <c r="H684">
        <v>95</v>
      </c>
      <c r="I684">
        <f>IF(Table1[[#This Row],[Status]]= "Sufficient",
     Table1[[#This Row],[Stock_Quantity]] - Table1[[#This Row],[Reorder_Level]],
     0)</f>
        <v>169</v>
      </c>
      <c r="J684" s="4">
        <v>45605</v>
      </c>
      <c r="K684" s="5" t="s">
        <v>14</v>
      </c>
      <c r="L684">
        <f>YEAR(Table1[[#This Row],[Last_Restock_Date]])</f>
        <v>2024</v>
      </c>
      <c r="M684" t="str">
        <f>_xlfn.CONCAT(TEXT(Table1[[#This Row],[Last_Restock_Date]],"mmm"), "-", YEAR(Table1[[#This Row],[Last_Restock_Date]]))</f>
        <v>Nov-2024</v>
      </c>
      <c r="N684">
        <f>MONTH(Table1[[#This Row],[Last_Restock_Date]])</f>
        <v>11</v>
      </c>
      <c r="O684" t="str" cm="1">
        <f t="array" ref="O684">_xlfn.SWITCH(Table1[[#This Row],[Month_Number]],
    1,"Q1",2,"Q1",3,"Q1",
    4,"Q2",5,"Q2",6,"Q2",
    7,"Q3",8,"Q3",9,"Q3",
    10,"Q4",11,"Q4",12,"Q4",
    "Invalid Month"
)</f>
        <v>Q4</v>
      </c>
      <c r="P684" t="str">
        <f>TEXT(Table1[[#This Row],[Last_Restock_Date]],"mmm")</f>
        <v>Nov</v>
      </c>
    </row>
    <row r="685" spans="1:16" x14ac:dyDescent="0.25">
      <c r="A685">
        <v>684</v>
      </c>
      <c r="B685" s="5" t="s">
        <v>53</v>
      </c>
      <c r="C685" s="5" t="s">
        <v>26</v>
      </c>
      <c r="D685" s="5" t="s">
        <v>12</v>
      </c>
      <c r="E685" s="5" t="s">
        <v>32</v>
      </c>
      <c r="F685" s="2">
        <v>462</v>
      </c>
      <c r="G685" s="3">
        <v>634.36</v>
      </c>
      <c r="H685">
        <v>84</v>
      </c>
      <c r="I685">
        <f>IF(Table1[[#This Row],[Status]]= "Sufficient",
     Table1[[#This Row],[Stock_Quantity]] - Table1[[#This Row],[Reorder_Level]],
     0)</f>
        <v>378</v>
      </c>
      <c r="J685" s="4">
        <v>45658</v>
      </c>
      <c r="K685" s="5" t="s">
        <v>14</v>
      </c>
      <c r="L685">
        <f>YEAR(Table1[[#This Row],[Last_Restock_Date]])</f>
        <v>2025</v>
      </c>
      <c r="M685" t="str">
        <f>_xlfn.CONCAT(TEXT(Table1[[#This Row],[Last_Restock_Date]],"mmm"), "-", YEAR(Table1[[#This Row],[Last_Restock_Date]]))</f>
        <v>Jan-2025</v>
      </c>
      <c r="N685">
        <f>MONTH(Table1[[#This Row],[Last_Restock_Date]])</f>
        <v>1</v>
      </c>
      <c r="O685" t="str" cm="1">
        <f t="array" ref="O685">_xlfn.SWITCH(Table1[[#This Row],[Month_Number]],
    1,"Q1",2,"Q1",3,"Q1",
    4,"Q2",5,"Q2",6,"Q2",
    7,"Q3",8,"Q3",9,"Q3",
    10,"Q4",11,"Q4",12,"Q4",
    "Invalid Month"
)</f>
        <v>Q1</v>
      </c>
      <c r="P685" t="str">
        <f>TEXT(Table1[[#This Row],[Last_Restock_Date]],"mmm")</f>
        <v>Jan</v>
      </c>
    </row>
    <row r="686" spans="1:16" x14ac:dyDescent="0.25">
      <c r="A686">
        <v>685</v>
      </c>
      <c r="B686" s="5" t="s">
        <v>22</v>
      </c>
      <c r="C686" s="5" t="s">
        <v>11</v>
      </c>
      <c r="D686" s="5" t="s">
        <v>21</v>
      </c>
      <c r="E686" s="5" t="s">
        <v>13</v>
      </c>
      <c r="F686" s="2">
        <v>47</v>
      </c>
      <c r="G686" s="3">
        <v>510.72</v>
      </c>
      <c r="H686">
        <v>149</v>
      </c>
      <c r="I686">
        <f>IF(Table1[[#This Row],[Status]]= "Sufficient",
     Table1[[#This Row],[Stock_Quantity]] - Table1[[#This Row],[Reorder_Level]],
     0)</f>
        <v>0</v>
      </c>
      <c r="J686" s="4">
        <v>45082</v>
      </c>
      <c r="K686" s="5" t="s">
        <v>28</v>
      </c>
      <c r="L686">
        <f>YEAR(Table1[[#This Row],[Last_Restock_Date]])</f>
        <v>2023</v>
      </c>
      <c r="M686" t="str">
        <f>_xlfn.CONCAT(TEXT(Table1[[#This Row],[Last_Restock_Date]],"mmm"), "-", YEAR(Table1[[#This Row],[Last_Restock_Date]]))</f>
        <v>Jun-2023</v>
      </c>
      <c r="N686">
        <f>MONTH(Table1[[#This Row],[Last_Restock_Date]])</f>
        <v>6</v>
      </c>
      <c r="O686" t="str" cm="1">
        <f t="array" ref="O686">_xlfn.SWITCH(Table1[[#This Row],[Month_Number]],
    1,"Q1",2,"Q1",3,"Q1",
    4,"Q2",5,"Q2",6,"Q2",
    7,"Q3",8,"Q3",9,"Q3",
    10,"Q4",11,"Q4",12,"Q4",
    "Invalid Month"
)</f>
        <v>Q2</v>
      </c>
      <c r="P686" t="str">
        <f>TEXT(Table1[[#This Row],[Last_Restock_Date]],"mmm")</f>
        <v>Jun</v>
      </c>
    </row>
    <row r="687" spans="1:16" x14ac:dyDescent="0.25">
      <c r="A687">
        <v>686</v>
      </c>
      <c r="B687" s="5" t="s">
        <v>36</v>
      </c>
      <c r="C687" s="5" t="s">
        <v>11</v>
      </c>
      <c r="D687" s="5" t="s">
        <v>17</v>
      </c>
      <c r="E687" s="5" t="s">
        <v>18</v>
      </c>
      <c r="F687" s="2">
        <v>443</v>
      </c>
      <c r="G687" s="3">
        <v>351.47</v>
      </c>
      <c r="H687">
        <v>116</v>
      </c>
      <c r="I687">
        <f>IF(Table1[[#This Row],[Status]]= "Sufficient",
     Table1[[#This Row],[Stock_Quantity]] - Table1[[#This Row],[Reorder_Level]],
     0)</f>
        <v>327</v>
      </c>
      <c r="J687" s="4">
        <v>45906</v>
      </c>
      <c r="K687" s="5" t="s">
        <v>14</v>
      </c>
      <c r="L687">
        <f>YEAR(Table1[[#This Row],[Last_Restock_Date]])</f>
        <v>2025</v>
      </c>
      <c r="M687" t="str">
        <f>_xlfn.CONCAT(TEXT(Table1[[#This Row],[Last_Restock_Date]],"mmm"), "-", YEAR(Table1[[#This Row],[Last_Restock_Date]]))</f>
        <v>Sep-2025</v>
      </c>
      <c r="N687">
        <f>MONTH(Table1[[#This Row],[Last_Restock_Date]])</f>
        <v>9</v>
      </c>
      <c r="O687" t="str" cm="1">
        <f t="array" ref="O687">_xlfn.SWITCH(Table1[[#This Row],[Month_Number]],
    1,"Q1",2,"Q1",3,"Q1",
    4,"Q2",5,"Q2",6,"Q2",
    7,"Q3",8,"Q3",9,"Q3",
    10,"Q4",11,"Q4",12,"Q4",
    "Invalid Month"
)</f>
        <v>Q3</v>
      </c>
      <c r="P687" t="str">
        <f>TEXT(Table1[[#This Row],[Last_Restock_Date]],"mmm")</f>
        <v>Sep</v>
      </c>
    </row>
    <row r="688" spans="1:16" x14ac:dyDescent="0.25">
      <c r="A688">
        <v>687</v>
      </c>
      <c r="B688" s="5" t="s">
        <v>47</v>
      </c>
      <c r="C688" s="5" t="s">
        <v>20</v>
      </c>
      <c r="D688" s="5" t="s">
        <v>12</v>
      </c>
      <c r="E688" s="5" t="s">
        <v>39</v>
      </c>
      <c r="F688" s="2">
        <v>123</v>
      </c>
      <c r="G688" s="3">
        <v>522.91</v>
      </c>
      <c r="H688">
        <v>76</v>
      </c>
      <c r="I688">
        <f>IF(Table1[[#This Row],[Status]]= "Sufficient",
     Table1[[#This Row],[Stock_Quantity]] - Table1[[#This Row],[Reorder_Level]],
     0)</f>
        <v>47</v>
      </c>
      <c r="J688" s="4">
        <v>45686</v>
      </c>
      <c r="K688" s="5" t="s">
        <v>14</v>
      </c>
      <c r="L688">
        <f>YEAR(Table1[[#This Row],[Last_Restock_Date]])</f>
        <v>2025</v>
      </c>
      <c r="M688" t="str">
        <f>_xlfn.CONCAT(TEXT(Table1[[#This Row],[Last_Restock_Date]],"mmm"), "-", YEAR(Table1[[#This Row],[Last_Restock_Date]]))</f>
        <v>Jan-2025</v>
      </c>
      <c r="N688">
        <f>MONTH(Table1[[#This Row],[Last_Restock_Date]])</f>
        <v>1</v>
      </c>
      <c r="O688" t="str" cm="1">
        <f t="array" ref="O688">_xlfn.SWITCH(Table1[[#This Row],[Month_Number]],
    1,"Q1",2,"Q1",3,"Q1",
    4,"Q2",5,"Q2",6,"Q2",
    7,"Q3",8,"Q3",9,"Q3",
    10,"Q4",11,"Q4",12,"Q4",
    "Invalid Month"
)</f>
        <v>Q1</v>
      </c>
      <c r="P688" t="str">
        <f>TEXT(Table1[[#This Row],[Last_Restock_Date]],"mmm")</f>
        <v>Jan</v>
      </c>
    </row>
    <row r="689" spans="1:16" x14ac:dyDescent="0.25">
      <c r="A689">
        <v>688</v>
      </c>
      <c r="B689" s="5" t="s">
        <v>35</v>
      </c>
      <c r="C689" s="5" t="s">
        <v>11</v>
      </c>
      <c r="D689" s="5" t="s">
        <v>21</v>
      </c>
      <c r="E689" s="5" t="s">
        <v>32</v>
      </c>
      <c r="F689" s="2">
        <v>362</v>
      </c>
      <c r="G689" s="3">
        <v>337.65</v>
      </c>
      <c r="H689">
        <v>127</v>
      </c>
      <c r="I689">
        <f>IF(Table1[[#This Row],[Status]]= "Sufficient",
     Table1[[#This Row],[Stock_Quantity]] - Table1[[#This Row],[Reorder_Level]],
     0)</f>
        <v>235</v>
      </c>
      <c r="J689" s="4">
        <v>45363</v>
      </c>
      <c r="K689" s="5" t="s">
        <v>14</v>
      </c>
      <c r="L689">
        <f>YEAR(Table1[[#This Row],[Last_Restock_Date]])</f>
        <v>2024</v>
      </c>
      <c r="M689" t="str">
        <f>_xlfn.CONCAT(TEXT(Table1[[#This Row],[Last_Restock_Date]],"mmm"), "-", YEAR(Table1[[#This Row],[Last_Restock_Date]]))</f>
        <v>Mar-2024</v>
      </c>
      <c r="N689">
        <f>MONTH(Table1[[#This Row],[Last_Restock_Date]])</f>
        <v>3</v>
      </c>
      <c r="O689" t="str" cm="1">
        <f t="array" ref="O689">_xlfn.SWITCH(Table1[[#This Row],[Month_Number]],
    1,"Q1",2,"Q1",3,"Q1",
    4,"Q2",5,"Q2",6,"Q2",
    7,"Q3",8,"Q3",9,"Q3",
    10,"Q4",11,"Q4",12,"Q4",
    "Invalid Month"
)</f>
        <v>Q1</v>
      </c>
      <c r="P689" t="str">
        <f>TEXT(Table1[[#This Row],[Last_Restock_Date]],"mmm")</f>
        <v>Mar</v>
      </c>
    </row>
    <row r="690" spans="1:16" x14ac:dyDescent="0.25">
      <c r="A690">
        <v>689</v>
      </c>
      <c r="B690" s="5" t="s">
        <v>41</v>
      </c>
      <c r="C690" s="5" t="s">
        <v>16</v>
      </c>
      <c r="D690" s="5" t="s">
        <v>17</v>
      </c>
      <c r="E690" s="5" t="s">
        <v>37</v>
      </c>
      <c r="F690" s="2">
        <v>193</v>
      </c>
      <c r="G690" s="3">
        <v>693.34</v>
      </c>
      <c r="H690">
        <v>112</v>
      </c>
      <c r="I690">
        <f>IF(Table1[[#This Row],[Status]]= "Sufficient",
     Table1[[#This Row],[Stock_Quantity]] - Table1[[#This Row],[Reorder_Level]],
     0)</f>
        <v>81</v>
      </c>
      <c r="J690" s="4">
        <v>45630</v>
      </c>
      <c r="K690" s="5" t="s">
        <v>14</v>
      </c>
      <c r="L690">
        <f>YEAR(Table1[[#This Row],[Last_Restock_Date]])</f>
        <v>2024</v>
      </c>
      <c r="M690" t="str">
        <f>_xlfn.CONCAT(TEXT(Table1[[#This Row],[Last_Restock_Date]],"mmm"), "-", YEAR(Table1[[#This Row],[Last_Restock_Date]]))</f>
        <v>Dec-2024</v>
      </c>
      <c r="N690">
        <f>MONTH(Table1[[#This Row],[Last_Restock_Date]])</f>
        <v>12</v>
      </c>
      <c r="O690" t="str" cm="1">
        <f t="array" ref="O690">_xlfn.SWITCH(Table1[[#This Row],[Month_Number]],
    1,"Q1",2,"Q1",3,"Q1",
    4,"Q2",5,"Q2",6,"Q2",
    7,"Q3",8,"Q3",9,"Q3",
    10,"Q4",11,"Q4",12,"Q4",
    "Invalid Month"
)</f>
        <v>Q4</v>
      </c>
      <c r="P690" t="str">
        <f>TEXT(Table1[[#This Row],[Last_Restock_Date]],"mmm")</f>
        <v>Dec</v>
      </c>
    </row>
    <row r="691" spans="1:16" x14ac:dyDescent="0.25">
      <c r="A691">
        <v>690</v>
      </c>
      <c r="B691" s="5" t="s">
        <v>50</v>
      </c>
      <c r="C691" s="5" t="s">
        <v>34</v>
      </c>
      <c r="D691" s="5" t="s">
        <v>12</v>
      </c>
      <c r="E691" s="5" t="s">
        <v>13</v>
      </c>
      <c r="F691" s="2">
        <v>287</v>
      </c>
      <c r="G691" s="3">
        <v>754.91</v>
      </c>
      <c r="H691">
        <v>57</v>
      </c>
      <c r="I691">
        <f>IF(Table1[[#This Row],[Status]]= "Sufficient",
     Table1[[#This Row],[Stock_Quantity]] - Table1[[#This Row],[Reorder_Level]],
     0)</f>
        <v>230</v>
      </c>
      <c r="J691" s="4">
        <v>45191</v>
      </c>
      <c r="K691" s="5" t="s">
        <v>14</v>
      </c>
      <c r="L691">
        <f>YEAR(Table1[[#This Row],[Last_Restock_Date]])</f>
        <v>2023</v>
      </c>
      <c r="M691" t="str">
        <f>_xlfn.CONCAT(TEXT(Table1[[#This Row],[Last_Restock_Date]],"mmm"), "-", YEAR(Table1[[#This Row],[Last_Restock_Date]]))</f>
        <v>Sep-2023</v>
      </c>
      <c r="N691">
        <f>MONTH(Table1[[#This Row],[Last_Restock_Date]])</f>
        <v>9</v>
      </c>
      <c r="O691" t="str" cm="1">
        <f t="array" ref="O691">_xlfn.SWITCH(Table1[[#This Row],[Month_Number]],
    1,"Q1",2,"Q1",3,"Q1",
    4,"Q2",5,"Q2",6,"Q2",
    7,"Q3",8,"Q3",9,"Q3",
    10,"Q4",11,"Q4",12,"Q4",
    "Invalid Month"
)</f>
        <v>Q3</v>
      </c>
      <c r="P691" t="str">
        <f>TEXT(Table1[[#This Row],[Last_Restock_Date]],"mmm")</f>
        <v>Sep</v>
      </c>
    </row>
    <row r="692" spans="1:16" x14ac:dyDescent="0.25">
      <c r="A692">
        <v>691</v>
      </c>
      <c r="B692" s="5" t="s">
        <v>49</v>
      </c>
      <c r="C692" s="5" t="s">
        <v>16</v>
      </c>
      <c r="D692" s="5" t="s">
        <v>21</v>
      </c>
      <c r="E692" s="5" t="s">
        <v>18</v>
      </c>
      <c r="F692" s="2">
        <v>146</v>
      </c>
      <c r="G692" s="3">
        <v>52.46</v>
      </c>
      <c r="H692">
        <v>124</v>
      </c>
      <c r="I692">
        <f>IF(Table1[[#This Row],[Status]]= "Sufficient",
     Table1[[#This Row],[Stock_Quantity]] - Table1[[#This Row],[Reorder_Level]],
     0)</f>
        <v>22</v>
      </c>
      <c r="J692" s="4">
        <v>45445</v>
      </c>
      <c r="K692" s="5" t="s">
        <v>14</v>
      </c>
      <c r="L692">
        <f>YEAR(Table1[[#This Row],[Last_Restock_Date]])</f>
        <v>2024</v>
      </c>
      <c r="M692" t="str">
        <f>_xlfn.CONCAT(TEXT(Table1[[#This Row],[Last_Restock_Date]],"mmm"), "-", YEAR(Table1[[#This Row],[Last_Restock_Date]]))</f>
        <v>Jun-2024</v>
      </c>
      <c r="N692">
        <f>MONTH(Table1[[#This Row],[Last_Restock_Date]])</f>
        <v>6</v>
      </c>
      <c r="O692" t="str" cm="1">
        <f t="array" ref="O692">_xlfn.SWITCH(Table1[[#This Row],[Month_Number]],
    1,"Q1",2,"Q1",3,"Q1",
    4,"Q2",5,"Q2",6,"Q2",
    7,"Q3",8,"Q3",9,"Q3",
    10,"Q4",11,"Q4",12,"Q4",
    "Invalid Month"
)</f>
        <v>Q2</v>
      </c>
      <c r="P692" t="str">
        <f>TEXT(Table1[[#This Row],[Last_Restock_Date]],"mmm")</f>
        <v>Jun</v>
      </c>
    </row>
    <row r="693" spans="1:16" x14ac:dyDescent="0.25">
      <c r="A693">
        <v>692</v>
      </c>
      <c r="B693" s="5" t="s">
        <v>19</v>
      </c>
      <c r="C693" s="5" t="s">
        <v>20</v>
      </c>
      <c r="D693" s="5" t="s">
        <v>12</v>
      </c>
      <c r="E693" s="5" t="s">
        <v>27</v>
      </c>
      <c r="F693" s="2">
        <v>215</v>
      </c>
      <c r="G693" s="3">
        <v>741.89</v>
      </c>
      <c r="H693">
        <v>137</v>
      </c>
      <c r="I693">
        <f>IF(Table1[[#This Row],[Status]]= "Sufficient",
     Table1[[#This Row],[Stock_Quantity]] - Table1[[#This Row],[Reorder_Level]],
     0)</f>
        <v>78</v>
      </c>
      <c r="J693" s="4">
        <v>45408</v>
      </c>
      <c r="K693" s="5" t="s">
        <v>14</v>
      </c>
      <c r="L693">
        <f>YEAR(Table1[[#This Row],[Last_Restock_Date]])</f>
        <v>2024</v>
      </c>
      <c r="M693" t="str">
        <f>_xlfn.CONCAT(TEXT(Table1[[#This Row],[Last_Restock_Date]],"mmm"), "-", YEAR(Table1[[#This Row],[Last_Restock_Date]]))</f>
        <v>Apr-2024</v>
      </c>
      <c r="N693">
        <f>MONTH(Table1[[#This Row],[Last_Restock_Date]])</f>
        <v>4</v>
      </c>
      <c r="O693" t="str" cm="1">
        <f t="array" ref="O693">_xlfn.SWITCH(Table1[[#This Row],[Month_Number]],
    1,"Q1",2,"Q1",3,"Q1",
    4,"Q2",5,"Q2",6,"Q2",
    7,"Q3",8,"Q3",9,"Q3",
    10,"Q4",11,"Q4",12,"Q4",
    "Invalid Month"
)</f>
        <v>Q2</v>
      </c>
      <c r="P693" t="str">
        <f>TEXT(Table1[[#This Row],[Last_Restock_Date]],"mmm")</f>
        <v>Apr</v>
      </c>
    </row>
    <row r="694" spans="1:16" x14ac:dyDescent="0.25">
      <c r="A694">
        <v>693</v>
      </c>
      <c r="B694" s="5" t="s">
        <v>23</v>
      </c>
      <c r="C694" s="5" t="s">
        <v>20</v>
      </c>
      <c r="D694" s="5" t="s">
        <v>12</v>
      </c>
      <c r="E694" s="5" t="s">
        <v>18</v>
      </c>
      <c r="F694" s="2">
        <v>420</v>
      </c>
      <c r="G694" s="3">
        <v>121.78</v>
      </c>
      <c r="H694">
        <v>108</v>
      </c>
      <c r="I694">
        <f>IF(Table1[[#This Row],[Status]]= "Sufficient",
     Table1[[#This Row],[Stock_Quantity]] - Table1[[#This Row],[Reorder_Level]],
     0)</f>
        <v>312</v>
      </c>
      <c r="J694" s="4">
        <v>45812</v>
      </c>
      <c r="K694" s="5" t="s">
        <v>14</v>
      </c>
      <c r="L694">
        <f>YEAR(Table1[[#This Row],[Last_Restock_Date]])</f>
        <v>2025</v>
      </c>
      <c r="M694" t="str">
        <f>_xlfn.CONCAT(TEXT(Table1[[#This Row],[Last_Restock_Date]],"mmm"), "-", YEAR(Table1[[#This Row],[Last_Restock_Date]]))</f>
        <v>Jun-2025</v>
      </c>
      <c r="N694">
        <f>MONTH(Table1[[#This Row],[Last_Restock_Date]])</f>
        <v>6</v>
      </c>
      <c r="O694" t="str" cm="1">
        <f t="array" ref="O694">_xlfn.SWITCH(Table1[[#This Row],[Month_Number]],
    1,"Q1",2,"Q1",3,"Q1",
    4,"Q2",5,"Q2",6,"Q2",
    7,"Q3",8,"Q3",9,"Q3",
    10,"Q4",11,"Q4",12,"Q4",
    "Invalid Month"
)</f>
        <v>Q2</v>
      </c>
      <c r="P694" t="str">
        <f>TEXT(Table1[[#This Row],[Last_Restock_Date]],"mmm")</f>
        <v>Jun</v>
      </c>
    </row>
    <row r="695" spans="1:16" x14ac:dyDescent="0.25">
      <c r="A695">
        <v>694</v>
      </c>
      <c r="B695" s="5" t="s">
        <v>43</v>
      </c>
      <c r="C695" s="5" t="s">
        <v>26</v>
      </c>
      <c r="D695" s="5" t="s">
        <v>12</v>
      </c>
      <c r="E695" s="5" t="s">
        <v>27</v>
      </c>
      <c r="F695" s="2">
        <v>399</v>
      </c>
      <c r="G695" s="3">
        <v>701.83</v>
      </c>
      <c r="H695">
        <v>136</v>
      </c>
      <c r="I695">
        <f>IF(Table1[[#This Row],[Status]]= "Sufficient",
     Table1[[#This Row],[Stock_Quantity]] - Table1[[#This Row],[Reorder_Level]],
     0)</f>
        <v>263</v>
      </c>
      <c r="J695" s="4">
        <v>46010</v>
      </c>
      <c r="K695" s="5" t="s">
        <v>14</v>
      </c>
      <c r="L695">
        <f>YEAR(Table1[[#This Row],[Last_Restock_Date]])</f>
        <v>2025</v>
      </c>
      <c r="M695" t="str">
        <f>_xlfn.CONCAT(TEXT(Table1[[#This Row],[Last_Restock_Date]],"mmm"), "-", YEAR(Table1[[#This Row],[Last_Restock_Date]]))</f>
        <v>Dec-2025</v>
      </c>
      <c r="N695">
        <f>MONTH(Table1[[#This Row],[Last_Restock_Date]])</f>
        <v>12</v>
      </c>
      <c r="O695" t="str" cm="1">
        <f t="array" ref="O695">_xlfn.SWITCH(Table1[[#This Row],[Month_Number]],
    1,"Q1",2,"Q1",3,"Q1",
    4,"Q2",5,"Q2",6,"Q2",
    7,"Q3",8,"Q3",9,"Q3",
    10,"Q4",11,"Q4",12,"Q4",
    "Invalid Month"
)</f>
        <v>Q4</v>
      </c>
      <c r="P695" t="str">
        <f>TEXT(Table1[[#This Row],[Last_Restock_Date]],"mmm")</f>
        <v>Dec</v>
      </c>
    </row>
    <row r="696" spans="1:16" x14ac:dyDescent="0.25">
      <c r="A696">
        <v>695</v>
      </c>
      <c r="B696" s="5" t="s">
        <v>31</v>
      </c>
      <c r="C696" s="5" t="s">
        <v>20</v>
      </c>
      <c r="D696" s="5" t="s">
        <v>12</v>
      </c>
      <c r="E696" s="5" t="s">
        <v>18</v>
      </c>
      <c r="F696" s="2">
        <v>40</v>
      </c>
      <c r="G696" s="3">
        <v>87.72</v>
      </c>
      <c r="H696">
        <v>105</v>
      </c>
      <c r="I696">
        <f>IF(Table1[[#This Row],[Status]]= "Sufficient",
     Table1[[#This Row],[Stock_Quantity]] - Table1[[#This Row],[Reorder_Level]],
     0)</f>
        <v>0</v>
      </c>
      <c r="J696" s="4">
        <v>45976</v>
      </c>
      <c r="K696" s="5" t="s">
        <v>28</v>
      </c>
      <c r="L696">
        <f>YEAR(Table1[[#This Row],[Last_Restock_Date]])</f>
        <v>2025</v>
      </c>
      <c r="M696" t="str">
        <f>_xlfn.CONCAT(TEXT(Table1[[#This Row],[Last_Restock_Date]],"mmm"), "-", YEAR(Table1[[#This Row],[Last_Restock_Date]]))</f>
        <v>Nov-2025</v>
      </c>
      <c r="N696">
        <f>MONTH(Table1[[#This Row],[Last_Restock_Date]])</f>
        <v>11</v>
      </c>
      <c r="O696" t="str" cm="1">
        <f t="array" ref="O696">_xlfn.SWITCH(Table1[[#This Row],[Month_Number]],
    1,"Q1",2,"Q1",3,"Q1",
    4,"Q2",5,"Q2",6,"Q2",
    7,"Q3",8,"Q3",9,"Q3",
    10,"Q4",11,"Q4",12,"Q4",
    "Invalid Month"
)</f>
        <v>Q4</v>
      </c>
      <c r="P696" t="str">
        <f>TEXT(Table1[[#This Row],[Last_Restock_Date]],"mmm")</f>
        <v>Nov</v>
      </c>
    </row>
    <row r="697" spans="1:16" x14ac:dyDescent="0.25">
      <c r="A697">
        <v>696</v>
      </c>
      <c r="B697" s="5" t="s">
        <v>29</v>
      </c>
      <c r="C697" s="5" t="s">
        <v>16</v>
      </c>
      <c r="D697" s="5" t="s">
        <v>12</v>
      </c>
      <c r="E697" s="5" t="s">
        <v>18</v>
      </c>
      <c r="F697" s="2">
        <v>97</v>
      </c>
      <c r="G697" s="3">
        <v>5.52</v>
      </c>
      <c r="H697">
        <v>69</v>
      </c>
      <c r="I697">
        <f>IF(Table1[[#This Row],[Status]]= "Sufficient",
     Table1[[#This Row],[Stock_Quantity]] - Table1[[#This Row],[Reorder_Level]],
     0)</f>
        <v>28</v>
      </c>
      <c r="J697" s="4">
        <v>45262</v>
      </c>
      <c r="K697" s="5" t="s">
        <v>14</v>
      </c>
      <c r="L697">
        <f>YEAR(Table1[[#This Row],[Last_Restock_Date]])</f>
        <v>2023</v>
      </c>
      <c r="M697" t="str">
        <f>_xlfn.CONCAT(TEXT(Table1[[#This Row],[Last_Restock_Date]],"mmm"), "-", YEAR(Table1[[#This Row],[Last_Restock_Date]]))</f>
        <v>Dec-2023</v>
      </c>
      <c r="N697">
        <f>MONTH(Table1[[#This Row],[Last_Restock_Date]])</f>
        <v>12</v>
      </c>
      <c r="O697" t="str" cm="1">
        <f t="array" ref="O697">_xlfn.SWITCH(Table1[[#This Row],[Month_Number]],
    1,"Q1",2,"Q1",3,"Q1",
    4,"Q2",5,"Q2",6,"Q2",
    7,"Q3",8,"Q3",9,"Q3",
    10,"Q4",11,"Q4",12,"Q4",
    "Invalid Month"
)</f>
        <v>Q4</v>
      </c>
      <c r="P697" t="str">
        <f>TEXT(Table1[[#This Row],[Last_Restock_Date]],"mmm")</f>
        <v>Dec</v>
      </c>
    </row>
    <row r="698" spans="1:16" x14ac:dyDescent="0.25">
      <c r="A698">
        <v>697</v>
      </c>
      <c r="B698" s="5" t="s">
        <v>38</v>
      </c>
      <c r="C698" s="5" t="s">
        <v>26</v>
      </c>
      <c r="D698" s="5" t="s">
        <v>24</v>
      </c>
      <c r="E698" s="5" t="s">
        <v>18</v>
      </c>
      <c r="F698" s="2">
        <v>417</v>
      </c>
      <c r="G698" s="3">
        <v>22.71</v>
      </c>
      <c r="H698">
        <v>73</v>
      </c>
      <c r="I698">
        <f>IF(Table1[[#This Row],[Status]]= "Sufficient",
     Table1[[#This Row],[Stock_Quantity]] - Table1[[#This Row],[Reorder_Level]],
     0)</f>
        <v>344</v>
      </c>
      <c r="J698" s="4">
        <v>45461</v>
      </c>
      <c r="K698" s="5" t="s">
        <v>14</v>
      </c>
      <c r="L698">
        <f>YEAR(Table1[[#This Row],[Last_Restock_Date]])</f>
        <v>2024</v>
      </c>
      <c r="M698" t="str">
        <f>_xlfn.CONCAT(TEXT(Table1[[#This Row],[Last_Restock_Date]],"mmm"), "-", YEAR(Table1[[#This Row],[Last_Restock_Date]]))</f>
        <v>Jun-2024</v>
      </c>
      <c r="N698">
        <f>MONTH(Table1[[#This Row],[Last_Restock_Date]])</f>
        <v>6</v>
      </c>
      <c r="O698" t="str" cm="1">
        <f t="array" ref="O698">_xlfn.SWITCH(Table1[[#This Row],[Month_Number]],
    1,"Q1",2,"Q1",3,"Q1",
    4,"Q2",5,"Q2",6,"Q2",
    7,"Q3",8,"Q3",9,"Q3",
    10,"Q4",11,"Q4",12,"Q4",
    "Invalid Month"
)</f>
        <v>Q2</v>
      </c>
      <c r="P698" t="str">
        <f>TEXT(Table1[[#This Row],[Last_Restock_Date]],"mmm")</f>
        <v>Jun</v>
      </c>
    </row>
    <row r="699" spans="1:16" x14ac:dyDescent="0.25">
      <c r="A699">
        <v>698</v>
      </c>
      <c r="B699" s="5" t="s">
        <v>25</v>
      </c>
      <c r="C699" s="5" t="s">
        <v>26</v>
      </c>
      <c r="D699" s="5" t="s">
        <v>17</v>
      </c>
      <c r="E699" s="5" t="s">
        <v>18</v>
      </c>
      <c r="F699" s="2">
        <v>259</v>
      </c>
      <c r="G699" s="3">
        <v>197.62</v>
      </c>
      <c r="H699">
        <v>124</v>
      </c>
      <c r="I699">
        <f>IF(Table1[[#This Row],[Status]]= "Sufficient",
     Table1[[#This Row],[Stock_Quantity]] - Table1[[#This Row],[Reorder_Level]],
     0)</f>
        <v>135</v>
      </c>
      <c r="J699" s="4">
        <v>45535</v>
      </c>
      <c r="K699" s="5" t="s">
        <v>14</v>
      </c>
      <c r="L699">
        <f>YEAR(Table1[[#This Row],[Last_Restock_Date]])</f>
        <v>2024</v>
      </c>
      <c r="M699" t="str">
        <f>_xlfn.CONCAT(TEXT(Table1[[#This Row],[Last_Restock_Date]],"mmm"), "-", YEAR(Table1[[#This Row],[Last_Restock_Date]]))</f>
        <v>Aug-2024</v>
      </c>
      <c r="N699">
        <f>MONTH(Table1[[#This Row],[Last_Restock_Date]])</f>
        <v>8</v>
      </c>
      <c r="O699" t="str" cm="1">
        <f t="array" ref="O699">_xlfn.SWITCH(Table1[[#This Row],[Month_Number]],
    1,"Q1",2,"Q1",3,"Q1",
    4,"Q2",5,"Q2",6,"Q2",
    7,"Q3",8,"Q3",9,"Q3",
    10,"Q4",11,"Q4",12,"Q4",
    "Invalid Month"
)</f>
        <v>Q3</v>
      </c>
      <c r="P699" t="str">
        <f>TEXT(Table1[[#This Row],[Last_Restock_Date]],"mmm")</f>
        <v>Aug</v>
      </c>
    </row>
    <row r="700" spans="1:16" x14ac:dyDescent="0.25">
      <c r="A700">
        <v>699</v>
      </c>
      <c r="B700" s="5" t="s">
        <v>50</v>
      </c>
      <c r="C700" s="5" t="s">
        <v>34</v>
      </c>
      <c r="D700" s="5" t="s">
        <v>24</v>
      </c>
      <c r="E700" s="5" t="s">
        <v>39</v>
      </c>
      <c r="F700" s="2">
        <v>195</v>
      </c>
      <c r="G700" s="3">
        <v>487.44</v>
      </c>
      <c r="H700">
        <v>53</v>
      </c>
      <c r="I700">
        <f>IF(Table1[[#This Row],[Status]]= "Sufficient",
     Table1[[#This Row],[Stock_Quantity]] - Table1[[#This Row],[Reorder_Level]],
     0)</f>
        <v>142</v>
      </c>
      <c r="J700" s="4">
        <v>45241</v>
      </c>
      <c r="K700" s="5" t="s">
        <v>14</v>
      </c>
      <c r="L700">
        <f>YEAR(Table1[[#This Row],[Last_Restock_Date]])</f>
        <v>2023</v>
      </c>
      <c r="M700" t="str">
        <f>_xlfn.CONCAT(TEXT(Table1[[#This Row],[Last_Restock_Date]],"mmm"), "-", YEAR(Table1[[#This Row],[Last_Restock_Date]]))</f>
        <v>Nov-2023</v>
      </c>
      <c r="N700">
        <f>MONTH(Table1[[#This Row],[Last_Restock_Date]])</f>
        <v>11</v>
      </c>
      <c r="O700" t="str" cm="1">
        <f t="array" ref="O700">_xlfn.SWITCH(Table1[[#This Row],[Month_Number]],
    1,"Q1",2,"Q1",3,"Q1",
    4,"Q2",5,"Q2",6,"Q2",
    7,"Q3",8,"Q3",9,"Q3",
    10,"Q4",11,"Q4",12,"Q4",
    "Invalid Month"
)</f>
        <v>Q4</v>
      </c>
      <c r="P700" t="str">
        <f>TEXT(Table1[[#This Row],[Last_Restock_Date]],"mmm")</f>
        <v>Nov</v>
      </c>
    </row>
    <row r="701" spans="1:16" x14ac:dyDescent="0.25">
      <c r="A701">
        <v>700</v>
      </c>
      <c r="B701" s="5" t="s">
        <v>46</v>
      </c>
      <c r="C701" s="5" t="s">
        <v>34</v>
      </c>
      <c r="D701" s="5" t="s">
        <v>12</v>
      </c>
      <c r="E701" s="5" t="s">
        <v>13</v>
      </c>
      <c r="F701" s="2">
        <v>216</v>
      </c>
      <c r="G701" s="3">
        <v>458.67</v>
      </c>
      <c r="H701">
        <v>67</v>
      </c>
      <c r="I701">
        <f>IF(Table1[[#This Row],[Status]]= "Sufficient",
     Table1[[#This Row],[Stock_Quantity]] - Table1[[#This Row],[Reorder_Level]],
     0)</f>
        <v>149</v>
      </c>
      <c r="J701" s="4">
        <v>45109</v>
      </c>
      <c r="K701" s="5" t="s">
        <v>14</v>
      </c>
      <c r="L701">
        <f>YEAR(Table1[[#This Row],[Last_Restock_Date]])</f>
        <v>2023</v>
      </c>
      <c r="M701" t="str">
        <f>_xlfn.CONCAT(TEXT(Table1[[#This Row],[Last_Restock_Date]],"mmm"), "-", YEAR(Table1[[#This Row],[Last_Restock_Date]]))</f>
        <v>Jul-2023</v>
      </c>
      <c r="N701">
        <f>MONTH(Table1[[#This Row],[Last_Restock_Date]])</f>
        <v>7</v>
      </c>
      <c r="O701" t="str" cm="1">
        <f t="array" ref="O701">_xlfn.SWITCH(Table1[[#This Row],[Month_Number]],
    1,"Q1",2,"Q1",3,"Q1",
    4,"Q2",5,"Q2",6,"Q2",
    7,"Q3",8,"Q3",9,"Q3",
    10,"Q4",11,"Q4",12,"Q4",
    "Invalid Month"
)</f>
        <v>Q3</v>
      </c>
      <c r="P701" t="str">
        <f>TEXT(Table1[[#This Row],[Last_Restock_Date]],"mmm")</f>
        <v>Jul</v>
      </c>
    </row>
    <row r="702" spans="1:16" x14ac:dyDescent="0.25">
      <c r="A702">
        <v>701</v>
      </c>
      <c r="B702" s="5" t="s">
        <v>51</v>
      </c>
      <c r="C702" s="5" t="s">
        <v>11</v>
      </c>
      <c r="D702" s="5" t="s">
        <v>17</v>
      </c>
      <c r="E702" s="5" t="s">
        <v>27</v>
      </c>
      <c r="F702" s="2">
        <v>268</v>
      </c>
      <c r="G702" s="3">
        <v>619.78</v>
      </c>
      <c r="H702">
        <v>105</v>
      </c>
      <c r="I702">
        <f>IF(Table1[[#This Row],[Status]]= "Sufficient",
     Table1[[#This Row],[Stock_Quantity]] - Table1[[#This Row],[Reorder_Level]],
     0)</f>
        <v>163</v>
      </c>
      <c r="J702" s="4">
        <v>44950</v>
      </c>
      <c r="K702" s="5" t="s">
        <v>14</v>
      </c>
      <c r="L702">
        <f>YEAR(Table1[[#This Row],[Last_Restock_Date]])</f>
        <v>2023</v>
      </c>
      <c r="M702" t="str">
        <f>_xlfn.CONCAT(TEXT(Table1[[#This Row],[Last_Restock_Date]],"mmm"), "-", YEAR(Table1[[#This Row],[Last_Restock_Date]]))</f>
        <v>Jan-2023</v>
      </c>
      <c r="N702">
        <f>MONTH(Table1[[#This Row],[Last_Restock_Date]])</f>
        <v>1</v>
      </c>
      <c r="O702" t="str" cm="1">
        <f t="array" ref="O702">_xlfn.SWITCH(Table1[[#This Row],[Month_Number]],
    1,"Q1",2,"Q1",3,"Q1",
    4,"Q2",5,"Q2",6,"Q2",
    7,"Q3",8,"Q3",9,"Q3",
    10,"Q4",11,"Q4",12,"Q4",
    "Invalid Month"
)</f>
        <v>Q1</v>
      </c>
      <c r="P702" t="str">
        <f>TEXT(Table1[[#This Row],[Last_Restock_Date]],"mmm")</f>
        <v>Jan</v>
      </c>
    </row>
    <row r="703" spans="1:16" x14ac:dyDescent="0.25">
      <c r="A703">
        <v>702</v>
      </c>
      <c r="B703" s="5" t="s">
        <v>51</v>
      </c>
      <c r="C703" s="5" t="s">
        <v>11</v>
      </c>
      <c r="D703" s="5" t="s">
        <v>24</v>
      </c>
      <c r="E703" s="5" t="s">
        <v>32</v>
      </c>
      <c r="F703" s="2">
        <v>383</v>
      </c>
      <c r="G703" s="3">
        <v>667.72</v>
      </c>
      <c r="H703">
        <v>81</v>
      </c>
      <c r="I703">
        <f>IF(Table1[[#This Row],[Status]]= "Sufficient",
     Table1[[#This Row],[Stock_Quantity]] - Table1[[#This Row],[Reorder_Level]],
     0)</f>
        <v>302</v>
      </c>
      <c r="J703" s="4">
        <v>44954</v>
      </c>
      <c r="K703" s="5" t="s">
        <v>14</v>
      </c>
      <c r="L703">
        <f>YEAR(Table1[[#This Row],[Last_Restock_Date]])</f>
        <v>2023</v>
      </c>
      <c r="M703" t="str">
        <f>_xlfn.CONCAT(TEXT(Table1[[#This Row],[Last_Restock_Date]],"mmm"), "-", YEAR(Table1[[#This Row],[Last_Restock_Date]]))</f>
        <v>Jan-2023</v>
      </c>
      <c r="N703">
        <f>MONTH(Table1[[#This Row],[Last_Restock_Date]])</f>
        <v>1</v>
      </c>
      <c r="O703" t="str" cm="1">
        <f t="array" ref="O703">_xlfn.SWITCH(Table1[[#This Row],[Month_Number]],
    1,"Q1",2,"Q1",3,"Q1",
    4,"Q2",5,"Q2",6,"Q2",
    7,"Q3",8,"Q3",9,"Q3",
    10,"Q4",11,"Q4",12,"Q4",
    "Invalid Month"
)</f>
        <v>Q1</v>
      </c>
      <c r="P703" t="str">
        <f>TEXT(Table1[[#This Row],[Last_Restock_Date]],"mmm")</f>
        <v>Jan</v>
      </c>
    </row>
    <row r="704" spans="1:16" x14ac:dyDescent="0.25">
      <c r="A704">
        <v>703</v>
      </c>
      <c r="B704" s="5" t="s">
        <v>38</v>
      </c>
      <c r="C704" s="5" t="s">
        <v>26</v>
      </c>
      <c r="D704" s="5" t="s">
        <v>30</v>
      </c>
      <c r="E704" s="5" t="s">
        <v>18</v>
      </c>
      <c r="F704" s="2">
        <v>143</v>
      </c>
      <c r="G704" s="3">
        <v>43.18</v>
      </c>
      <c r="H704">
        <v>57</v>
      </c>
      <c r="I704">
        <f>IF(Table1[[#This Row],[Status]]= "Sufficient",
     Table1[[#This Row],[Stock_Quantity]] - Table1[[#This Row],[Reorder_Level]],
     0)</f>
        <v>86</v>
      </c>
      <c r="J704" s="4">
        <v>45655</v>
      </c>
      <c r="K704" s="5" t="s">
        <v>14</v>
      </c>
      <c r="L704">
        <f>YEAR(Table1[[#This Row],[Last_Restock_Date]])</f>
        <v>2024</v>
      </c>
      <c r="M704" t="str">
        <f>_xlfn.CONCAT(TEXT(Table1[[#This Row],[Last_Restock_Date]],"mmm"), "-", YEAR(Table1[[#This Row],[Last_Restock_Date]]))</f>
        <v>Dec-2024</v>
      </c>
      <c r="N704">
        <f>MONTH(Table1[[#This Row],[Last_Restock_Date]])</f>
        <v>12</v>
      </c>
      <c r="O704" t="str" cm="1">
        <f t="array" ref="O704">_xlfn.SWITCH(Table1[[#This Row],[Month_Number]],
    1,"Q1",2,"Q1",3,"Q1",
    4,"Q2",5,"Q2",6,"Q2",
    7,"Q3",8,"Q3",9,"Q3",
    10,"Q4",11,"Q4",12,"Q4",
    "Invalid Month"
)</f>
        <v>Q4</v>
      </c>
      <c r="P704" t="str">
        <f>TEXT(Table1[[#This Row],[Last_Restock_Date]],"mmm")</f>
        <v>Dec</v>
      </c>
    </row>
    <row r="705" spans="1:16" x14ac:dyDescent="0.25">
      <c r="A705">
        <v>704</v>
      </c>
      <c r="B705" s="5" t="s">
        <v>22</v>
      </c>
      <c r="C705" s="5" t="s">
        <v>11</v>
      </c>
      <c r="D705" s="5" t="s">
        <v>17</v>
      </c>
      <c r="E705" s="5" t="s">
        <v>37</v>
      </c>
      <c r="F705" s="2">
        <v>86</v>
      </c>
      <c r="G705" s="3">
        <v>481.18</v>
      </c>
      <c r="H705">
        <v>146</v>
      </c>
      <c r="I705">
        <f>IF(Table1[[#This Row],[Status]]= "Sufficient",
     Table1[[#This Row],[Stock_Quantity]] - Table1[[#This Row],[Reorder_Level]],
     0)</f>
        <v>0</v>
      </c>
      <c r="J705" s="4">
        <v>45244</v>
      </c>
      <c r="K705" s="5" t="s">
        <v>28</v>
      </c>
      <c r="L705">
        <f>YEAR(Table1[[#This Row],[Last_Restock_Date]])</f>
        <v>2023</v>
      </c>
      <c r="M705" t="str">
        <f>_xlfn.CONCAT(TEXT(Table1[[#This Row],[Last_Restock_Date]],"mmm"), "-", YEAR(Table1[[#This Row],[Last_Restock_Date]]))</f>
        <v>Nov-2023</v>
      </c>
      <c r="N705">
        <f>MONTH(Table1[[#This Row],[Last_Restock_Date]])</f>
        <v>11</v>
      </c>
      <c r="O705" t="str" cm="1">
        <f t="array" ref="O705">_xlfn.SWITCH(Table1[[#This Row],[Month_Number]],
    1,"Q1",2,"Q1",3,"Q1",
    4,"Q2",5,"Q2",6,"Q2",
    7,"Q3",8,"Q3",9,"Q3",
    10,"Q4",11,"Q4",12,"Q4",
    "Invalid Month"
)</f>
        <v>Q4</v>
      </c>
      <c r="P705" t="str">
        <f>TEXT(Table1[[#This Row],[Last_Restock_Date]],"mmm")</f>
        <v>Nov</v>
      </c>
    </row>
    <row r="706" spans="1:16" x14ac:dyDescent="0.25">
      <c r="A706">
        <v>705</v>
      </c>
      <c r="B706" s="5" t="s">
        <v>51</v>
      </c>
      <c r="C706" s="5" t="s">
        <v>11</v>
      </c>
      <c r="D706" s="5" t="s">
        <v>17</v>
      </c>
      <c r="E706" s="5" t="s">
        <v>32</v>
      </c>
      <c r="F706" s="2">
        <v>251</v>
      </c>
      <c r="G706" s="3">
        <v>194.17</v>
      </c>
      <c r="H706">
        <v>75</v>
      </c>
      <c r="I706">
        <f>IF(Table1[[#This Row],[Status]]= "Sufficient",
     Table1[[#This Row],[Stock_Quantity]] - Table1[[#This Row],[Reorder_Level]],
     0)</f>
        <v>176</v>
      </c>
      <c r="J706" s="4">
        <v>45463</v>
      </c>
      <c r="K706" s="5" t="s">
        <v>14</v>
      </c>
      <c r="L706">
        <f>YEAR(Table1[[#This Row],[Last_Restock_Date]])</f>
        <v>2024</v>
      </c>
      <c r="M706" t="str">
        <f>_xlfn.CONCAT(TEXT(Table1[[#This Row],[Last_Restock_Date]],"mmm"), "-", YEAR(Table1[[#This Row],[Last_Restock_Date]]))</f>
        <v>Jun-2024</v>
      </c>
      <c r="N706">
        <f>MONTH(Table1[[#This Row],[Last_Restock_Date]])</f>
        <v>6</v>
      </c>
      <c r="O706" t="str" cm="1">
        <f t="array" ref="O706">_xlfn.SWITCH(Table1[[#This Row],[Month_Number]],
    1,"Q1",2,"Q1",3,"Q1",
    4,"Q2",5,"Q2",6,"Q2",
    7,"Q3",8,"Q3",9,"Q3",
    10,"Q4",11,"Q4",12,"Q4",
    "Invalid Month"
)</f>
        <v>Q2</v>
      </c>
      <c r="P706" t="str">
        <f>TEXT(Table1[[#This Row],[Last_Restock_Date]],"mmm")</f>
        <v>Jun</v>
      </c>
    </row>
    <row r="707" spans="1:16" x14ac:dyDescent="0.25">
      <c r="A707">
        <v>706</v>
      </c>
      <c r="B707" s="5" t="s">
        <v>35</v>
      </c>
      <c r="C707" s="5" t="s">
        <v>11</v>
      </c>
      <c r="D707" s="5" t="s">
        <v>24</v>
      </c>
      <c r="E707" s="5" t="s">
        <v>27</v>
      </c>
      <c r="F707" s="2">
        <v>137</v>
      </c>
      <c r="G707" s="3">
        <v>511.04</v>
      </c>
      <c r="H707">
        <v>103</v>
      </c>
      <c r="I707">
        <f>IF(Table1[[#This Row],[Status]]= "Sufficient",
     Table1[[#This Row],[Stock_Quantity]] - Table1[[#This Row],[Reorder_Level]],
     0)</f>
        <v>34</v>
      </c>
      <c r="J707" s="4">
        <v>45092</v>
      </c>
      <c r="K707" s="5" t="s">
        <v>14</v>
      </c>
      <c r="L707">
        <f>YEAR(Table1[[#This Row],[Last_Restock_Date]])</f>
        <v>2023</v>
      </c>
      <c r="M707" t="str">
        <f>_xlfn.CONCAT(TEXT(Table1[[#This Row],[Last_Restock_Date]],"mmm"), "-", YEAR(Table1[[#This Row],[Last_Restock_Date]]))</f>
        <v>Jun-2023</v>
      </c>
      <c r="N707">
        <f>MONTH(Table1[[#This Row],[Last_Restock_Date]])</f>
        <v>6</v>
      </c>
      <c r="O707" t="str" cm="1">
        <f t="array" ref="O707">_xlfn.SWITCH(Table1[[#This Row],[Month_Number]],
    1,"Q1",2,"Q1",3,"Q1",
    4,"Q2",5,"Q2",6,"Q2",
    7,"Q3",8,"Q3",9,"Q3",
    10,"Q4",11,"Q4",12,"Q4",
    "Invalid Month"
)</f>
        <v>Q2</v>
      </c>
      <c r="P707" t="str">
        <f>TEXT(Table1[[#This Row],[Last_Restock_Date]],"mmm")</f>
        <v>Jun</v>
      </c>
    </row>
    <row r="708" spans="1:16" x14ac:dyDescent="0.25">
      <c r="A708">
        <v>707</v>
      </c>
      <c r="B708" s="5" t="s">
        <v>45</v>
      </c>
      <c r="C708" s="5" t="s">
        <v>26</v>
      </c>
      <c r="D708" s="5" t="s">
        <v>12</v>
      </c>
      <c r="E708" s="5" t="s">
        <v>39</v>
      </c>
      <c r="F708" s="2">
        <v>20</v>
      </c>
      <c r="G708" s="3">
        <v>369.77</v>
      </c>
      <c r="H708">
        <v>62</v>
      </c>
      <c r="I708">
        <f>IF(Table1[[#This Row],[Status]]= "Sufficient",
     Table1[[#This Row],[Stock_Quantity]] - Table1[[#This Row],[Reorder_Level]],
     0)</f>
        <v>0</v>
      </c>
      <c r="J708" s="4">
        <v>45958</v>
      </c>
      <c r="K708" s="5" t="s">
        <v>28</v>
      </c>
      <c r="L708">
        <f>YEAR(Table1[[#This Row],[Last_Restock_Date]])</f>
        <v>2025</v>
      </c>
      <c r="M708" t="str">
        <f>_xlfn.CONCAT(TEXT(Table1[[#This Row],[Last_Restock_Date]],"mmm"), "-", YEAR(Table1[[#This Row],[Last_Restock_Date]]))</f>
        <v>Oct-2025</v>
      </c>
      <c r="N708">
        <f>MONTH(Table1[[#This Row],[Last_Restock_Date]])</f>
        <v>10</v>
      </c>
      <c r="O708" t="str" cm="1">
        <f t="array" ref="O708">_xlfn.SWITCH(Table1[[#This Row],[Month_Number]],
    1,"Q1",2,"Q1",3,"Q1",
    4,"Q2",5,"Q2",6,"Q2",
    7,"Q3",8,"Q3",9,"Q3",
    10,"Q4",11,"Q4",12,"Q4",
    "Invalid Month"
)</f>
        <v>Q4</v>
      </c>
      <c r="P708" t="str">
        <f>TEXT(Table1[[#This Row],[Last_Restock_Date]],"mmm")</f>
        <v>Oct</v>
      </c>
    </row>
    <row r="709" spans="1:16" x14ac:dyDescent="0.25">
      <c r="A709">
        <v>708</v>
      </c>
      <c r="B709" s="5" t="s">
        <v>41</v>
      </c>
      <c r="C709" s="5" t="s">
        <v>16</v>
      </c>
      <c r="D709" s="5" t="s">
        <v>17</v>
      </c>
      <c r="E709" s="5" t="s">
        <v>27</v>
      </c>
      <c r="F709" s="2">
        <v>161</v>
      </c>
      <c r="G709" s="3">
        <v>356.04</v>
      </c>
      <c r="H709">
        <v>118</v>
      </c>
      <c r="I709">
        <f>IF(Table1[[#This Row],[Status]]= "Sufficient",
     Table1[[#This Row],[Stock_Quantity]] - Table1[[#This Row],[Reorder_Level]],
     0)</f>
        <v>43</v>
      </c>
      <c r="J709" s="4">
        <v>45677</v>
      </c>
      <c r="K709" s="5" t="s">
        <v>14</v>
      </c>
      <c r="L709">
        <f>YEAR(Table1[[#This Row],[Last_Restock_Date]])</f>
        <v>2025</v>
      </c>
      <c r="M709" t="str">
        <f>_xlfn.CONCAT(TEXT(Table1[[#This Row],[Last_Restock_Date]],"mmm"), "-", YEAR(Table1[[#This Row],[Last_Restock_Date]]))</f>
        <v>Jan-2025</v>
      </c>
      <c r="N709">
        <f>MONTH(Table1[[#This Row],[Last_Restock_Date]])</f>
        <v>1</v>
      </c>
      <c r="O709" t="str" cm="1">
        <f t="array" ref="O709">_xlfn.SWITCH(Table1[[#This Row],[Month_Number]],
    1,"Q1",2,"Q1",3,"Q1",
    4,"Q2",5,"Q2",6,"Q2",
    7,"Q3",8,"Q3",9,"Q3",
    10,"Q4",11,"Q4",12,"Q4",
    "Invalid Month"
)</f>
        <v>Q1</v>
      </c>
      <c r="P709" t="str">
        <f>TEXT(Table1[[#This Row],[Last_Restock_Date]],"mmm")</f>
        <v>Jan</v>
      </c>
    </row>
    <row r="710" spans="1:16" x14ac:dyDescent="0.25">
      <c r="A710">
        <v>709</v>
      </c>
      <c r="B710" s="5" t="s">
        <v>10</v>
      </c>
      <c r="C710" s="5" t="s">
        <v>11</v>
      </c>
      <c r="D710" s="5" t="s">
        <v>12</v>
      </c>
      <c r="E710" s="5" t="s">
        <v>27</v>
      </c>
      <c r="F710" s="2">
        <v>54</v>
      </c>
      <c r="G710" s="3">
        <v>737.06</v>
      </c>
      <c r="H710">
        <v>69</v>
      </c>
      <c r="I710">
        <f>IF(Table1[[#This Row],[Status]]= "Sufficient",
     Table1[[#This Row],[Stock_Quantity]] - Table1[[#This Row],[Reorder_Level]],
     0)</f>
        <v>0</v>
      </c>
      <c r="J710" s="4">
        <v>45818</v>
      </c>
      <c r="K710" s="5" t="s">
        <v>28</v>
      </c>
      <c r="L710">
        <f>YEAR(Table1[[#This Row],[Last_Restock_Date]])</f>
        <v>2025</v>
      </c>
      <c r="M710" t="str">
        <f>_xlfn.CONCAT(TEXT(Table1[[#This Row],[Last_Restock_Date]],"mmm"), "-", YEAR(Table1[[#This Row],[Last_Restock_Date]]))</f>
        <v>Jun-2025</v>
      </c>
      <c r="N710">
        <f>MONTH(Table1[[#This Row],[Last_Restock_Date]])</f>
        <v>6</v>
      </c>
      <c r="O710" t="str" cm="1">
        <f t="array" ref="O710">_xlfn.SWITCH(Table1[[#This Row],[Month_Number]],
    1,"Q1",2,"Q1",3,"Q1",
    4,"Q2",5,"Q2",6,"Q2",
    7,"Q3",8,"Q3",9,"Q3",
    10,"Q4",11,"Q4",12,"Q4",
    "Invalid Month"
)</f>
        <v>Q2</v>
      </c>
      <c r="P710" t="str">
        <f>TEXT(Table1[[#This Row],[Last_Restock_Date]],"mmm")</f>
        <v>Jun</v>
      </c>
    </row>
    <row r="711" spans="1:16" x14ac:dyDescent="0.25">
      <c r="A711">
        <v>710</v>
      </c>
      <c r="B711" s="5" t="s">
        <v>54</v>
      </c>
      <c r="C711" s="5" t="s">
        <v>20</v>
      </c>
      <c r="D711" s="5" t="s">
        <v>12</v>
      </c>
      <c r="E711" s="5" t="s">
        <v>13</v>
      </c>
      <c r="F711" s="2">
        <v>495</v>
      </c>
      <c r="G711" s="3">
        <v>329.23</v>
      </c>
      <c r="H711">
        <v>72</v>
      </c>
      <c r="I711">
        <f>IF(Table1[[#This Row],[Status]]= "Sufficient",
     Table1[[#This Row],[Stock_Quantity]] - Table1[[#This Row],[Reorder_Level]],
     0)</f>
        <v>423</v>
      </c>
      <c r="J711" s="4">
        <v>45044</v>
      </c>
      <c r="K711" s="5" t="s">
        <v>14</v>
      </c>
      <c r="L711">
        <f>YEAR(Table1[[#This Row],[Last_Restock_Date]])</f>
        <v>2023</v>
      </c>
      <c r="M711" t="str">
        <f>_xlfn.CONCAT(TEXT(Table1[[#This Row],[Last_Restock_Date]],"mmm"), "-", YEAR(Table1[[#This Row],[Last_Restock_Date]]))</f>
        <v>Apr-2023</v>
      </c>
      <c r="N711">
        <f>MONTH(Table1[[#This Row],[Last_Restock_Date]])</f>
        <v>4</v>
      </c>
      <c r="O711" t="str" cm="1">
        <f t="array" ref="O711">_xlfn.SWITCH(Table1[[#This Row],[Month_Number]],
    1,"Q1",2,"Q1",3,"Q1",
    4,"Q2",5,"Q2",6,"Q2",
    7,"Q3",8,"Q3",9,"Q3",
    10,"Q4",11,"Q4",12,"Q4",
    "Invalid Month"
)</f>
        <v>Q2</v>
      </c>
      <c r="P711" t="str">
        <f>TEXT(Table1[[#This Row],[Last_Restock_Date]],"mmm")</f>
        <v>Apr</v>
      </c>
    </row>
    <row r="712" spans="1:16" x14ac:dyDescent="0.25">
      <c r="A712">
        <v>711</v>
      </c>
      <c r="B712" s="5" t="s">
        <v>49</v>
      </c>
      <c r="C712" s="5" t="s">
        <v>16</v>
      </c>
      <c r="D712" s="5" t="s">
        <v>12</v>
      </c>
      <c r="E712" s="5" t="s">
        <v>13</v>
      </c>
      <c r="F712" s="2">
        <v>280</v>
      </c>
      <c r="G712" s="3">
        <v>579.1</v>
      </c>
      <c r="H712">
        <v>120</v>
      </c>
      <c r="I712">
        <f>IF(Table1[[#This Row],[Status]]= "Sufficient",
     Table1[[#This Row],[Stock_Quantity]] - Table1[[#This Row],[Reorder_Level]],
     0)</f>
        <v>160</v>
      </c>
      <c r="J712" s="4">
        <v>44967</v>
      </c>
      <c r="K712" s="5" t="s">
        <v>14</v>
      </c>
      <c r="L712">
        <f>YEAR(Table1[[#This Row],[Last_Restock_Date]])</f>
        <v>2023</v>
      </c>
      <c r="M712" t="str">
        <f>_xlfn.CONCAT(TEXT(Table1[[#This Row],[Last_Restock_Date]],"mmm"), "-", YEAR(Table1[[#This Row],[Last_Restock_Date]]))</f>
        <v>Feb-2023</v>
      </c>
      <c r="N712">
        <f>MONTH(Table1[[#This Row],[Last_Restock_Date]])</f>
        <v>2</v>
      </c>
      <c r="O712" t="str" cm="1">
        <f t="array" ref="O712">_xlfn.SWITCH(Table1[[#This Row],[Month_Number]],
    1,"Q1",2,"Q1",3,"Q1",
    4,"Q2",5,"Q2",6,"Q2",
    7,"Q3",8,"Q3",9,"Q3",
    10,"Q4",11,"Q4",12,"Q4",
    "Invalid Month"
)</f>
        <v>Q1</v>
      </c>
      <c r="P712" t="str">
        <f>TEXT(Table1[[#This Row],[Last_Restock_Date]],"mmm")</f>
        <v>Feb</v>
      </c>
    </row>
    <row r="713" spans="1:16" x14ac:dyDescent="0.25">
      <c r="A713">
        <v>712</v>
      </c>
      <c r="B713" s="5" t="s">
        <v>52</v>
      </c>
      <c r="C713" s="5" t="s">
        <v>16</v>
      </c>
      <c r="D713" s="5" t="s">
        <v>30</v>
      </c>
      <c r="E713" s="5" t="s">
        <v>13</v>
      </c>
      <c r="F713" s="2">
        <v>23</v>
      </c>
      <c r="G713" s="3">
        <v>393.37</v>
      </c>
      <c r="H713">
        <v>114</v>
      </c>
      <c r="I713">
        <f>IF(Table1[[#This Row],[Status]]= "Sufficient",
     Table1[[#This Row],[Stock_Quantity]] - Table1[[#This Row],[Reorder_Level]],
     0)</f>
        <v>0</v>
      </c>
      <c r="J713" s="4">
        <v>45292</v>
      </c>
      <c r="K713" s="5" t="s">
        <v>28</v>
      </c>
      <c r="L713">
        <f>YEAR(Table1[[#This Row],[Last_Restock_Date]])</f>
        <v>2024</v>
      </c>
      <c r="M713" t="str">
        <f>_xlfn.CONCAT(TEXT(Table1[[#This Row],[Last_Restock_Date]],"mmm"), "-", YEAR(Table1[[#This Row],[Last_Restock_Date]]))</f>
        <v>Jan-2024</v>
      </c>
      <c r="N713">
        <f>MONTH(Table1[[#This Row],[Last_Restock_Date]])</f>
        <v>1</v>
      </c>
      <c r="O713" t="str" cm="1">
        <f t="array" ref="O713">_xlfn.SWITCH(Table1[[#This Row],[Month_Number]],
    1,"Q1",2,"Q1",3,"Q1",
    4,"Q2",5,"Q2",6,"Q2",
    7,"Q3",8,"Q3",9,"Q3",
    10,"Q4",11,"Q4",12,"Q4",
    "Invalid Month"
)</f>
        <v>Q1</v>
      </c>
      <c r="P713" t="str">
        <f>TEXT(Table1[[#This Row],[Last_Restock_Date]],"mmm")</f>
        <v>Jan</v>
      </c>
    </row>
    <row r="714" spans="1:16" x14ac:dyDescent="0.25">
      <c r="A714">
        <v>713</v>
      </c>
      <c r="B714" s="5" t="s">
        <v>41</v>
      </c>
      <c r="C714" s="5" t="s">
        <v>16</v>
      </c>
      <c r="D714" s="5" t="s">
        <v>12</v>
      </c>
      <c r="E714" s="5" t="s">
        <v>27</v>
      </c>
      <c r="F714" s="2">
        <v>310</v>
      </c>
      <c r="G714" s="3">
        <v>82.58</v>
      </c>
      <c r="H714">
        <v>128</v>
      </c>
      <c r="I714">
        <f>IF(Table1[[#This Row],[Status]]= "Sufficient",
     Table1[[#This Row],[Stock_Quantity]] - Table1[[#This Row],[Reorder_Level]],
     0)</f>
        <v>182</v>
      </c>
      <c r="J714" s="4">
        <v>45143</v>
      </c>
      <c r="K714" s="5" t="s">
        <v>14</v>
      </c>
      <c r="L714">
        <f>YEAR(Table1[[#This Row],[Last_Restock_Date]])</f>
        <v>2023</v>
      </c>
      <c r="M714" t="str">
        <f>_xlfn.CONCAT(TEXT(Table1[[#This Row],[Last_Restock_Date]],"mmm"), "-", YEAR(Table1[[#This Row],[Last_Restock_Date]]))</f>
        <v>Aug-2023</v>
      </c>
      <c r="N714">
        <f>MONTH(Table1[[#This Row],[Last_Restock_Date]])</f>
        <v>8</v>
      </c>
      <c r="O714" t="str" cm="1">
        <f t="array" ref="O714">_xlfn.SWITCH(Table1[[#This Row],[Month_Number]],
    1,"Q1",2,"Q1",3,"Q1",
    4,"Q2",5,"Q2",6,"Q2",
    7,"Q3",8,"Q3",9,"Q3",
    10,"Q4",11,"Q4",12,"Q4",
    "Invalid Month"
)</f>
        <v>Q3</v>
      </c>
      <c r="P714" t="str">
        <f>TEXT(Table1[[#This Row],[Last_Restock_Date]],"mmm")</f>
        <v>Aug</v>
      </c>
    </row>
    <row r="715" spans="1:16" x14ac:dyDescent="0.25">
      <c r="A715">
        <v>714</v>
      </c>
      <c r="B715" s="5" t="s">
        <v>22</v>
      </c>
      <c r="C715" s="5" t="s">
        <v>11</v>
      </c>
      <c r="D715" s="5" t="s">
        <v>17</v>
      </c>
      <c r="E715" s="5" t="s">
        <v>37</v>
      </c>
      <c r="F715" s="2">
        <v>463</v>
      </c>
      <c r="G715" s="3">
        <v>407.28</v>
      </c>
      <c r="H715">
        <v>141</v>
      </c>
      <c r="I715">
        <f>IF(Table1[[#This Row],[Status]]= "Sufficient",
     Table1[[#This Row],[Stock_Quantity]] - Table1[[#This Row],[Reorder_Level]],
     0)</f>
        <v>322</v>
      </c>
      <c r="J715" s="4">
        <v>45654</v>
      </c>
      <c r="K715" s="5" t="s">
        <v>14</v>
      </c>
      <c r="L715">
        <f>YEAR(Table1[[#This Row],[Last_Restock_Date]])</f>
        <v>2024</v>
      </c>
      <c r="M715" t="str">
        <f>_xlfn.CONCAT(TEXT(Table1[[#This Row],[Last_Restock_Date]],"mmm"), "-", YEAR(Table1[[#This Row],[Last_Restock_Date]]))</f>
        <v>Dec-2024</v>
      </c>
      <c r="N715">
        <f>MONTH(Table1[[#This Row],[Last_Restock_Date]])</f>
        <v>12</v>
      </c>
      <c r="O715" t="str" cm="1">
        <f t="array" ref="O715">_xlfn.SWITCH(Table1[[#This Row],[Month_Number]],
    1,"Q1",2,"Q1",3,"Q1",
    4,"Q2",5,"Q2",6,"Q2",
    7,"Q3",8,"Q3",9,"Q3",
    10,"Q4",11,"Q4",12,"Q4",
    "Invalid Month"
)</f>
        <v>Q4</v>
      </c>
      <c r="P715" t="str">
        <f>TEXT(Table1[[#This Row],[Last_Restock_Date]],"mmm")</f>
        <v>Dec</v>
      </c>
    </row>
    <row r="716" spans="1:16" x14ac:dyDescent="0.25">
      <c r="A716">
        <v>715</v>
      </c>
      <c r="B716" s="5" t="s">
        <v>53</v>
      </c>
      <c r="C716" s="5" t="s">
        <v>26</v>
      </c>
      <c r="D716" s="5" t="s">
        <v>21</v>
      </c>
      <c r="E716" s="5" t="s">
        <v>18</v>
      </c>
      <c r="F716" s="2">
        <v>183</v>
      </c>
      <c r="G716" s="3">
        <v>491.42</v>
      </c>
      <c r="H716">
        <v>91</v>
      </c>
      <c r="I716">
        <f>IF(Table1[[#This Row],[Status]]= "Sufficient",
     Table1[[#This Row],[Stock_Quantity]] - Table1[[#This Row],[Reorder_Level]],
     0)</f>
        <v>92</v>
      </c>
      <c r="J716" s="4">
        <v>45375</v>
      </c>
      <c r="K716" s="5" t="s">
        <v>14</v>
      </c>
      <c r="L716">
        <f>YEAR(Table1[[#This Row],[Last_Restock_Date]])</f>
        <v>2024</v>
      </c>
      <c r="M716" t="str">
        <f>_xlfn.CONCAT(TEXT(Table1[[#This Row],[Last_Restock_Date]],"mmm"), "-", YEAR(Table1[[#This Row],[Last_Restock_Date]]))</f>
        <v>Mar-2024</v>
      </c>
      <c r="N716">
        <f>MONTH(Table1[[#This Row],[Last_Restock_Date]])</f>
        <v>3</v>
      </c>
      <c r="O716" t="str" cm="1">
        <f t="array" ref="O716">_xlfn.SWITCH(Table1[[#This Row],[Month_Number]],
    1,"Q1",2,"Q1",3,"Q1",
    4,"Q2",5,"Q2",6,"Q2",
    7,"Q3",8,"Q3",9,"Q3",
    10,"Q4",11,"Q4",12,"Q4",
    "Invalid Month"
)</f>
        <v>Q1</v>
      </c>
      <c r="P716" t="str">
        <f>TEXT(Table1[[#This Row],[Last_Restock_Date]],"mmm")</f>
        <v>Mar</v>
      </c>
    </row>
    <row r="717" spans="1:16" x14ac:dyDescent="0.25">
      <c r="A717">
        <v>716</v>
      </c>
      <c r="B717" s="5" t="s">
        <v>44</v>
      </c>
      <c r="C717" s="5" t="s">
        <v>34</v>
      </c>
      <c r="D717" s="5" t="s">
        <v>12</v>
      </c>
      <c r="E717" s="5" t="s">
        <v>32</v>
      </c>
      <c r="F717" s="2">
        <v>217</v>
      </c>
      <c r="G717" s="3">
        <v>691.44</v>
      </c>
      <c r="H717">
        <v>75</v>
      </c>
      <c r="I717">
        <f>IF(Table1[[#This Row],[Status]]= "Sufficient",
     Table1[[#This Row],[Stock_Quantity]] - Table1[[#This Row],[Reorder_Level]],
     0)</f>
        <v>142</v>
      </c>
      <c r="J717" s="4">
        <v>45122</v>
      </c>
      <c r="K717" s="5" t="s">
        <v>14</v>
      </c>
      <c r="L717">
        <f>YEAR(Table1[[#This Row],[Last_Restock_Date]])</f>
        <v>2023</v>
      </c>
      <c r="M717" t="str">
        <f>_xlfn.CONCAT(TEXT(Table1[[#This Row],[Last_Restock_Date]],"mmm"), "-", YEAR(Table1[[#This Row],[Last_Restock_Date]]))</f>
        <v>Jul-2023</v>
      </c>
      <c r="N717">
        <f>MONTH(Table1[[#This Row],[Last_Restock_Date]])</f>
        <v>7</v>
      </c>
      <c r="O717" t="str" cm="1">
        <f t="array" ref="O717">_xlfn.SWITCH(Table1[[#This Row],[Month_Number]],
    1,"Q1",2,"Q1",3,"Q1",
    4,"Q2",5,"Q2",6,"Q2",
    7,"Q3",8,"Q3",9,"Q3",
    10,"Q4",11,"Q4",12,"Q4",
    "Invalid Month"
)</f>
        <v>Q3</v>
      </c>
      <c r="P717" t="str">
        <f>TEXT(Table1[[#This Row],[Last_Restock_Date]],"mmm")</f>
        <v>Jul</v>
      </c>
    </row>
    <row r="718" spans="1:16" x14ac:dyDescent="0.25">
      <c r="A718">
        <v>717</v>
      </c>
      <c r="B718" s="5" t="s">
        <v>33</v>
      </c>
      <c r="C718" s="5" t="s">
        <v>34</v>
      </c>
      <c r="D718" s="5" t="s">
        <v>17</v>
      </c>
      <c r="E718" s="5" t="s">
        <v>32</v>
      </c>
      <c r="F718" s="2">
        <v>89</v>
      </c>
      <c r="G718" s="3">
        <v>104.89</v>
      </c>
      <c r="H718">
        <v>59</v>
      </c>
      <c r="I718">
        <f>IF(Table1[[#This Row],[Status]]= "Sufficient",
     Table1[[#This Row],[Stock_Quantity]] - Table1[[#This Row],[Reorder_Level]],
     0)</f>
        <v>30</v>
      </c>
      <c r="J718" s="4">
        <v>45711</v>
      </c>
      <c r="K718" s="5" t="s">
        <v>14</v>
      </c>
      <c r="L718">
        <f>YEAR(Table1[[#This Row],[Last_Restock_Date]])</f>
        <v>2025</v>
      </c>
      <c r="M718" t="str">
        <f>_xlfn.CONCAT(TEXT(Table1[[#This Row],[Last_Restock_Date]],"mmm"), "-", YEAR(Table1[[#This Row],[Last_Restock_Date]]))</f>
        <v>Feb-2025</v>
      </c>
      <c r="N718">
        <f>MONTH(Table1[[#This Row],[Last_Restock_Date]])</f>
        <v>2</v>
      </c>
      <c r="O718" t="str" cm="1">
        <f t="array" ref="O718">_xlfn.SWITCH(Table1[[#This Row],[Month_Number]],
    1,"Q1",2,"Q1",3,"Q1",
    4,"Q2",5,"Q2",6,"Q2",
    7,"Q3",8,"Q3",9,"Q3",
    10,"Q4",11,"Q4",12,"Q4",
    "Invalid Month"
)</f>
        <v>Q1</v>
      </c>
      <c r="P718" t="str">
        <f>TEXT(Table1[[#This Row],[Last_Restock_Date]],"mmm")</f>
        <v>Feb</v>
      </c>
    </row>
    <row r="719" spans="1:16" x14ac:dyDescent="0.25">
      <c r="A719">
        <v>718</v>
      </c>
      <c r="B719" s="5" t="s">
        <v>38</v>
      </c>
      <c r="C719" s="5" t="s">
        <v>26</v>
      </c>
      <c r="D719" s="5" t="s">
        <v>30</v>
      </c>
      <c r="E719" s="5" t="s">
        <v>27</v>
      </c>
      <c r="F719" s="2">
        <v>179</v>
      </c>
      <c r="G719" s="3">
        <v>312.64999999999998</v>
      </c>
      <c r="H719">
        <v>58</v>
      </c>
      <c r="I719">
        <f>IF(Table1[[#This Row],[Status]]= "Sufficient",
     Table1[[#This Row],[Stock_Quantity]] - Table1[[#This Row],[Reorder_Level]],
     0)</f>
        <v>121</v>
      </c>
      <c r="J719" s="4">
        <v>45609</v>
      </c>
      <c r="K719" s="5" t="s">
        <v>14</v>
      </c>
      <c r="L719">
        <f>YEAR(Table1[[#This Row],[Last_Restock_Date]])</f>
        <v>2024</v>
      </c>
      <c r="M719" t="str">
        <f>_xlfn.CONCAT(TEXT(Table1[[#This Row],[Last_Restock_Date]],"mmm"), "-", YEAR(Table1[[#This Row],[Last_Restock_Date]]))</f>
        <v>Nov-2024</v>
      </c>
      <c r="N719">
        <f>MONTH(Table1[[#This Row],[Last_Restock_Date]])</f>
        <v>11</v>
      </c>
      <c r="O719" t="str" cm="1">
        <f t="array" ref="O719">_xlfn.SWITCH(Table1[[#This Row],[Month_Number]],
    1,"Q1",2,"Q1",3,"Q1",
    4,"Q2",5,"Q2",6,"Q2",
    7,"Q3",8,"Q3",9,"Q3",
    10,"Q4",11,"Q4",12,"Q4",
    "Invalid Month"
)</f>
        <v>Q4</v>
      </c>
      <c r="P719" t="str">
        <f>TEXT(Table1[[#This Row],[Last_Restock_Date]],"mmm")</f>
        <v>Nov</v>
      </c>
    </row>
    <row r="720" spans="1:16" x14ac:dyDescent="0.25">
      <c r="A720">
        <v>719</v>
      </c>
      <c r="B720" s="5" t="s">
        <v>48</v>
      </c>
      <c r="C720" s="5" t="s">
        <v>20</v>
      </c>
      <c r="D720" s="5" t="s">
        <v>30</v>
      </c>
      <c r="E720" s="5" t="s">
        <v>37</v>
      </c>
      <c r="F720" s="2">
        <v>488</v>
      </c>
      <c r="G720" s="3">
        <v>239.65</v>
      </c>
      <c r="H720">
        <v>85</v>
      </c>
      <c r="I720">
        <f>IF(Table1[[#This Row],[Status]]= "Sufficient",
     Table1[[#This Row],[Stock_Quantity]] - Table1[[#This Row],[Reorder_Level]],
     0)</f>
        <v>403</v>
      </c>
      <c r="J720" s="4">
        <v>45067</v>
      </c>
      <c r="K720" s="5" t="s">
        <v>14</v>
      </c>
      <c r="L720">
        <f>YEAR(Table1[[#This Row],[Last_Restock_Date]])</f>
        <v>2023</v>
      </c>
      <c r="M720" t="str">
        <f>_xlfn.CONCAT(TEXT(Table1[[#This Row],[Last_Restock_Date]],"mmm"), "-", YEAR(Table1[[#This Row],[Last_Restock_Date]]))</f>
        <v>May-2023</v>
      </c>
      <c r="N720">
        <f>MONTH(Table1[[#This Row],[Last_Restock_Date]])</f>
        <v>5</v>
      </c>
      <c r="O720" t="str" cm="1">
        <f t="array" ref="O720">_xlfn.SWITCH(Table1[[#This Row],[Month_Number]],
    1,"Q1",2,"Q1",3,"Q1",
    4,"Q2",5,"Q2",6,"Q2",
    7,"Q3",8,"Q3",9,"Q3",
    10,"Q4",11,"Q4",12,"Q4",
    "Invalid Month"
)</f>
        <v>Q2</v>
      </c>
      <c r="P720" t="str">
        <f>TEXT(Table1[[#This Row],[Last_Restock_Date]],"mmm")</f>
        <v>May</v>
      </c>
    </row>
    <row r="721" spans="1:16" x14ac:dyDescent="0.25">
      <c r="A721">
        <v>720</v>
      </c>
      <c r="B721" s="5" t="s">
        <v>46</v>
      </c>
      <c r="C721" s="5" t="s">
        <v>34</v>
      </c>
      <c r="D721" s="5" t="s">
        <v>12</v>
      </c>
      <c r="E721" s="5" t="s">
        <v>39</v>
      </c>
      <c r="F721" s="2">
        <v>117</v>
      </c>
      <c r="G721" s="3">
        <v>628.85</v>
      </c>
      <c r="H721">
        <v>133</v>
      </c>
      <c r="I721">
        <f>IF(Table1[[#This Row],[Status]]= "Sufficient",
     Table1[[#This Row],[Stock_Quantity]] - Table1[[#This Row],[Reorder_Level]],
     0)</f>
        <v>0</v>
      </c>
      <c r="J721" s="4">
        <v>45483</v>
      </c>
      <c r="K721" s="5" t="s">
        <v>28</v>
      </c>
      <c r="L721">
        <f>YEAR(Table1[[#This Row],[Last_Restock_Date]])</f>
        <v>2024</v>
      </c>
      <c r="M721" t="str">
        <f>_xlfn.CONCAT(TEXT(Table1[[#This Row],[Last_Restock_Date]],"mmm"), "-", YEAR(Table1[[#This Row],[Last_Restock_Date]]))</f>
        <v>Jul-2024</v>
      </c>
      <c r="N721">
        <f>MONTH(Table1[[#This Row],[Last_Restock_Date]])</f>
        <v>7</v>
      </c>
      <c r="O721" t="str" cm="1">
        <f t="array" ref="O721">_xlfn.SWITCH(Table1[[#This Row],[Month_Number]],
    1,"Q1",2,"Q1",3,"Q1",
    4,"Q2",5,"Q2",6,"Q2",
    7,"Q3",8,"Q3",9,"Q3",
    10,"Q4",11,"Q4",12,"Q4",
    "Invalid Month"
)</f>
        <v>Q3</v>
      </c>
      <c r="P721" t="str">
        <f>TEXT(Table1[[#This Row],[Last_Restock_Date]],"mmm")</f>
        <v>Jul</v>
      </c>
    </row>
    <row r="722" spans="1:16" x14ac:dyDescent="0.25">
      <c r="A722">
        <v>721</v>
      </c>
      <c r="B722" s="5" t="s">
        <v>42</v>
      </c>
      <c r="C722" s="5" t="s">
        <v>16</v>
      </c>
      <c r="D722" s="5" t="s">
        <v>12</v>
      </c>
      <c r="E722" s="5" t="s">
        <v>27</v>
      </c>
      <c r="F722" s="2">
        <v>91</v>
      </c>
      <c r="G722" s="3">
        <v>139.43</v>
      </c>
      <c r="H722">
        <v>143</v>
      </c>
      <c r="I722">
        <f>IF(Table1[[#This Row],[Status]]= "Sufficient",
     Table1[[#This Row],[Stock_Quantity]] - Table1[[#This Row],[Reorder_Level]],
     0)</f>
        <v>0</v>
      </c>
      <c r="J722" s="4">
        <v>45360</v>
      </c>
      <c r="K722" s="5" t="s">
        <v>28</v>
      </c>
      <c r="L722">
        <f>YEAR(Table1[[#This Row],[Last_Restock_Date]])</f>
        <v>2024</v>
      </c>
      <c r="M722" t="str">
        <f>_xlfn.CONCAT(TEXT(Table1[[#This Row],[Last_Restock_Date]],"mmm"), "-", YEAR(Table1[[#This Row],[Last_Restock_Date]]))</f>
        <v>Mar-2024</v>
      </c>
      <c r="N722">
        <f>MONTH(Table1[[#This Row],[Last_Restock_Date]])</f>
        <v>3</v>
      </c>
      <c r="O722" t="str" cm="1">
        <f t="array" ref="O722">_xlfn.SWITCH(Table1[[#This Row],[Month_Number]],
    1,"Q1",2,"Q1",3,"Q1",
    4,"Q2",5,"Q2",6,"Q2",
    7,"Q3",8,"Q3",9,"Q3",
    10,"Q4",11,"Q4",12,"Q4",
    "Invalid Month"
)</f>
        <v>Q1</v>
      </c>
      <c r="P722" t="str">
        <f>TEXT(Table1[[#This Row],[Last_Restock_Date]],"mmm")</f>
        <v>Mar</v>
      </c>
    </row>
    <row r="723" spans="1:16" x14ac:dyDescent="0.25">
      <c r="A723">
        <v>722</v>
      </c>
      <c r="B723" s="5" t="s">
        <v>19</v>
      </c>
      <c r="C723" s="5" t="s">
        <v>20</v>
      </c>
      <c r="D723" s="5" t="s">
        <v>21</v>
      </c>
      <c r="E723" s="5" t="s">
        <v>18</v>
      </c>
      <c r="F723" s="2">
        <v>388</v>
      </c>
      <c r="G723" s="3">
        <v>797.31</v>
      </c>
      <c r="H723">
        <v>64</v>
      </c>
      <c r="I723">
        <f>IF(Table1[[#This Row],[Status]]= "Sufficient",
     Table1[[#This Row],[Stock_Quantity]] - Table1[[#This Row],[Reorder_Level]],
     0)</f>
        <v>324</v>
      </c>
      <c r="J723" s="4">
        <v>45898</v>
      </c>
      <c r="K723" s="5" t="s">
        <v>14</v>
      </c>
      <c r="L723">
        <f>YEAR(Table1[[#This Row],[Last_Restock_Date]])</f>
        <v>2025</v>
      </c>
      <c r="M723" t="str">
        <f>_xlfn.CONCAT(TEXT(Table1[[#This Row],[Last_Restock_Date]],"mmm"), "-", YEAR(Table1[[#This Row],[Last_Restock_Date]]))</f>
        <v>Aug-2025</v>
      </c>
      <c r="N723">
        <f>MONTH(Table1[[#This Row],[Last_Restock_Date]])</f>
        <v>8</v>
      </c>
      <c r="O723" t="str" cm="1">
        <f t="array" ref="O723">_xlfn.SWITCH(Table1[[#This Row],[Month_Number]],
    1,"Q1",2,"Q1",3,"Q1",
    4,"Q2",5,"Q2",6,"Q2",
    7,"Q3",8,"Q3",9,"Q3",
    10,"Q4",11,"Q4",12,"Q4",
    "Invalid Month"
)</f>
        <v>Q3</v>
      </c>
      <c r="P723" t="str">
        <f>TEXT(Table1[[#This Row],[Last_Restock_Date]],"mmm")</f>
        <v>Aug</v>
      </c>
    </row>
    <row r="724" spans="1:16" x14ac:dyDescent="0.25">
      <c r="A724">
        <v>723</v>
      </c>
      <c r="B724" s="5" t="s">
        <v>43</v>
      </c>
      <c r="C724" s="5" t="s">
        <v>26</v>
      </c>
      <c r="D724" s="5" t="s">
        <v>12</v>
      </c>
      <c r="E724" s="5" t="s">
        <v>37</v>
      </c>
      <c r="F724" s="2">
        <v>148</v>
      </c>
      <c r="G724" s="3">
        <v>687.31</v>
      </c>
      <c r="H724">
        <v>73</v>
      </c>
      <c r="I724">
        <f>IF(Table1[[#This Row],[Status]]= "Sufficient",
     Table1[[#This Row],[Stock_Quantity]] - Table1[[#This Row],[Reorder_Level]],
     0)</f>
        <v>75</v>
      </c>
      <c r="J724" s="4">
        <v>45844</v>
      </c>
      <c r="K724" s="5" t="s">
        <v>14</v>
      </c>
      <c r="L724">
        <f>YEAR(Table1[[#This Row],[Last_Restock_Date]])</f>
        <v>2025</v>
      </c>
      <c r="M724" t="str">
        <f>_xlfn.CONCAT(TEXT(Table1[[#This Row],[Last_Restock_Date]],"mmm"), "-", YEAR(Table1[[#This Row],[Last_Restock_Date]]))</f>
        <v>Jul-2025</v>
      </c>
      <c r="N724">
        <f>MONTH(Table1[[#This Row],[Last_Restock_Date]])</f>
        <v>7</v>
      </c>
      <c r="O724" t="str" cm="1">
        <f t="array" ref="O724">_xlfn.SWITCH(Table1[[#This Row],[Month_Number]],
    1,"Q1",2,"Q1",3,"Q1",
    4,"Q2",5,"Q2",6,"Q2",
    7,"Q3",8,"Q3",9,"Q3",
    10,"Q4",11,"Q4",12,"Q4",
    "Invalid Month"
)</f>
        <v>Q3</v>
      </c>
      <c r="P724" t="str">
        <f>TEXT(Table1[[#This Row],[Last_Restock_Date]],"mmm")</f>
        <v>Jul</v>
      </c>
    </row>
    <row r="725" spans="1:16" x14ac:dyDescent="0.25">
      <c r="A725">
        <v>724</v>
      </c>
      <c r="B725" s="5" t="s">
        <v>49</v>
      </c>
      <c r="C725" s="5" t="s">
        <v>16</v>
      </c>
      <c r="D725" s="5" t="s">
        <v>24</v>
      </c>
      <c r="E725" s="5" t="s">
        <v>27</v>
      </c>
      <c r="F725" s="2">
        <v>120</v>
      </c>
      <c r="G725" s="3">
        <v>574.01</v>
      </c>
      <c r="H725">
        <v>113</v>
      </c>
      <c r="I725">
        <f>IF(Table1[[#This Row],[Status]]= "Sufficient",
     Table1[[#This Row],[Stock_Quantity]] - Table1[[#This Row],[Reorder_Level]],
     0)</f>
        <v>7</v>
      </c>
      <c r="J725" s="4">
        <v>44933</v>
      </c>
      <c r="K725" s="5" t="s">
        <v>14</v>
      </c>
      <c r="L725">
        <f>YEAR(Table1[[#This Row],[Last_Restock_Date]])</f>
        <v>2023</v>
      </c>
      <c r="M725" t="str">
        <f>_xlfn.CONCAT(TEXT(Table1[[#This Row],[Last_Restock_Date]],"mmm"), "-", YEAR(Table1[[#This Row],[Last_Restock_Date]]))</f>
        <v>Jan-2023</v>
      </c>
      <c r="N725">
        <f>MONTH(Table1[[#This Row],[Last_Restock_Date]])</f>
        <v>1</v>
      </c>
      <c r="O725" t="str" cm="1">
        <f t="array" ref="O725">_xlfn.SWITCH(Table1[[#This Row],[Month_Number]],
    1,"Q1",2,"Q1",3,"Q1",
    4,"Q2",5,"Q2",6,"Q2",
    7,"Q3",8,"Q3",9,"Q3",
    10,"Q4",11,"Q4",12,"Q4",
    "Invalid Month"
)</f>
        <v>Q1</v>
      </c>
      <c r="P725" t="str">
        <f>TEXT(Table1[[#This Row],[Last_Restock_Date]],"mmm")</f>
        <v>Jan</v>
      </c>
    </row>
    <row r="726" spans="1:16" x14ac:dyDescent="0.25">
      <c r="A726">
        <v>725</v>
      </c>
      <c r="B726" s="5" t="s">
        <v>35</v>
      </c>
      <c r="C726" s="5" t="s">
        <v>11</v>
      </c>
      <c r="D726" s="5" t="s">
        <v>12</v>
      </c>
      <c r="E726" s="5" t="s">
        <v>27</v>
      </c>
      <c r="F726" s="2">
        <v>70</v>
      </c>
      <c r="G726" s="3">
        <v>394.46</v>
      </c>
      <c r="H726">
        <v>126</v>
      </c>
      <c r="I726">
        <f>IF(Table1[[#This Row],[Status]]= "Sufficient",
     Table1[[#This Row],[Stock_Quantity]] - Table1[[#This Row],[Reorder_Level]],
     0)</f>
        <v>0</v>
      </c>
      <c r="J726" s="4">
        <v>45744</v>
      </c>
      <c r="K726" s="5" t="s">
        <v>28</v>
      </c>
      <c r="L726">
        <f>YEAR(Table1[[#This Row],[Last_Restock_Date]])</f>
        <v>2025</v>
      </c>
      <c r="M726" t="str">
        <f>_xlfn.CONCAT(TEXT(Table1[[#This Row],[Last_Restock_Date]],"mmm"), "-", YEAR(Table1[[#This Row],[Last_Restock_Date]]))</f>
        <v>Mar-2025</v>
      </c>
      <c r="N726">
        <f>MONTH(Table1[[#This Row],[Last_Restock_Date]])</f>
        <v>3</v>
      </c>
      <c r="O726" t="str" cm="1">
        <f t="array" ref="O726">_xlfn.SWITCH(Table1[[#This Row],[Month_Number]],
    1,"Q1",2,"Q1",3,"Q1",
    4,"Q2",5,"Q2",6,"Q2",
    7,"Q3",8,"Q3",9,"Q3",
    10,"Q4",11,"Q4",12,"Q4",
    "Invalid Month"
)</f>
        <v>Q1</v>
      </c>
      <c r="P726" t="str">
        <f>TEXT(Table1[[#This Row],[Last_Restock_Date]],"mmm")</f>
        <v>Mar</v>
      </c>
    </row>
    <row r="727" spans="1:16" x14ac:dyDescent="0.25">
      <c r="A727">
        <v>726</v>
      </c>
      <c r="B727" s="5" t="s">
        <v>53</v>
      </c>
      <c r="C727" s="5" t="s">
        <v>26</v>
      </c>
      <c r="D727" s="5" t="s">
        <v>30</v>
      </c>
      <c r="E727" s="5" t="s">
        <v>32</v>
      </c>
      <c r="F727" s="2">
        <v>62</v>
      </c>
      <c r="G727" s="3">
        <v>247.54</v>
      </c>
      <c r="H727">
        <v>144</v>
      </c>
      <c r="I727">
        <f>IF(Table1[[#This Row],[Status]]= "Sufficient",
     Table1[[#This Row],[Stock_Quantity]] - Table1[[#This Row],[Reorder_Level]],
     0)</f>
        <v>0</v>
      </c>
      <c r="J727" s="4">
        <v>45994</v>
      </c>
      <c r="K727" s="5" t="s">
        <v>28</v>
      </c>
      <c r="L727">
        <f>YEAR(Table1[[#This Row],[Last_Restock_Date]])</f>
        <v>2025</v>
      </c>
      <c r="M727" t="str">
        <f>_xlfn.CONCAT(TEXT(Table1[[#This Row],[Last_Restock_Date]],"mmm"), "-", YEAR(Table1[[#This Row],[Last_Restock_Date]]))</f>
        <v>Dec-2025</v>
      </c>
      <c r="N727">
        <f>MONTH(Table1[[#This Row],[Last_Restock_Date]])</f>
        <v>12</v>
      </c>
      <c r="O727" t="str" cm="1">
        <f t="array" ref="O727">_xlfn.SWITCH(Table1[[#This Row],[Month_Number]],
    1,"Q1",2,"Q1",3,"Q1",
    4,"Q2",5,"Q2",6,"Q2",
    7,"Q3",8,"Q3",9,"Q3",
    10,"Q4",11,"Q4",12,"Q4",
    "Invalid Month"
)</f>
        <v>Q4</v>
      </c>
      <c r="P727" t="str">
        <f>TEXT(Table1[[#This Row],[Last_Restock_Date]],"mmm")</f>
        <v>Dec</v>
      </c>
    </row>
    <row r="728" spans="1:16" x14ac:dyDescent="0.25">
      <c r="A728">
        <v>727</v>
      </c>
      <c r="B728" s="5" t="s">
        <v>52</v>
      </c>
      <c r="C728" s="5" t="s">
        <v>16</v>
      </c>
      <c r="D728" s="5" t="s">
        <v>17</v>
      </c>
      <c r="E728" s="5" t="s">
        <v>32</v>
      </c>
      <c r="F728" s="2">
        <v>446</v>
      </c>
      <c r="G728" s="3">
        <v>657.09</v>
      </c>
      <c r="H728">
        <v>139</v>
      </c>
      <c r="I728">
        <f>IF(Table1[[#This Row],[Status]]= "Sufficient",
     Table1[[#This Row],[Stock_Quantity]] - Table1[[#This Row],[Reorder_Level]],
     0)</f>
        <v>307</v>
      </c>
      <c r="J728" s="4">
        <v>45648</v>
      </c>
      <c r="K728" s="5" t="s">
        <v>14</v>
      </c>
      <c r="L728">
        <f>YEAR(Table1[[#This Row],[Last_Restock_Date]])</f>
        <v>2024</v>
      </c>
      <c r="M728" t="str">
        <f>_xlfn.CONCAT(TEXT(Table1[[#This Row],[Last_Restock_Date]],"mmm"), "-", YEAR(Table1[[#This Row],[Last_Restock_Date]]))</f>
        <v>Dec-2024</v>
      </c>
      <c r="N728">
        <f>MONTH(Table1[[#This Row],[Last_Restock_Date]])</f>
        <v>12</v>
      </c>
      <c r="O728" t="str" cm="1">
        <f t="array" ref="O728">_xlfn.SWITCH(Table1[[#This Row],[Month_Number]],
    1,"Q1",2,"Q1",3,"Q1",
    4,"Q2",5,"Q2",6,"Q2",
    7,"Q3",8,"Q3",9,"Q3",
    10,"Q4",11,"Q4",12,"Q4",
    "Invalid Month"
)</f>
        <v>Q4</v>
      </c>
      <c r="P728" t="str">
        <f>TEXT(Table1[[#This Row],[Last_Restock_Date]],"mmm")</f>
        <v>Dec</v>
      </c>
    </row>
    <row r="729" spans="1:16" x14ac:dyDescent="0.25">
      <c r="A729">
        <v>728</v>
      </c>
      <c r="B729" s="5" t="s">
        <v>31</v>
      </c>
      <c r="C729" s="5" t="s">
        <v>20</v>
      </c>
      <c r="D729" s="5" t="s">
        <v>21</v>
      </c>
      <c r="E729" s="5" t="s">
        <v>32</v>
      </c>
      <c r="F729" s="2">
        <v>260</v>
      </c>
      <c r="G729" s="3">
        <v>415.92</v>
      </c>
      <c r="H729">
        <v>106</v>
      </c>
      <c r="I729">
        <f>IF(Table1[[#This Row],[Status]]= "Sufficient",
     Table1[[#This Row],[Stock_Quantity]] - Table1[[#This Row],[Reorder_Level]],
     0)</f>
        <v>154</v>
      </c>
      <c r="J729" s="4">
        <v>45604</v>
      </c>
      <c r="K729" s="5" t="s">
        <v>14</v>
      </c>
      <c r="L729">
        <f>YEAR(Table1[[#This Row],[Last_Restock_Date]])</f>
        <v>2024</v>
      </c>
      <c r="M729" t="str">
        <f>_xlfn.CONCAT(TEXT(Table1[[#This Row],[Last_Restock_Date]],"mmm"), "-", YEAR(Table1[[#This Row],[Last_Restock_Date]]))</f>
        <v>Nov-2024</v>
      </c>
      <c r="N729">
        <f>MONTH(Table1[[#This Row],[Last_Restock_Date]])</f>
        <v>11</v>
      </c>
      <c r="O729" t="str" cm="1">
        <f t="array" ref="O729">_xlfn.SWITCH(Table1[[#This Row],[Month_Number]],
    1,"Q1",2,"Q1",3,"Q1",
    4,"Q2",5,"Q2",6,"Q2",
    7,"Q3",8,"Q3",9,"Q3",
    10,"Q4",11,"Q4",12,"Q4",
    "Invalid Month"
)</f>
        <v>Q4</v>
      </c>
      <c r="P729" t="str">
        <f>TEXT(Table1[[#This Row],[Last_Restock_Date]],"mmm")</f>
        <v>Nov</v>
      </c>
    </row>
    <row r="730" spans="1:16" x14ac:dyDescent="0.25">
      <c r="A730">
        <v>729</v>
      </c>
      <c r="B730" s="5" t="s">
        <v>29</v>
      </c>
      <c r="C730" s="5" t="s">
        <v>16</v>
      </c>
      <c r="D730" s="5" t="s">
        <v>24</v>
      </c>
      <c r="E730" s="5" t="s">
        <v>37</v>
      </c>
      <c r="F730" s="2">
        <v>139</v>
      </c>
      <c r="G730" s="3">
        <v>274.2</v>
      </c>
      <c r="H730">
        <v>117</v>
      </c>
      <c r="I730">
        <f>IF(Table1[[#This Row],[Status]]= "Sufficient",
     Table1[[#This Row],[Stock_Quantity]] - Table1[[#This Row],[Reorder_Level]],
     0)</f>
        <v>22</v>
      </c>
      <c r="J730" s="4">
        <v>45373</v>
      </c>
      <c r="K730" s="5" t="s">
        <v>14</v>
      </c>
      <c r="L730">
        <f>YEAR(Table1[[#This Row],[Last_Restock_Date]])</f>
        <v>2024</v>
      </c>
      <c r="M730" t="str">
        <f>_xlfn.CONCAT(TEXT(Table1[[#This Row],[Last_Restock_Date]],"mmm"), "-", YEAR(Table1[[#This Row],[Last_Restock_Date]]))</f>
        <v>Mar-2024</v>
      </c>
      <c r="N730">
        <f>MONTH(Table1[[#This Row],[Last_Restock_Date]])</f>
        <v>3</v>
      </c>
      <c r="O730" t="str" cm="1">
        <f t="array" ref="O730">_xlfn.SWITCH(Table1[[#This Row],[Month_Number]],
    1,"Q1",2,"Q1",3,"Q1",
    4,"Q2",5,"Q2",6,"Q2",
    7,"Q3",8,"Q3",9,"Q3",
    10,"Q4",11,"Q4",12,"Q4",
    "Invalid Month"
)</f>
        <v>Q1</v>
      </c>
      <c r="P730" t="str">
        <f>TEXT(Table1[[#This Row],[Last_Restock_Date]],"mmm")</f>
        <v>Mar</v>
      </c>
    </row>
    <row r="731" spans="1:16" x14ac:dyDescent="0.25">
      <c r="A731">
        <v>730</v>
      </c>
      <c r="B731" s="5" t="s">
        <v>23</v>
      </c>
      <c r="C731" s="5" t="s">
        <v>20</v>
      </c>
      <c r="D731" s="5" t="s">
        <v>24</v>
      </c>
      <c r="E731" s="5" t="s">
        <v>18</v>
      </c>
      <c r="F731" s="2">
        <v>262</v>
      </c>
      <c r="G731" s="3">
        <v>417.96</v>
      </c>
      <c r="H731">
        <v>86</v>
      </c>
      <c r="I731">
        <f>IF(Table1[[#This Row],[Status]]= "Sufficient",
     Table1[[#This Row],[Stock_Quantity]] - Table1[[#This Row],[Reorder_Level]],
     0)</f>
        <v>176</v>
      </c>
      <c r="J731" s="4">
        <v>45505</v>
      </c>
      <c r="K731" s="5" t="s">
        <v>14</v>
      </c>
      <c r="L731">
        <f>YEAR(Table1[[#This Row],[Last_Restock_Date]])</f>
        <v>2024</v>
      </c>
      <c r="M731" t="str">
        <f>_xlfn.CONCAT(TEXT(Table1[[#This Row],[Last_Restock_Date]],"mmm"), "-", YEAR(Table1[[#This Row],[Last_Restock_Date]]))</f>
        <v>Aug-2024</v>
      </c>
      <c r="N731">
        <f>MONTH(Table1[[#This Row],[Last_Restock_Date]])</f>
        <v>8</v>
      </c>
      <c r="O731" t="str" cm="1">
        <f t="array" ref="O731">_xlfn.SWITCH(Table1[[#This Row],[Month_Number]],
    1,"Q1",2,"Q1",3,"Q1",
    4,"Q2",5,"Q2",6,"Q2",
    7,"Q3",8,"Q3",9,"Q3",
    10,"Q4",11,"Q4",12,"Q4",
    "Invalid Month"
)</f>
        <v>Q3</v>
      </c>
      <c r="P731" t="str">
        <f>TEXT(Table1[[#This Row],[Last_Restock_Date]],"mmm")</f>
        <v>Aug</v>
      </c>
    </row>
    <row r="732" spans="1:16" x14ac:dyDescent="0.25">
      <c r="A732">
        <v>731</v>
      </c>
      <c r="B732" s="5" t="s">
        <v>50</v>
      </c>
      <c r="C732" s="5" t="s">
        <v>34</v>
      </c>
      <c r="D732" s="5" t="s">
        <v>17</v>
      </c>
      <c r="E732" s="5" t="s">
        <v>39</v>
      </c>
      <c r="F732" s="2">
        <v>410</v>
      </c>
      <c r="G732" s="3">
        <v>172.82</v>
      </c>
      <c r="H732">
        <v>95</v>
      </c>
      <c r="I732">
        <f>IF(Table1[[#This Row],[Status]]= "Sufficient",
     Table1[[#This Row],[Stock_Quantity]] - Table1[[#This Row],[Reorder_Level]],
     0)</f>
        <v>315</v>
      </c>
      <c r="J732" s="4">
        <v>45252</v>
      </c>
      <c r="K732" s="5" t="s">
        <v>14</v>
      </c>
      <c r="L732">
        <f>YEAR(Table1[[#This Row],[Last_Restock_Date]])</f>
        <v>2023</v>
      </c>
      <c r="M732" t="str">
        <f>_xlfn.CONCAT(TEXT(Table1[[#This Row],[Last_Restock_Date]],"mmm"), "-", YEAR(Table1[[#This Row],[Last_Restock_Date]]))</f>
        <v>Nov-2023</v>
      </c>
      <c r="N732">
        <f>MONTH(Table1[[#This Row],[Last_Restock_Date]])</f>
        <v>11</v>
      </c>
      <c r="O732" t="str" cm="1">
        <f t="array" ref="O732">_xlfn.SWITCH(Table1[[#This Row],[Month_Number]],
    1,"Q1",2,"Q1",3,"Q1",
    4,"Q2",5,"Q2",6,"Q2",
    7,"Q3",8,"Q3",9,"Q3",
    10,"Q4",11,"Q4",12,"Q4",
    "Invalid Month"
)</f>
        <v>Q4</v>
      </c>
      <c r="P732" t="str">
        <f>TEXT(Table1[[#This Row],[Last_Restock_Date]],"mmm")</f>
        <v>Nov</v>
      </c>
    </row>
    <row r="733" spans="1:16" x14ac:dyDescent="0.25">
      <c r="A733">
        <v>732</v>
      </c>
      <c r="B733" s="5" t="s">
        <v>47</v>
      </c>
      <c r="C733" s="5" t="s">
        <v>20</v>
      </c>
      <c r="D733" s="5" t="s">
        <v>30</v>
      </c>
      <c r="E733" s="5" t="s">
        <v>32</v>
      </c>
      <c r="F733" s="2">
        <v>494</v>
      </c>
      <c r="G733" s="3">
        <v>283.16000000000003</v>
      </c>
      <c r="H733">
        <v>119</v>
      </c>
      <c r="I733">
        <f>IF(Table1[[#This Row],[Status]]= "Sufficient",
     Table1[[#This Row],[Stock_Quantity]] - Table1[[#This Row],[Reorder_Level]],
     0)</f>
        <v>375</v>
      </c>
      <c r="J733" s="4">
        <v>45949</v>
      </c>
      <c r="K733" s="5" t="s">
        <v>14</v>
      </c>
      <c r="L733">
        <f>YEAR(Table1[[#This Row],[Last_Restock_Date]])</f>
        <v>2025</v>
      </c>
      <c r="M733" t="str">
        <f>_xlfn.CONCAT(TEXT(Table1[[#This Row],[Last_Restock_Date]],"mmm"), "-", YEAR(Table1[[#This Row],[Last_Restock_Date]]))</f>
        <v>Oct-2025</v>
      </c>
      <c r="N733">
        <f>MONTH(Table1[[#This Row],[Last_Restock_Date]])</f>
        <v>10</v>
      </c>
      <c r="O733" t="str" cm="1">
        <f t="array" ref="O733">_xlfn.SWITCH(Table1[[#This Row],[Month_Number]],
    1,"Q1",2,"Q1",3,"Q1",
    4,"Q2",5,"Q2",6,"Q2",
    7,"Q3",8,"Q3",9,"Q3",
    10,"Q4",11,"Q4",12,"Q4",
    "Invalid Month"
)</f>
        <v>Q4</v>
      </c>
      <c r="P733" t="str">
        <f>TEXT(Table1[[#This Row],[Last_Restock_Date]],"mmm")</f>
        <v>Oct</v>
      </c>
    </row>
    <row r="734" spans="1:16" x14ac:dyDescent="0.25">
      <c r="A734">
        <v>733</v>
      </c>
      <c r="B734" s="5" t="s">
        <v>50</v>
      </c>
      <c r="C734" s="5" t="s">
        <v>34</v>
      </c>
      <c r="D734" s="5" t="s">
        <v>17</v>
      </c>
      <c r="E734" s="5" t="s">
        <v>27</v>
      </c>
      <c r="F734" s="2">
        <v>184</v>
      </c>
      <c r="G734" s="3">
        <v>782.33</v>
      </c>
      <c r="H734">
        <v>87</v>
      </c>
      <c r="I734">
        <f>IF(Table1[[#This Row],[Status]]= "Sufficient",
     Table1[[#This Row],[Stock_Quantity]] - Table1[[#This Row],[Reorder_Level]],
     0)</f>
        <v>97</v>
      </c>
      <c r="J734" s="4">
        <v>44947</v>
      </c>
      <c r="K734" s="5" t="s">
        <v>14</v>
      </c>
      <c r="L734">
        <f>YEAR(Table1[[#This Row],[Last_Restock_Date]])</f>
        <v>2023</v>
      </c>
      <c r="M734" t="str">
        <f>_xlfn.CONCAT(TEXT(Table1[[#This Row],[Last_Restock_Date]],"mmm"), "-", YEAR(Table1[[#This Row],[Last_Restock_Date]]))</f>
        <v>Jan-2023</v>
      </c>
      <c r="N734">
        <f>MONTH(Table1[[#This Row],[Last_Restock_Date]])</f>
        <v>1</v>
      </c>
      <c r="O734" t="str" cm="1">
        <f t="array" ref="O734">_xlfn.SWITCH(Table1[[#This Row],[Month_Number]],
    1,"Q1",2,"Q1",3,"Q1",
    4,"Q2",5,"Q2",6,"Q2",
    7,"Q3",8,"Q3",9,"Q3",
    10,"Q4",11,"Q4",12,"Q4",
    "Invalid Month"
)</f>
        <v>Q1</v>
      </c>
      <c r="P734" t="str">
        <f>TEXT(Table1[[#This Row],[Last_Restock_Date]],"mmm")</f>
        <v>Jan</v>
      </c>
    </row>
    <row r="735" spans="1:16" x14ac:dyDescent="0.25">
      <c r="A735">
        <v>734</v>
      </c>
      <c r="B735" s="5" t="s">
        <v>25</v>
      </c>
      <c r="C735" s="5" t="s">
        <v>26</v>
      </c>
      <c r="D735" s="5" t="s">
        <v>17</v>
      </c>
      <c r="E735" s="5" t="s">
        <v>13</v>
      </c>
      <c r="F735" s="2">
        <v>186</v>
      </c>
      <c r="G735" s="3">
        <v>98.66</v>
      </c>
      <c r="H735">
        <v>56</v>
      </c>
      <c r="I735">
        <f>IF(Table1[[#This Row],[Status]]= "Sufficient",
     Table1[[#This Row],[Stock_Quantity]] - Table1[[#This Row],[Reorder_Level]],
     0)</f>
        <v>130</v>
      </c>
      <c r="J735" s="4">
        <v>45168</v>
      </c>
      <c r="K735" s="5" t="s">
        <v>14</v>
      </c>
      <c r="L735">
        <f>YEAR(Table1[[#This Row],[Last_Restock_Date]])</f>
        <v>2023</v>
      </c>
      <c r="M735" t="str">
        <f>_xlfn.CONCAT(TEXT(Table1[[#This Row],[Last_Restock_Date]],"mmm"), "-", YEAR(Table1[[#This Row],[Last_Restock_Date]]))</f>
        <v>Aug-2023</v>
      </c>
      <c r="N735">
        <f>MONTH(Table1[[#This Row],[Last_Restock_Date]])</f>
        <v>8</v>
      </c>
      <c r="O735" t="str" cm="1">
        <f t="array" ref="O735">_xlfn.SWITCH(Table1[[#This Row],[Month_Number]],
    1,"Q1",2,"Q1",3,"Q1",
    4,"Q2",5,"Q2",6,"Q2",
    7,"Q3",8,"Q3",9,"Q3",
    10,"Q4",11,"Q4",12,"Q4",
    "Invalid Month"
)</f>
        <v>Q3</v>
      </c>
      <c r="P735" t="str">
        <f>TEXT(Table1[[#This Row],[Last_Restock_Date]],"mmm")</f>
        <v>Aug</v>
      </c>
    </row>
    <row r="736" spans="1:16" x14ac:dyDescent="0.25">
      <c r="A736">
        <v>735</v>
      </c>
      <c r="B736" s="5" t="s">
        <v>41</v>
      </c>
      <c r="C736" s="5" t="s">
        <v>16</v>
      </c>
      <c r="D736" s="5" t="s">
        <v>17</v>
      </c>
      <c r="E736" s="5" t="s">
        <v>13</v>
      </c>
      <c r="F736" s="2">
        <v>442</v>
      </c>
      <c r="G736" s="3">
        <v>750.29</v>
      </c>
      <c r="H736">
        <v>93</v>
      </c>
      <c r="I736">
        <f>IF(Table1[[#This Row],[Status]]= "Sufficient",
     Table1[[#This Row],[Stock_Quantity]] - Table1[[#This Row],[Reorder_Level]],
     0)</f>
        <v>349</v>
      </c>
      <c r="J736" s="4">
        <v>45560</v>
      </c>
      <c r="K736" s="5" t="s">
        <v>14</v>
      </c>
      <c r="L736">
        <f>YEAR(Table1[[#This Row],[Last_Restock_Date]])</f>
        <v>2024</v>
      </c>
      <c r="M736" t="str">
        <f>_xlfn.CONCAT(TEXT(Table1[[#This Row],[Last_Restock_Date]],"mmm"), "-", YEAR(Table1[[#This Row],[Last_Restock_Date]]))</f>
        <v>Sep-2024</v>
      </c>
      <c r="N736">
        <f>MONTH(Table1[[#This Row],[Last_Restock_Date]])</f>
        <v>9</v>
      </c>
      <c r="O736" t="str" cm="1">
        <f t="array" ref="O736">_xlfn.SWITCH(Table1[[#This Row],[Month_Number]],
    1,"Q1",2,"Q1",3,"Q1",
    4,"Q2",5,"Q2",6,"Q2",
    7,"Q3",8,"Q3",9,"Q3",
    10,"Q4",11,"Q4",12,"Q4",
    "Invalid Month"
)</f>
        <v>Q3</v>
      </c>
      <c r="P736" t="str">
        <f>TEXT(Table1[[#This Row],[Last_Restock_Date]],"mmm")</f>
        <v>Sep</v>
      </c>
    </row>
    <row r="737" spans="1:16" x14ac:dyDescent="0.25">
      <c r="A737">
        <v>736</v>
      </c>
      <c r="B737" s="5" t="s">
        <v>50</v>
      </c>
      <c r="C737" s="5" t="s">
        <v>34</v>
      </c>
      <c r="D737" s="5" t="s">
        <v>21</v>
      </c>
      <c r="E737" s="5" t="s">
        <v>27</v>
      </c>
      <c r="F737" s="2">
        <v>274</v>
      </c>
      <c r="G737" s="3">
        <v>644.21</v>
      </c>
      <c r="H737">
        <v>140</v>
      </c>
      <c r="I737">
        <f>IF(Table1[[#This Row],[Status]]= "Sufficient",
     Table1[[#This Row],[Stock_Quantity]] - Table1[[#This Row],[Reorder_Level]],
     0)</f>
        <v>134</v>
      </c>
      <c r="J737" s="4">
        <v>45022</v>
      </c>
      <c r="K737" s="5" t="s">
        <v>14</v>
      </c>
      <c r="L737">
        <f>YEAR(Table1[[#This Row],[Last_Restock_Date]])</f>
        <v>2023</v>
      </c>
      <c r="M737" t="str">
        <f>_xlfn.CONCAT(TEXT(Table1[[#This Row],[Last_Restock_Date]],"mmm"), "-", YEAR(Table1[[#This Row],[Last_Restock_Date]]))</f>
        <v>Apr-2023</v>
      </c>
      <c r="N737">
        <f>MONTH(Table1[[#This Row],[Last_Restock_Date]])</f>
        <v>4</v>
      </c>
      <c r="O737" t="str" cm="1">
        <f t="array" ref="O737">_xlfn.SWITCH(Table1[[#This Row],[Month_Number]],
    1,"Q1",2,"Q1",3,"Q1",
    4,"Q2",5,"Q2",6,"Q2",
    7,"Q3",8,"Q3",9,"Q3",
    10,"Q4",11,"Q4",12,"Q4",
    "Invalid Month"
)</f>
        <v>Q2</v>
      </c>
      <c r="P737" t="str">
        <f>TEXT(Table1[[#This Row],[Last_Restock_Date]],"mmm")</f>
        <v>Apr</v>
      </c>
    </row>
    <row r="738" spans="1:16" x14ac:dyDescent="0.25">
      <c r="A738">
        <v>737</v>
      </c>
      <c r="B738" s="5" t="s">
        <v>47</v>
      </c>
      <c r="C738" s="5" t="s">
        <v>20</v>
      </c>
      <c r="D738" s="5" t="s">
        <v>30</v>
      </c>
      <c r="E738" s="5" t="s">
        <v>32</v>
      </c>
      <c r="F738" s="2">
        <v>106</v>
      </c>
      <c r="G738" s="3">
        <v>542.70000000000005</v>
      </c>
      <c r="H738">
        <v>55</v>
      </c>
      <c r="I738">
        <f>IF(Table1[[#This Row],[Status]]= "Sufficient",
     Table1[[#This Row],[Stock_Quantity]] - Table1[[#This Row],[Reorder_Level]],
     0)</f>
        <v>51</v>
      </c>
      <c r="J738" s="4">
        <v>45673</v>
      </c>
      <c r="K738" s="5" t="s">
        <v>14</v>
      </c>
      <c r="L738">
        <f>YEAR(Table1[[#This Row],[Last_Restock_Date]])</f>
        <v>2025</v>
      </c>
      <c r="M738" t="str">
        <f>_xlfn.CONCAT(TEXT(Table1[[#This Row],[Last_Restock_Date]],"mmm"), "-", YEAR(Table1[[#This Row],[Last_Restock_Date]]))</f>
        <v>Jan-2025</v>
      </c>
      <c r="N738">
        <f>MONTH(Table1[[#This Row],[Last_Restock_Date]])</f>
        <v>1</v>
      </c>
      <c r="O738" t="str" cm="1">
        <f t="array" ref="O738">_xlfn.SWITCH(Table1[[#This Row],[Month_Number]],
    1,"Q1",2,"Q1",3,"Q1",
    4,"Q2",5,"Q2",6,"Q2",
    7,"Q3",8,"Q3",9,"Q3",
    10,"Q4",11,"Q4",12,"Q4",
    "Invalid Month"
)</f>
        <v>Q1</v>
      </c>
      <c r="P738" t="str">
        <f>TEXT(Table1[[#This Row],[Last_Restock_Date]],"mmm")</f>
        <v>Jan</v>
      </c>
    </row>
    <row r="739" spans="1:16" x14ac:dyDescent="0.25">
      <c r="A739">
        <v>738</v>
      </c>
      <c r="B739" s="5" t="s">
        <v>42</v>
      </c>
      <c r="C739" s="5" t="s">
        <v>16</v>
      </c>
      <c r="D739" s="5" t="s">
        <v>12</v>
      </c>
      <c r="E739" s="5" t="s">
        <v>27</v>
      </c>
      <c r="F739" s="2">
        <v>143</v>
      </c>
      <c r="G739" s="3">
        <v>23.23</v>
      </c>
      <c r="H739">
        <v>59</v>
      </c>
      <c r="I739">
        <f>IF(Table1[[#This Row],[Status]]= "Sufficient",
     Table1[[#This Row],[Stock_Quantity]] - Table1[[#This Row],[Reorder_Level]],
     0)</f>
        <v>84</v>
      </c>
      <c r="J739" s="4">
        <v>45068</v>
      </c>
      <c r="K739" s="5" t="s">
        <v>14</v>
      </c>
      <c r="L739">
        <f>YEAR(Table1[[#This Row],[Last_Restock_Date]])</f>
        <v>2023</v>
      </c>
      <c r="M739" t="str">
        <f>_xlfn.CONCAT(TEXT(Table1[[#This Row],[Last_Restock_Date]],"mmm"), "-", YEAR(Table1[[#This Row],[Last_Restock_Date]]))</f>
        <v>May-2023</v>
      </c>
      <c r="N739">
        <f>MONTH(Table1[[#This Row],[Last_Restock_Date]])</f>
        <v>5</v>
      </c>
      <c r="O739" t="str" cm="1">
        <f t="array" ref="O739">_xlfn.SWITCH(Table1[[#This Row],[Month_Number]],
    1,"Q1",2,"Q1",3,"Q1",
    4,"Q2",5,"Q2",6,"Q2",
    7,"Q3",8,"Q3",9,"Q3",
    10,"Q4",11,"Q4",12,"Q4",
    "Invalid Month"
)</f>
        <v>Q2</v>
      </c>
      <c r="P739" t="str">
        <f>TEXT(Table1[[#This Row],[Last_Restock_Date]],"mmm")</f>
        <v>May</v>
      </c>
    </row>
    <row r="740" spans="1:16" x14ac:dyDescent="0.25">
      <c r="A740">
        <v>739</v>
      </c>
      <c r="B740" s="5" t="s">
        <v>54</v>
      </c>
      <c r="C740" s="5" t="s">
        <v>20</v>
      </c>
      <c r="D740" s="5" t="s">
        <v>12</v>
      </c>
      <c r="E740" s="5" t="s">
        <v>18</v>
      </c>
      <c r="F740" s="2">
        <v>57</v>
      </c>
      <c r="G740" s="3">
        <v>133.72999999999999</v>
      </c>
      <c r="H740">
        <v>143</v>
      </c>
      <c r="I740">
        <f>IF(Table1[[#This Row],[Status]]= "Sufficient",
     Table1[[#This Row],[Stock_Quantity]] - Table1[[#This Row],[Reorder_Level]],
     0)</f>
        <v>0</v>
      </c>
      <c r="J740" s="4">
        <v>45370</v>
      </c>
      <c r="K740" s="5" t="s">
        <v>28</v>
      </c>
      <c r="L740">
        <f>YEAR(Table1[[#This Row],[Last_Restock_Date]])</f>
        <v>2024</v>
      </c>
      <c r="M740" t="str">
        <f>_xlfn.CONCAT(TEXT(Table1[[#This Row],[Last_Restock_Date]],"mmm"), "-", YEAR(Table1[[#This Row],[Last_Restock_Date]]))</f>
        <v>Mar-2024</v>
      </c>
      <c r="N740">
        <f>MONTH(Table1[[#This Row],[Last_Restock_Date]])</f>
        <v>3</v>
      </c>
      <c r="O740" t="str" cm="1">
        <f t="array" ref="O740">_xlfn.SWITCH(Table1[[#This Row],[Month_Number]],
    1,"Q1",2,"Q1",3,"Q1",
    4,"Q2",5,"Q2",6,"Q2",
    7,"Q3",8,"Q3",9,"Q3",
    10,"Q4",11,"Q4",12,"Q4",
    "Invalid Month"
)</f>
        <v>Q1</v>
      </c>
      <c r="P740" t="str">
        <f>TEXT(Table1[[#This Row],[Last_Restock_Date]],"mmm")</f>
        <v>Mar</v>
      </c>
    </row>
    <row r="741" spans="1:16" x14ac:dyDescent="0.25">
      <c r="A741">
        <v>740</v>
      </c>
      <c r="B741" s="5" t="s">
        <v>40</v>
      </c>
      <c r="C741" s="5" t="s">
        <v>34</v>
      </c>
      <c r="D741" s="5" t="s">
        <v>12</v>
      </c>
      <c r="E741" s="5" t="s">
        <v>13</v>
      </c>
      <c r="F741" s="2">
        <v>346</v>
      </c>
      <c r="G741" s="3">
        <v>174.81</v>
      </c>
      <c r="H741">
        <v>121</v>
      </c>
      <c r="I741">
        <f>IF(Table1[[#This Row],[Status]]= "Sufficient",
     Table1[[#This Row],[Stock_Quantity]] - Table1[[#This Row],[Reorder_Level]],
     0)</f>
        <v>225</v>
      </c>
      <c r="J741" s="4">
        <v>45745</v>
      </c>
      <c r="K741" s="5" t="s">
        <v>14</v>
      </c>
      <c r="L741">
        <f>YEAR(Table1[[#This Row],[Last_Restock_Date]])</f>
        <v>2025</v>
      </c>
      <c r="M741" t="str">
        <f>_xlfn.CONCAT(TEXT(Table1[[#This Row],[Last_Restock_Date]],"mmm"), "-", YEAR(Table1[[#This Row],[Last_Restock_Date]]))</f>
        <v>Mar-2025</v>
      </c>
      <c r="N741">
        <f>MONTH(Table1[[#This Row],[Last_Restock_Date]])</f>
        <v>3</v>
      </c>
      <c r="O741" t="str" cm="1">
        <f t="array" ref="O741">_xlfn.SWITCH(Table1[[#This Row],[Month_Number]],
    1,"Q1",2,"Q1",3,"Q1",
    4,"Q2",5,"Q2",6,"Q2",
    7,"Q3",8,"Q3",9,"Q3",
    10,"Q4",11,"Q4",12,"Q4",
    "Invalid Month"
)</f>
        <v>Q1</v>
      </c>
      <c r="P741" t="str">
        <f>TEXT(Table1[[#This Row],[Last_Restock_Date]],"mmm")</f>
        <v>Mar</v>
      </c>
    </row>
    <row r="742" spans="1:16" x14ac:dyDescent="0.25">
      <c r="A742">
        <v>741</v>
      </c>
      <c r="B742" s="5" t="s">
        <v>33</v>
      </c>
      <c r="C742" s="5" t="s">
        <v>34</v>
      </c>
      <c r="D742" s="5" t="s">
        <v>12</v>
      </c>
      <c r="E742" s="5" t="s">
        <v>39</v>
      </c>
      <c r="F742" s="2">
        <v>219</v>
      </c>
      <c r="G742" s="3">
        <v>585.45000000000005</v>
      </c>
      <c r="H742">
        <v>63</v>
      </c>
      <c r="I742">
        <f>IF(Table1[[#This Row],[Status]]= "Sufficient",
     Table1[[#This Row],[Stock_Quantity]] - Table1[[#This Row],[Reorder_Level]],
     0)</f>
        <v>156</v>
      </c>
      <c r="J742" s="4">
        <v>44960</v>
      </c>
      <c r="K742" s="5" t="s">
        <v>14</v>
      </c>
      <c r="L742">
        <f>YEAR(Table1[[#This Row],[Last_Restock_Date]])</f>
        <v>2023</v>
      </c>
      <c r="M742" t="str">
        <f>_xlfn.CONCAT(TEXT(Table1[[#This Row],[Last_Restock_Date]],"mmm"), "-", YEAR(Table1[[#This Row],[Last_Restock_Date]]))</f>
        <v>Feb-2023</v>
      </c>
      <c r="N742">
        <f>MONTH(Table1[[#This Row],[Last_Restock_Date]])</f>
        <v>2</v>
      </c>
      <c r="O742" t="str" cm="1">
        <f t="array" ref="O742">_xlfn.SWITCH(Table1[[#This Row],[Month_Number]],
    1,"Q1",2,"Q1",3,"Q1",
    4,"Q2",5,"Q2",6,"Q2",
    7,"Q3",8,"Q3",9,"Q3",
    10,"Q4",11,"Q4",12,"Q4",
    "Invalid Month"
)</f>
        <v>Q1</v>
      </c>
      <c r="P742" t="str">
        <f>TEXT(Table1[[#This Row],[Last_Restock_Date]],"mmm")</f>
        <v>Feb</v>
      </c>
    </row>
    <row r="743" spans="1:16" x14ac:dyDescent="0.25">
      <c r="A743">
        <v>742</v>
      </c>
      <c r="B743" s="5" t="s">
        <v>25</v>
      </c>
      <c r="C743" s="5" t="s">
        <v>26</v>
      </c>
      <c r="D743" s="5" t="s">
        <v>17</v>
      </c>
      <c r="E743" s="5" t="s">
        <v>18</v>
      </c>
      <c r="F743" s="2">
        <v>54</v>
      </c>
      <c r="G743" s="3">
        <v>502.6</v>
      </c>
      <c r="H743">
        <v>142</v>
      </c>
      <c r="I743">
        <f>IF(Table1[[#This Row],[Status]]= "Sufficient",
     Table1[[#This Row],[Stock_Quantity]] - Table1[[#This Row],[Reorder_Level]],
     0)</f>
        <v>0</v>
      </c>
      <c r="J743" s="4">
        <v>45556</v>
      </c>
      <c r="K743" s="5" t="s">
        <v>28</v>
      </c>
      <c r="L743">
        <f>YEAR(Table1[[#This Row],[Last_Restock_Date]])</f>
        <v>2024</v>
      </c>
      <c r="M743" t="str">
        <f>_xlfn.CONCAT(TEXT(Table1[[#This Row],[Last_Restock_Date]],"mmm"), "-", YEAR(Table1[[#This Row],[Last_Restock_Date]]))</f>
        <v>Sep-2024</v>
      </c>
      <c r="N743">
        <f>MONTH(Table1[[#This Row],[Last_Restock_Date]])</f>
        <v>9</v>
      </c>
      <c r="O743" t="str" cm="1">
        <f t="array" ref="O743">_xlfn.SWITCH(Table1[[#This Row],[Month_Number]],
    1,"Q1",2,"Q1",3,"Q1",
    4,"Q2",5,"Q2",6,"Q2",
    7,"Q3",8,"Q3",9,"Q3",
    10,"Q4",11,"Q4",12,"Q4",
    "Invalid Month"
)</f>
        <v>Q3</v>
      </c>
      <c r="P743" t="str">
        <f>TEXT(Table1[[#This Row],[Last_Restock_Date]],"mmm")</f>
        <v>Sep</v>
      </c>
    </row>
    <row r="744" spans="1:16" x14ac:dyDescent="0.25">
      <c r="A744">
        <v>743</v>
      </c>
      <c r="B744" s="5" t="s">
        <v>41</v>
      </c>
      <c r="C744" s="5" t="s">
        <v>16</v>
      </c>
      <c r="D744" s="5" t="s">
        <v>17</v>
      </c>
      <c r="E744" s="5" t="s">
        <v>27</v>
      </c>
      <c r="F744" s="2">
        <v>298</v>
      </c>
      <c r="G744" s="3">
        <v>626.72</v>
      </c>
      <c r="H744">
        <v>121</v>
      </c>
      <c r="I744">
        <f>IF(Table1[[#This Row],[Status]]= "Sufficient",
     Table1[[#This Row],[Stock_Quantity]] - Table1[[#This Row],[Reorder_Level]],
     0)</f>
        <v>177</v>
      </c>
      <c r="J744" s="4">
        <v>45943</v>
      </c>
      <c r="K744" s="5" t="s">
        <v>14</v>
      </c>
      <c r="L744">
        <f>YEAR(Table1[[#This Row],[Last_Restock_Date]])</f>
        <v>2025</v>
      </c>
      <c r="M744" t="str">
        <f>_xlfn.CONCAT(TEXT(Table1[[#This Row],[Last_Restock_Date]],"mmm"), "-", YEAR(Table1[[#This Row],[Last_Restock_Date]]))</f>
        <v>Oct-2025</v>
      </c>
      <c r="N744">
        <f>MONTH(Table1[[#This Row],[Last_Restock_Date]])</f>
        <v>10</v>
      </c>
      <c r="O744" t="str" cm="1">
        <f t="array" ref="O744">_xlfn.SWITCH(Table1[[#This Row],[Month_Number]],
    1,"Q1",2,"Q1",3,"Q1",
    4,"Q2",5,"Q2",6,"Q2",
    7,"Q3",8,"Q3",9,"Q3",
    10,"Q4",11,"Q4",12,"Q4",
    "Invalid Month"
)</f>
        <v>Q4</v>
      </c>
      <c r="P744" t="str">
        <f>TEXT(Table1[[#This Row],[Last_Restock_Date]],"mmm")</f>
        <v>Oct</v>
      </c>
    </row>
    <row r="745" spans="1:16" x14ac:dyDescent="0.25">
      <c r="A745">
        <v>744</v>
      </c>
      <c r="B745" s="5" t="s">
        <v>48</v>
      </c>
      <c r="C745" s="5" t="s">
        <v>20</v>
      </c>
      <c r="D745" s="5" t="s">
        <v>12</v>
      </c>
      <c r="E745" s="5" t="s">
        <v>32</v>
      </c>
      <c r="F745" s="2">
        <v>224</v>
      </c>
      <c r="G745" s="3">
        <v>220.31</v>
      </c>
      <c r="H745">
        <v>53</v>
      </c>
      <c r="I745">
        <f>IF(Table1[[#This Row],[Status]]= "Sufficient",
     Table1[[#This Row],[Stock_Quantity]] - Table1[[#This Row],[Reorder_Level]],
     0)</f>
        <v>171</v>
      </c>
      <c r="J745" s="4">
        <v>45724</v>
      </c>
      <c r="K745" s="5" t="s">
        <v>14</v>
      </c>
      <c r="L745">
        <f>YEAR(Table1[[#This Row],[Last_Restock_Date]])</f>
        <v>2025</v>
      </c>
      <c r="M745" t="str">
        <f>_xlfn.CONCAT(TEXT(Table1[[#This Row],[Last_Restock_Date]],"mmm"), "-", YEAR(Table1[[#This Row],[Last_Restock_Date]]))</f>
        <v>Mar-2025</v>
      </c>
      <c r="N745">
        <f>MONTH(Table1[[#This Row],[Last_Restock_Date]])</f>
        <v>3</v>
      </c>
      <c r="O745" t="str" cm="1">
        <f t="array" ref="O745">_xlfn.SWITCH(Table1[[#This Row],[Month_Number]],
    1,"Q1",2,"Q1",3,"Q1",
    4,"Q2",5,"Q2",6,"Q2",
    7,"Q3",8,"Q3",9,"Q3",
    10,"Q4",11,"Q4",12,"Q4",
    "Invalid Month"
)</f>
        <v>Q1</v>
      </c>
      <c r="P745" t="str">
        <f>TEXT(Table1[[#This Row],[Last_Restock_Date]],"mmm")</f>
        <v>Mar</v>
      </c>
    </row>
    <row r="746" spans="1:16" x14ac:dyDescent="0.25">
      <c r="A746">
        <v>745</v>
      </c>
      <c r="B746" s="5" t="s">
        <v>52</v>
      </c>
      <c r="C746" s="5" t="s">
        <v>16</v>
      </c>
      <c r="D746" s="5" t="s">
        <v>21</v>
      </c>
      <c r="E746" s="5" t="s">
        <v>39</v>
      </c>
      <c r="F746" s="2">
        <v>308</v>
      </c>
      <c r="G746" s="3">
        <v>605.17999999999995</v>
      </c>
      <c r="H746">
        <v>116</v>
      </c>
      <c r="I746">
        <f>IF(Table1[[#This Row],[Status]]= "Sufficient",
     Table1[[#This Row],[Stock_Quantity]] - Table1[[#This Row],[Reorder_Level]],
     0)</f>
        <v>192</v>
      </c>
      <c r="J746" s="4">
        <v>45904</v>
      </c>
      <c r="K746" s="5" t="s">
        <v>14</v>
      </c>
      <c r="L746">
        <f>YEAR(Table1[[#This Row],[Last_Restock_Date]])</f>
        <v>2025</v>
      </c>
      <c r="M746" t="str">
        <f>_xlfn.CONCAT(TEXT(Table1[[#This Row],[Last_Restock_Date]],"mmm"), "-", YEAR(Table1[[#This Row],[Last_Restock_Date]]))</f>
        <v>Sep-2025</v>
      </c>
      <c r="N746">
        <f>MONTH(Table1[[#This Row],[Last_Restock_Date]])</f>
        <v>9</v>
      </c>
      <c r="O746" t="str" cm="1">
        <f t="array" ref="O746">_xlfn.SWITCH(Table1[[#This Row],[Month_Number]],
    1,"Q1",2,"Q1",3,"Q1",
    4,"Q2",5,"Q2",6,"Q2",
    7,"Q3",8,"Q3",9,"Q3",
    10,"Q4",11,"Q4",12,"Q4",
    "Invalid Month"
)</f>
        <v>Q3</v>
      </c>
      <c r="P746" t="str">
        <f>TEXT(Table1[[#This Row],[Last_Restock_Date]],"mmm")</f>
        <v>Sep</v>
      </c>
    </row>
    <row r="747" spans="1:16" x14ac:dyDescent="0.25">
      <c r="A747">
        <v>746</v>
      </c>
      <c r="B747" s="5" t="s">
        <v>25</v>
      </c>
      <c r="C747" s="5" t="s">
        <v>26</v>
      </c>
      <c r="D747" s="5" t="s">
        <v>17</v>
      </c>
      <c r="E747" s="5" t="s">
        <v>39</v>
      </c>
      <c r="F747" s="2">
        <v>252</v>
      </c>
      <c r="G747" s="3">
        <v>378.65</v>
      </c>
      <c r="H747">
        <v>83</v>
      </c>
      <c r="I747">
        <f>IF(Table1[[#This Row],[Status]]= "Sufficient",
     Table1[[#This Row],[Stock_Quantity]] - Table1[[#This Row],[Reorder_Level]],
     0)</f>
        <v>169</v>
      </c>
      <c r="J747" s="4">
        <v>45893</v>
      </c>
      <c r="K747" s="5" t="s">
        <v>14</v>
      </c>
      <c r="L747">
        <f>YEAR(Table1[[#This Row],[Last_Restock_Date]])</f>
        <v>2025</v>
      </c>
      <c r="M747" t="str">
        <f>_xlfn.CONCAT(TEXT(Table1[[#This Row],[Last_Restock_Date]],"mmm"), "-", YEAR(Table1[[#This Row],[Last_Restock_Date]]))</f>
        <v>Aug-2025</v>
      </c>
      <c r="N747">
        <f>MONTH(Table1[[#This Row],[Last_Restock_Date]])</f>
        <v>8</v>
      </c>
      <c r="O747" t="str" cm="1">
        <f t="array" ref="O747">_xlfn.SWITCH(Table1[[#This Row],[Month_Number]],
    1,"Q1",2,"Q1",3,"Q1",
    4,"Q2",5,"Q2",6,"Q2",
    7,"Q3",8,"Q3",9,"Q3",
    10,"Q4",11,"Q4",12,"Q4",
    "Invalid Month"
)</f>
        <v>Q3</v>
      </c>
      <c r="P747" t="str">
        <f>TEXT(Table1[[#This Row],[Last_Restock_Date]],"mmm")</f>
        <v>Aug</v>
      </c>
    </row>
    <row r="748" spans="1:16" x14ac:dyDescent="0.25">
      <c r="A748">
        <v>747</v>
      </c>
      <c r="B748" s="5" t="s">
        <v>25</v>
      </c>
      <c r="C748" s="5" t="s">
        <v>26</v>
      </c>
      <c r="D748" s="5" t="s">
        <v>30</v>
      </c>
      <c r="E748" s="5" t="s">
        <v>27</v>
      </c>
      <c r="F748" s="2">
        <v>57</v>
      </c>
      <c r="G748" s="3">
        <v>505.69</v>
      </c>
      <c r="H748">
        <v>72</v>
      </c>
      <c r="I748">
        <f>IF(Table1[[#This Row],[Status]]= "Sufficient",
     Table1[[#This Row],[Stock_Quantity]] - Table1[[#This Row],[Reorder_Level]],
     0)</f>
        <v>0</v>
      </c>
      <c r="J748" s="4">
        <v>45568</v>
      </c>
      <c r="K748" s="5" t="s">
        <v>28</v>
      </c>
      <c r="L748">
        <f>YEAR(Table1[[#This Row],[Last_Restock_Date]])</f>
        <v>2024</v>
      </c>
      <c r="M748" t="str">
        <f>_xlfn.CONCAT(TEXT(Table1[[#This Row],[Last_Restock_Date]],"mmm"), "-", YEAR(Table1[[#This Row],[Last_Restock_Date]]))</f>
        <v>Oct-2024</v>
      </c>
      <c r="N748">
        <f>MONTH(Table1[[#This Row],[Last_Restock_Date]])</f>
        <v>10</v>
      </c>
      <c r="O748" t="str" cm="1">
        <f t="array" ref="O748">_xlfn.SWITCH(Table1[[#This Row],[Month_Number]],
    1,"Q1",2,"Q1",3,"Q1",
    4,"Q2",5,"Q2",6,"Q2",
    7,"Q3",8,"Q3",9,"Q3",
    10,"Q4",11,"Q4",12,"Q4",
    "Invalid Month"
)</f>
        <v>Q4</v>
      </c>
      <c r="P748" t="str">
        <f>TEXT(Table1[[#This Row],[Last_Restock_Date]],"mmm")</f>
        <v>Oct</v>
      </c>
    </row>
    <row r="749" spans="1:16" x14ac:dyDescent="0.25">
      <c r="A749">
        <v>748</v>
      </c>
      <c r="B749" s="5" t="s">
        <v>54</v>
      </c>
      <c r="C749" s="5" t="s">
        <v>20</v>
      </c>
      <c r="D749" s="5" t="s">
        <v>24</v>
      </c>
      <c r="E749" s="5" t="s">
        <v>13</v>
      </c>
      <c r="F749" s="2">
        <v>222</v>
      </c>
      <c r="G749" s="3">
        <v>252.92</v>
      </c>
      <c r="H749">
        <v>138</v>
      </c>
      <c r="I749">
        <f>IF(Table1[[#This Row],[Status]]= "Sufficient",
     Table1[[#This Row],[Stock_Quantity]] - Table1[[#This Row],[Reorder_Level]],
     0)</f>
        <v>84</v>
      </c>
      <c r="J749" s="4">
        <v>45199</v>
      </c>
      <c r="K749" s="5" t="s">
        <v>14</v>
      </c>
      <c r="L749">
        <f>YEAR(Table1[[#This Row],[Last_Restock_Date]])</f>
        <v>2023</v>
      </c>
      <c r="M749" t="str">
        <f>_xlfn.CONCAT(TEXT(Table1[[#This Row],[Last_Restock_Date]],"mmm"), "-", YEAR(Table1[[#This Row],[Last_Restock_Date]]))</f>
        <v>Sep-2023</v>
      </c>
      <c r="N749">
        <f>MONTH(Table1[[#This Row],[Last_Restock_Date]])</f>
        <v>9</v>
      </c>
      <c r="O749" t="str" cm="1">
        <f t="array" ref="O749">_xlfn.SWITCH(Table1[[#This Row],[Month_Number]],
    1,"Q1",2,"Q1",3,"Q1",
    4,"Q2",5,"Q2",6,"Q2",
    7,"Q3",8,"Q3",9,"Q3",
    10,"Q4",11,"Q4",12,"Q4",
    "Invalid Month"
)</f>
        <v>Q3</v>
      </c>
      <c r="P749" t="str">
        <f>TEXT(Table1[[#This Row],[Last_Restock_Date]],"mmm")</f>
        <v>Sep</v>
      </c>
    </row>
    <row r="750" spans="1:16" x14ac:dyDescent="0.25">
      <c r="A750">
        <v>749</v>
      </c>
      <c r="B750" s="5" t="s">
        <v>25</v>
      </c>
      <c r="C750" s="5" t="s">
        <v>26</v>
      </c>
      <c r="D750" s="5" t="s">
        <v>21</v>
      </c>
      <c r="E750" s="5" t="s">
        <v>13</v>
      </c>
      <c r="F750" s="2">
        <v>455</v>
      </c>
      <c r="G750" s="3">
        <v>446.57</v>
      </c>
      <c r="H750">
        <v>66</v>
      </c>
      <c r="I750">
        <f>IF(Table1[[#This Row],[Status]]= "Sufficient",
     Table1[[#This Row],[Stock_Quantity]] - Table1[[#This Row],[Reorder_Level]],
     0)</f>
        <v>389</v>
      </c>
      <c r="J750" s="4">
        <v>45726</v>
      </c>
      <c r="K750" s="5" t="s">
        <v>14</v>
      </c>
      <c r="L750">
        <f>YEAR(Table1[[#This Row],[Last_Restock_Date]])</f>
        <v>2025</v>
      </c>
      <c r="M750" t="str">
        <f>_xlfn.CONCAT(TEXT(Table1[[#This Row],[Last_Restock_Date]],"mmm"), "-", YEAR(Table1[[#This Row],[Last_Restock_Date]]))</f>
        <v>Mar-2025</v>
      </c>
      <c r="N750">
        <f>MONTH(Table1[[#This Row],[Last_Restock_Date]])</f>
        <v>3</v>
      </c>
      <c r="O750" t="str" cm="1">
        <f t="array" ref="O750">_xlfn.SWITCH(Table1[[#This Row],[Month_Number]],
    1,"Q1",2,"Q1",3,"Q1",
    4,"Q2",5,"Q2",6,"Q2",
    7,"Q3",8,"Q3",9,"Q3",
    10,"Q4",11,"Q4",12,"Q4",
    "Invalid Month"
)</f>
        <v>Q1</v>
      </c>
      <c r="P750" t="str">
        <f>TEXT(Table1[[#This Row],[Last_Restock_Date]],"mmm")</f>
        <v>Mar</v>
      </c>
    </row>
    <row r="751" spans="1:16" x14ac:dyDescent="0.25">
      <c r="A751">
        <v>750</v>
      </c>
      <c r="B751" s="5" t="s">
        <v>38</v>
      </c>
      <c r="C751" s="5" t="s">
        <v>26</v>
      </c>
      <c r="D751" s="5" t="s">
        <v>17</v>
      </c>
      <c r="E751" s="5" t="s">
        <v>18</v>
      </c>
      <c r="F751" s="2">
        <v>400</v>
      </c>
      <c r="G751" s="3">
        <v>241.43</v>
      </c>
      <c r="H751">
        <v>146</v>
      </c>
      <c r="I751">
        <f>IF(Table1[[#This Row],[Status]]= "Sufficient",
     Table1[[#This Row],[Stock_Quantity]] - Table1[[#This Row],[Reorder_Level]],
     0)</f>
        <v>254</v>
      </c>
      <c r="J751" s="4">
        <v>45114</v>
      </c>
      <c r="K751" s="5" t="s">
        <v>14</v>
      </c>
      <c r="L751">
        <f>YEAR(Table1[[#This Row],[Last_Restock_Date]])</f>
        <v>2023</v>
      </c>
      <c r="M751" t="str">
        <f>_xlfn.CONCAT(TEXT(Table1[[#This Row],[Last_Restock_Date]],"mmm"), "-", YEAR(Table1[[#This Row],[Last_Restock_Date]]))</f>
        <v>Jul-2023</v>
      </c>
      <c r="N751">
        <f>MONTH(Table1[[#This Row],[Last_Restock_Date]])</f>
        <v>7</v>
      </c>
      <c r="O751" t="str" cm="1">
        <f t="array" ref="O751">_xlfn.SWITCH(Table1[[#This Row],[Month_Number]],
    1,"Q1",2,"Q1",3,"Q1",
    4,"Q2",5,"Q2",6,"Q2",
    7,"Q3",8,"Q3",9,"Q3",
    10,"Q4",11,"Q4",12,"Q4",
    "Invalid Month"
)</f>
        <v>Q3</v>
      </c>
      <c r="P751" t="str">
        <f>TEXT(Table1[[#This Row],[Last_Restock_Date]],"mmm")</f>
        <v>Jul</v>
      </c>
    </row>
    <row r="752" spans="1:16" x14ac:dyDescent="0.25">
      <c r="A752">
        <v>751</v>
      </c>
      <c r="B752" s="5" t="s">
        <v>25</v>
      </c>
      <c r="C752" s="5" t="s">
        <v>26</v>
      </c>
      <c r="D752" s="5" t="s">
        <v>21</v>
      </c>
      <c r="E752" s="5" t="s">
        <v>18</v>
      </c>
      <c r="F752" s="2">
        <v>155</v>
      </c>
      <c r="G752" s="3">
        <v>321.62</v>
      </c>
      <c r="H752">
        <v>61</v>
      </c>
      <c r="I752">
        <f>IF(Table1[[#This Row],[Status]]= "Sufficient",
     Table1[[#This Row],[Stock_Quantity]] - Table1[[#This Row],[Reorder_Level]],
     0)</f>
        <v>94</v>
      </c>
      <c r="J752" s="4">
        <v>45981</v>
      </c>
      <c r="K752" s="5" t="s">
        <v>14</v>
      </c>
      <c r="L752">
        <f>YEAR(Table1[[#This Row],[Last_Restock_Date]])</f>
        <v>2025</v>
      </c>
      <c r="M752" t="str">
        <f>_xlfn.CONCAT(TEXT(Table1[[#This Row],[Last_Restock_Date]],"mmm"), "-", YEAR(Table1[[#This Row],[Last_Restock_Date]]))</f>
        <v>Nov-2025</v>
      </c>
      <c r="N752">
        <f>MONTH(Table1[[#This Row],[Last_Restock_Date]])</f>
        <v>11</v>
      </c>
      <c r="O752" t="str" cm="1">
        <f t="array" ref="O752">_xlfn.SWITCH(Table1[[#This Row],[Month_Number]],
    1,"Q1",2,"Q1",3,"Q1",
    4,"Q2",5,"Q2",6,"Q2",
    7,"Q3",8,"Q3",9,"Q3",
    10,"Q4",11,"Q4",12,"Q4",
    "Invalid Month"
)</f>
        <v>Q4</v>
      </c>
      <c r="P752" t="str">
        <f>TEXT(Table1[[#This Row],[Last_Restock_Date]],"mmm")</f>
        <v>Nov</v>
      </c>
    </row>
    <row r="753" spans="1:16" x14ac:dyDescent="0.25">
      <c r="A753">
        <v>752</v>
      </c>
      <c r="B753" s="5" t="s">
        <v>29</v>
      </c>
      <c r="C753" s="5" t="s">
        <v>16</v>
      </c>
      <c r="D753" s="5" t="s">
        <v>21</v>
      </c>
      <c r="E753" s="5" t="s">
        <v>27</v>
      </c>
      <c r="F753" s="2">
        <v>184</v>
      </c>
      <c r="G753" s="3">
        <v>495.06</v>
      </c>
      <c r="H753">
        <v>121</v>
      </c>
      <c r="I753">
        <f>IF(Table1[[#This Row],[Status]]= "Sufficient",
     Table1[[#This Row],[Stock_Quantity]] - Table1[[#This Row],[Reorder_Level]],
     0)</f>
        <v>63</v>
      </c>
      <c r="J753" s="4">
        <v>45983</v>
      </c>
      <c r="K753" s="5" t="s">
        <v>14</v>
      </c>
      <c r="L753">
        <f>YEAR(Table1[[#This Row],[Last_Restock_Date]])</f>
        <v>2025</v>
      </c>
      <c r="M753" t="str">
        <f>_xlfn.CONCAT(TEXT(Table1[[#This Row],[Last_Restock_Date]],"mmm"), "-", YEAR(Table1[[#This Row],[Last_Restock_Date]]))</f>
        <v>Nov-2025</v>
      </c>
      <c r="N753">
        <f>MONTH(Table1[[#This Row],[Last_Restock_Date]])</f>
        <v>11</v>
      </c>
      <c r="O753" t="str" cm="1">
        <f t="array" ref="O753">_xlfn.SWITCH(Table1[[#This Row],[Month_Number]],
    1,"Q1",2,"Q1",3,"Q1",
    4,"Q2",5,"Q2",6,"Q2",
    7,"Q3",8,"Q3",9,"Q3",
    10,"Q4",11,"Q4",12,"Q4",
    "Invalid Month"
)</f>
        <v>Q4</v>
      </c>
      <c r="P753" t="str">
        <f>TEXT(Table1[[#This Row],[Last_Restock_Date]],"mmm")</f>
        <v>Nov</v>
      </c>
    </row>
    <row r="754" spans="1:16" x14ac:dyDescent="0.25">
      <c r="A754">
        <v>753</v>
      </c>
      <c r="B754" s="5" t="s">
        <v>48</v>
      </c>
      <c r="C754" s="5" t="s">
        <v>20</v>
      </c>
      <c r="D754" s="5" t="s">
        <v>30</v>
      </c>
      <c r="E754" s="5" t="s">
        <v>13</v>
      </c>
      <c r="F754" s="2">
        <v>468</v>
      </c>
      <c r="G754" s="3">
        <v>686.21</v>
      </c>
      <c r="H754">
        <v>60</v>
      </c>
      <c r="I754">
        <f>IF(Table1[[#This Row],[Status]]= "Sufficient",
     Table1[[#This Row],[Stock_Quantity]] - Table1[[#This Row],[Reorder_Level]],
     0)</f>
        <v>408</v>
      </c>
      <c r="J754" s="4">
        <v>45256</v>
      </c>
      <c r="K754" s="5" t="s">
        <v>14</v>
      </c>
      <c r="L754">
        <f>YEAR(Table1[[#This Row],[Last_Restock_Date]])</f>
        <v>2023</v>
      </c>
      <c r="M754" t="str">
        <f>_xlfn.CONCAT(TEXT(Table1[[#This Row],[Last_Restock_Date]],"mmm"), "-", YEAR(Table1[[#This Row],[Last_Restock_Date]]))</f>
        <v>Nov-2023</v>
      </c>
      <c r="N754">
        <f>MONTH(Table1[[#This Row],[Last_Restock_Date]])</f>
        <v>11</v>
      </c>
      <c r="O754" t="str" cm="1">
        <f t="array" ref="O754">_xlfn.SWITCH(Table1[[#This Row],[Month_Number]],
    1,"Q1",2,"Q1",3,"Q1",
    4,"Q2",5,"Q2",6,"Q2",
    7,"Q3",8,"Q3",9,"Q3",
    10,"Q4",11,"Q4",12,"Q4",
    "Invalid Month"
)</f>
        <v>Q4</v>
      </c>
      <c r="P754" t="str">
        <f>TEXT(Table1[[#This Row],[Last_Restock_Date]],"mmm")</f>
        <v>Nov</v>
      </c>
    </row>
    <row r="755" spans="1:16" x14ac:dyDescent="0.25">
      <c r="A755">
        <v>754</v>
      </c>
      <c r="B755" s="5" t="s">
        <v>43</v>
      </c>
      <c r="C755" s="5" t="s">
        <v>26</v>
      </c>
      <c r="D755" s="5" t="s">
        <v>24</v>
      </c>
      <c r="E755" s="5" t="s">
        <v>18</v>
      </c>
      <c r="F755" s="2">
        <v>231</v>
      </c>
      <c r="G755" s="3">
        <v>361.16</v>
      </c>
      <c r="H755">
        <v>82</v>
      </c>
      <c r="I755">
        <f>IF(Table1[[#This Row],[Status]]= "Sufficient",
     Table1[[#This Row],[Stock_Quantity]] - Table1[[#This Row],[Reorder_Level]],
     0)</f>
        <v>149</v>
      </c>
      <c r="J755" s="4">
        <v>45150</v>
      </c>
      <c r="K755" s="5" t="s">
        <v>14</v>
      </c>
      <c r="L755">
        <f>YEAR(Table1[[#This Row],[Last_Restock_Date]])</f>
        <v>2023</v>
      </c>
      <c r="M755" t="str">
        <f>_xlfn.CONCAT(TEXT(Table1[[#This Row],[Last_Restock_Date]],"mmm"), "-", YEAR(Table1[[#This Row],[Last_Restock_Date]]))</f>
        <v>Aug-2023</v>
      </c>
      <c r="N755">
        <f>MONTH(Table1[[#This Row],[Last_Restock_Date]])</f>
        <v>8</v>
      </c>
      <c r="O755" t="str" cm="1">
        <f t="array" ref="O755">_xlfn.SWITCH(Table1[[#This Row],[Month_Number]],
    1,"Q1",2,"Q1",3,"Q1",
    4,"Q2",5,"Q2",6,"Q2",
    7,"Q3",8,"Q3",9,"Q3",
    10,"Q4",11,"Q4",12,"Q4",
    "Invalid Month"
)</f>
        <v>Q3</v>
      </c>
      <c r="P755" t="str">
        <f>TEXT(Table1[[#This Row],[Last_Restock_Date]],"mmm")</f>
        <v>Aug</v>
      </c>
    </row>
    <row r="756" spans="1:16" x14ac:dyDescent="0.25">
      <c r="A756">
        <v>755</v>
      </c>
      <c r="B756" s="5" t="s">
        <v>50</v>
      </c>
      <c r="C756" s="5" t="s">
        <v>34</v>
      </c>
      <c r="D756" s="5" t="s">
        <v>24</v>
      </c>
      <c r="E756" s="5" t="s">
        <v>39</v>
      </c>
      <c r="F756" s="2">
        <v>462</v>
      </c>
      <c r="G756" s="3">
        <v>519.11</v>
      </c>
      <c r="H756">
        <v>82</v>
      </c>
      <c r="I756">
        <f>IF(Table1[[#This Row],[Status]]= "Sufficient",
     Table1[[#This Row],[Stock_Quantity]] - Table1[[#This Row],[Reorder_Level]],
     0)</f>
        <v>380</v>
      </c>
      <c r="J756" s="4">
        <v>45352</v>
      </c>
      <c r="K756" s="5" t="s">
        <v>14</v>
      </c>
      <c r="L756">
        <f>YEAR(Table1[[#This Row],[Last_Restock_Date]])</f>
        <v>2024</v>
      </c>
      <c r="M756" t="str">
        <f>_xlfn.CONCAT(TEXT(Table1[[#This Row],[Last_Restock_Date]],"mmm"), "-", YEAR(Table1[[#This Row],[Last_Restock_Date]]))</f>
        <v>Mar-2024</v>
      </c>
      <c r="N756">
        <f>MONTH(Table1[[#This Row],[Last_Restock_Date]])</f>
        <v>3</v>
      </c>
      <c r="O756" t="str" cm="1">
        <f t="array" ref="O756">_xlfn.SWITCH(Table1[[#This Row],[Month_Number]],
    1,"Q1",2,"Q1",3,"Q1",
    4,"Q2",5,"Q2",6,"Q2",
    7,"Q3",8,"Q3",9,"Q3",
    10,"Q4",11,"Q4",12,"Q4",
    "Invalid Month"
)</f>
        <v>Q1</v>
      </c>
      <c r="P756" t="str">
        <f>TEXT(Table1[[#This Row],[Last_Restock_Date]],"mmm")</f>
        <v>Mar</v>
      </c>
    </row>
    <row r="757" spans="1:16" x14ac:dyDescent="0.25">
      <c r="A757">
        <v>756</v>
      </c>
      <c r="B757" s="5" t="s">
        <v>33</v>
      </c>
      <c r="C757" s="5" t="s">
        <v>34</v>
      </c>
      <c r="D757" s="5" t="s">
        <v>21</v>
      </c>
      <c r="E757" s="5" t="s">
        <v>18</v>
      </c>
      <c r="F757" s="2">
        <v>248</v>
      </c>
      <c r="G757" s="3">
        <v>56.88</v>
      </c>
      <c r="H757">
        <v>139</v>
      </c>
      <c r="I757">
        <f>IF(Table1[[#This Row],[Status]]= "Sufficient",
     Table1[[#This Row],[Stock_Quantity]] - Table1[[#This Row],[Reorder_Level]],
     0)</f>
        <v>109</v>
      </c>
      <c r="J757" s="4">
        <v>45471</v>
      </c>
      <c r="K757" s="5" t="s">
        <v>14</v>
      </c>
      <c r="L757">
        <f>YEAR(Table1[[#This Row],[Last_Restock_Date]])</f>
        <v>2024</v>
      </c>
      <c r="M757" t="str">
        <f>_xlfn.CONCAT(TEXT(Table1[[#This Row],[Last_Restock_Date]],"mmm"), "-", YEAR(Table1[[#This Row],[Last_Restock_Date]]))</f>
        <v>Jun-2024</v>
      </c>
      <c r="N757">
        <f>MONTH(Table1[[#This Row],[Last_Restock_Date]])</f>
        <v>6</v>
      </c>
      <c r="O757" t="str" cm="1">
        <f t="array" ref="O757">_xlfn.SWITCH(Table1[[#This Row],[Month_Number]],
    1,"Q1",2,"Q1",3,"Q1",
    4,"Q2",5,"Q2",6,"Q2",
    7,"Q3",8,"Q3",9,"Q3",
    10,"Q4",11,"Q4",12,"Q4",
    "Invalid Month"
)</f>
        <v>Q2</v>
      </c>
      <c r="P757" t="str">
        <f>TEXT(Table1[[#This Row],[Last_Restock_Date]],"mmm")</f>
        <v>Jun</v>
      </c>
    </row>
    <row r="758" spans="1:16" x14ac:dyDescent="0.25">
      <c r="A758">
        <v>757</v>
      </c>
      <c r="B758" s="5" t="s">
        <v>19</v>
      </c>
      <c r="C758" s="5" t="s">
        <v>20</v>
      </c>
      <c r="D758" s="5" t="s">
        <v>24</v>
      </c>
      <c r="E758" s="5" t="s">
        <v>18</v>
      </c>
      <c r="F758" s="2">
        <v>300</v>
      </c>
      <c r="G758" s="3">
        <v>175.52</v>
      </c>
      <c r="H758">
        <v>60</v>
      </c>
      <c r="I758">
        <f>IF(Table1[[#This Row],[Status]]= "Sufficient",
     Table1[[#This Row],[Stock_Quantity]] - Table1[[#This Row],[Reorder_Level]],
     0)</f>
        <v>240</v>
      </c>
      <c r="J758" s="4">
        <v>45234</v>
      </c>
      <c r="K758" s="5" t="s">
        <v>14</v>
      </c>
      <c r="L758">
        <f>YEAR(Table1[[#This Row],[Last_Restock_Date]])</f>
        <v>2023</v>
      </c>
      <c r="M758" t="str">
        <f>_xlfn.CONCAT(TEXT(Table1[[#This Row],[Last_Restock_Date]],"mmm"), "-", YEAR(Table1[[#This Row],[Last_Restock_Date]]))</f>
        <v>Nov-2023</v>
      </c>
      <c r="N758">
        <f>MONTH(Table1[[#This Row],[Last_Restock_Date]])</f>
        <v>11</v>
      </c>
      <c r="O758" t="str" cm="1">
        <f t="array" ref="O758">_xlfn.SWITCH(Table1[[#This Row],[Month_Number]],
    1,"Q1",2,"Q1",3,"Q1",
    4,"Q2",5,"Q2",6,"Q2",
    7,"Q3",8,"Q3",9,"Q3",
    10,"Q4",11,"Q4",12,"Q4",
    "Invalid Month"
)</f>
        <v>Q4</v>
      </c>
      <c r="P758" t="str">
        <f>TEXT(Table1[[#This Row],[Last_Restock_Date]],"mmm")</f>
        <v>Nov</v>
      </c>
    </row>
    <row r="759" spans="1:16" x14ac:dyDescent="0.25">
      <c r="A759">
        <v>758</v>
      </c>
      <c r="B759" s="5" t="s">
        <v>25</v>
      </c>
      <c r="C759" s="5" t="s">
        <v>26</v>
      </c>
      <c r="D759" s="5" t="s">
        <v>12</v>
      </c>
      <c r="E759" s="5" t="s">
        <v>37</v>
      </c>
      <c r="F759" s="2">
        <v>487</v>
      </c>
      <c r="G759" s="3">
        <v>210.19</v>
      </c>
      <c r="H759">
        <v>113</v>
      </c>
      <c r="I759">
        <f>IF(Table1[[#This Row],[Status]]= "Sufficient",
     Table1[[#This Row],[Stock_Quantity]] - Table1[[#This Row],[Reorder_Level]],
     0)</f>
        <v>374</v>
      </c>
      <c r="J759" s="4">
        <v>45807</v>
      </c>
      <c r="K759" s="5" t="s">
        <v>14</v>
      </c>
      <c r="L759">
        <f>YEAR(Table1[[#This Row],[Last_Restock_Date]])</f>
        <v>2025</v>
      </c>
      <c r="M759" t="str">
        <f>_xlfn.CONCAT(TEXT(Table1[[#This Row],[Last_Restock_Date]],"mmm"), "-", YEAR(Table1[[#This Row],[Last_Restock_Date]]))</f>
        <v>May-2025</v>
      </c>
      <c r="N759">
        <f>MONTH(Table1[[#This Row],[Last_Restock_Date]])</f>
        <v>5</v>
      </c>
      <c r="O759" t="str" cm="1">
        <f t="array" ref="O759">_xlfn.SWITCH(Table1[[#This Row],[Month_Number]],
    1,"Q1",2,"Q1",3,"Q1",
    4,"Q2",5,"Q2",6,"Q2",
    7,"Q3",8,"Q3",9,"Q3",
    10,"Q4",11,"Q4",12,"Q4",
    "Invalid Month"
)</f>
        <v>Q2</v>
      </c>
      <c r="P759" t="str">
        <f>TEXT(Table1[[#This Row],[Last_Restock_Date]],"mmm")</f>
        <v>May</v>
      </c>
    </row>
    <row r="760" spans="1:16" x14ac:dyDescent="0.25">
      <c r="A760">
        <v>759</v>
      </c>
      <c r="B760" s="5" t="s">
        <v>46</v>
      </c>
      <c r="C760" s="5" t="s">
        <v>34</v>
      </c>
      <c r="D760" s="5" t="s">
        <v>24</v>
      </c>
      <c r="E760" s="5" t="s">
        <v>39</v>
      </c>
      <c r="F760" s="2">
        <v>1</v>
      </c>
      <c r="G760" s="3">
        <v>275.10000000000002</v>
      </c>
      <c r="H760">
        <v>134</v>
      </c>
      <c r="I760">
        <f>IF(Table1[[#This Row],[Status]]= "Sufficient",
     Table1[[#This Row],[Stock_Quantity]] - Table1[[#This Row],[Reorder_Level]],
     0)</f>
        <v>0</v>
      </c>
      <c r="J760" s="4">
        <v>46012</v>
      </c>
      <c r="K760" s="5" t="s">
        <v>28</v>
      </c>
      <c r="L760">
        <f>YEAR(Table1[[#This Row],[Last_Restock_Date]])</f>
        <v>2025</v>
      </c>
      <c r="M760" t="str">
        <f>_xlfn.CONCAT(TEXT(Table1[[#This Row],[Last_Restock_Date]],"mmm"), "-", YEAR(Table1[[#This Row],[Last_Restock_Date]]))</f>
        <v>Dec-2025</v>
      </c>
      <c r="N760">
        <f>MONTH(Table1[[#This Row],[Last_Restock_Date]])</f>
        <v>12</v>
      </c>
      <c r="O760" t="str" cm="1">
        <f t="array" ref="O760">_xlfn.SWITCH(Table1[[#This Row],[Month_Number]],
    1,"Q1",2,"Q1",3,"Q1",
    4,"Q2",5,"Q2",6,"Q2",
    7,"Q3",8,"Q3",9,"Q3",
    10,"Q4",11,"Q4",12,"Q4",
    "Invalid Month"
)</f>
        <v>Q4</v>
      </c>
      <c r="P760" t="str">
        <f>TEXT(Table1[[#This Row],[Last_Restock_Date]],"mmm")</f>
        <v>Dec</v>
      </c>
    </row>
    <row r="761" spans="1:16" x14ac:dyDescent="0.25">
      <c r="A761">
        <v>760</v>
      </c>
      <c r="B761" s="5" t="s">
        <v>22</v>
      </c>
      <c r="C761" s="5" t="s">
        <v>11</v>
      </c>
      <c r="D761" s="5" t="s">
        <v>17</v>
      </c>
      <c r="E761" s="5" t="s">
        <v>39</v>
      </c>
      <c r="F761" s="2">
        <v>106</v>
      </c>
      <c r="G761" s="3">
        <v>601.75</v>
      </c>
      <c r="H761">
        <v>115</v>
      </c>
      <c r="I761">
        <f>IF(Table1[[#This Row],[Status]]= "Sufficient",
     Table1[[#This Row],[Stock_Quantity]] - Table1[[#This Row],[Reorder_Level]],
     0)</f>
        <v>0</v>
      </c>
      <c r="J761" s="4">
        <v>45470</v>
      </c>
      <c r="K761" s="5" t="s">
        <v>28</v>
      </c>
      <c r="L761">
        <f>YEAR(Table1[[#This Row],[Last_Restock_Date]])</f>
        <v>2024</v>
      </c>
      <c r="M761" t="str">
        <f>_xlfn.CONCAT(TEXT(Table1[[#This Row],[Last_Restock_Date]],"mmm"), "-", YEAR(Table1[[#This Row],[Last_Restock_Date]]))</f>
        <v>Jun-2024</v>
      </c>
      <c r="N761">
        <f>MONTH(Table1[[#This Row],[Last_Restock_Date]])</f>
        <v>6</v>
      </c>
      <c r="O761" t="str" cm="1">
        <f t="array" ref="O761">_xlfn.SWITCH(Table1[[#This Row],[Month_Number]],
    1,"Q1",2,"Q1",3,"Q1",
    4,"Q2",5,"Q2",6,"Q2",
    7,"Q3",8,"Q3",9,"Q3",
    10,"Q4",11,"Q4",12,"Q4",
    "Invalid Month"
)</f>
        <v>Q2</v>
      </c>
      <c r="P761" t="str">
        <f>TEXT(Table1[[#This Row],[Last_Restock_Date]],"mmm")</f>
        <v>Jun</v>
      </c>
    </row>
    <row r="762" spans="1:16" x14ac:dyDescent="0.25">
      <c r="A762">
        <v>761</v>
      </c>
      <c r="B762" s="5" t="s">
        <v>47</v>
      </c>
      <c r="C762" s="5" t="s">
        <v>20</v>
      </c>
      <c r="D762" s="5" t="s">
        <v>12</v>
      </c>
      <c r="E762" s="5" t="s">
        <v>13</v>
      </c>
      <c r="F762" s="2">
        <v>253</v>
      </c>
      <c r="G762" s="3">
        <v>243.71</v>
      </c>
      <c r="H762">
        <v>67</v>
      </c>
      <c r="I762">
        <f>IF(Table1[[#This Row],[Status]]= "Sufficient",
     Table1[[#This Row],[Stock_Quantity]] - Table1[[#This Row],[Reorder_Level]],
     0)</f>
        <v>186</v>
      </c>
      <c r="J762" s="4">
        <v>45293</v>
      </c>
      <c r="K762" s="5" t="s">
        <v>14</v>
      </c>
      <c r="L762">
        <f>YEAR(Table1[[#This Row],[Last_Restock_Date]])</f>
        <v>2024</v>
      </c>
      <c r="M762" t="str">
        <f>_xlfn.CONCAT(TEXT(Table1[[#This Row],[Last_Restock_Date]],"mmm"), "-", YEAR(Table1[[#This Row],[Last_Restock_Date]]))</f>
        <v>Jan-2024</v>
      </c>
      <c r="N762">
        <f>MONTH(Table1[[#This Row],[Last_Restock_Date]])</f>
        <v>1</v>
      </c>
      <c r="O762" t="str" cm="1">
        <f t="array" ref="O762">_xlfn.SWITCH(Table1[[#This Row],[Month_Number]],
    1,"Q1",2,"Q1",3,"Q1",
    4,"Q2",5,"Q2",6,"Q2",
    7,"Q3",8,"Q3",9,"Q3",
    10,"Q4",11,"Q4",12,"Q4",
    "Invalid Month"
)</f>
        <v>Q1</v>
      </c>
      <c r="P762" t="str">
        <f>TEXT(Table1[[#This Row],[Last_Restock_Date]],"mmm")</f>
        <v>Jan</v>
      </c>
    </row>
    <row r="763" spans="1:16" x14ac:dyDescent="0.25">
      <c r="A763">
        <v>762</v>
      </c>
      <c r="B763" s="5" t="s">
        <v>15</v>
      </c>
      <c r="C763" s="5" t="s">
        <v>16</v>
      </c>
      <c r="D763" s="5" t="s">
        <v>17</v>
      </c>
      <c r="E763" s="5" t="s">
        <v>32</v>
      </c>
      <c r="F763" s="2">
        <v>47</v>
      </c>
      <c r="G763" s="3">
        <v>467.06</v>
      </c>
      <c r="H763">
        <v>144</v>
      </c>
      <c r="I763">
        <f>IF(Table1[[#This Row],[Status]]= "Sufficient",
     Table1[[#This Row],[Stock_Quantity]] - Table1[[#This Row],[Reorder_Level]],
     0)</f>
        <v>0</v>
      </c>
      <c r="J763" s="4">
        <v>45041</v>
      </c>
      <c r="K763" s="5" t="s">
        <v>28</v>
      </c>
      <c r="L763">
        <f>YEAR(Table1[[#This Row],[Last_Restock_Date]])</f>
        <v>2023</v>
      </c>
      <c r="M763" t="str">
        <f>_xlfn.CONCAT(TEXT(Table1[[#This Row],[Last_Restock_Date]],"mmm"), "-", YEAR(Table1[[#This Row],[Last_Restock_Date]]))</f>
        <v>Apr-2023</v>
      </c>
      <c r="N763">
        <f>MONTH(Table1[[#This Row],[Last_Restock_Date]])</f>
        <v>4</v>
      </c>
      <c r="O763" t="str" cm="1">
        <f t="array" ref="O763">_xlfn.SWITCH(Table1[[#This Row],[Month_Number]],
    1,"Q1",2,"Q1",3,"Q1",
    4,"Q2",5,"Q2",6,"Q2",
    7,"Q3",8,"Q3",9,"Q3",
    10,"Q4",11,"Q4",12,"Q4",
    "Invalid Month"
)</f>
        <v>Q2</v>
      </c>
      <c r="P763" t="str">
        <f>TEXT(Table1[[#This Row],[Last_Restock_Date]],"mmm")</f>
        <v>Apr</v>
      </c>
    </row>
    <row r="764" spans="1:16" x14ac:dyDescent="0.25">
      <c r="A764">
        <v>763</v>
      </c>
      <c r="B764" s="5" t="s">
        <v>10</v>
      </c>
      <c r="C764" s="5" t="s">
        <v>11</v>
      </c>
      <c r="D764" s="5" t="s">
        <v>30</v>
      </c>
      <c r="E764" s="5" t="s">
        <v>32</v>
      </c>
      <c r="F764" s="2">
        <v>124</v>
      </c>
      <c r="G764" s="3">
        <v>179.12</v>
      </c>
      <c r="H764">
        <v>69</v>
      </c>
      <c r="I764">
        <f>IF(Table1[[#This Row],[Status]]= "Sufficient",
     Table1[[#This Row],[Stock_Quantity]] - Table1[[#This Row],[Reorder_Level]],
     0)</f>
        <v>55</v>
      </c>
      <c r="J764" s="4">
        <v>45514</v>
      </c>
      <c r="K764" s="5" t="s">
        <v>14</v>
      </c>
      <c r="L764">
        <f>YEAR(Table1[[#This Row],[Last_Restock_Date]])</f>
        <v>2024</v>
      </c>
      <c r="M764" t="str">
        <f>_xlfn.CONCAT(TEXT(Table1[[#This Row],[Last_Restock_Date]],"mmm"), "-", YEAR(Table1[[#This Row],[Last_Restock_Date]]))</f>
        <v>Aug-2024</v>
      </c>
      <c r="N764">
        <f>MONTH(Table1[[#This Row],[Last_Restock_Date]])</f>
        <v>8</v>
      </c>
      <c r="O764" t="str" cm="1">
        <f t="array" ref="O764">_xlfn.SWITCH(Table1[[#This Row],[Month_Number]],
    1,"Q1",2,"Q1",3,"Q1",
    4,"Q2",5,"Q2",6,"Q2",
    7,"Q3",8,"Q3",9,"Q3",
    10,"Q4",11,"Q4",12,"Q4",
    "Invalid Month"
)</f>
        <v>Q3</v>
      </c>
      <c r="P764" t="str">
        <f>TEXT(Table1[[#This Row],[Last_Restock_Date]],"mmm")</f>
        <v>Aug</v>
      </c>
    </row>
    <row r="765" spans="1:16" x14ac:dyDescent="0.25">
      <c r="A765">
        <v>764</v>
      </c>
      <c r="B765" s="5" t="s">
        <v>22</v>
      </c>
      <c r="C765" s="5" t="s">
        <v>11</v>
      </c>
      <c r="D765" s="5" t="s">
        <v>21</v>
      </c>
      <c r="E765" s="5" t="s">
        <v>18</v>
      </c>
      <c r="F765" s="2">
        <v>28</v>
      </c>
      <c r="G765" s="3">
        <v>551.20000000000005</v>
      </c>
      <c r="H765">
        <v>125</v>
      </c>
      <c r="I765">
        <f>IF(Table1[[#This Row],[Status]]= "Sufficient",
     Table1[[#This Row],[Stock_Quantity]] - Table1[[#This Row],[Reorder_Level]],
     0)</f>
        <v>0</v>
      </c>
      <c r="J765" s="4">
        <v>45836</v>
      </c>
      <c r="K765" s="5" t="s">
        <v>28</v>
      </c>
      <c r="L765">
        <f>YEAR(Table1[[#This Row],[Last_Restock_Date]])</f>
        <v>2025</v>
      </c>
      <c r="M765" t="str">
        <f>_xlfn.CONCAT(TEXT(Table1[[#This Row],[Last_Restock_Date]],"mmm"), "-", YEAR(Table1[[#This Row],[Last_Restock_Date]]))</f>
        <v>Jun-2025</v>
      </c>
      <c r="N765">
        <f>MONTH(Table1[[#This Row],[Last_Restock_Date]])</f>
        <v>6</v>
      </c>
      <c r="O765" t="str" cm="1">
        <f t="array" ref="O765">_xlfn.SWITCH(Table1[[#This Row],[Month_Number]],
    1,"Q1",2,"Q1",3,"Q1",
    4,"Q2",5,"Q2",6,"Q2",
    7,"Q3",8,"Q3",9,"Q3",
    10,"Q4",11,"Q4",12,"Q4",
    "Invalid Month"
)</f>
        <v>Q2</v>
      </c>
      <c r="P765" t="str">
        <f>TEXT(Table1[[#This Row],[Last_Restock_Date]],"mmm")</f>
        <v>Jun</v>
      </c>
    </row>
    <row r="766" spans="1:16" x14ac:dyDescent="0.25">
      <c r="A766">
        <v>765</v>
      </c>
      <c r="B766" s="5" t="s">
        <v>35</v>
      </c>
      <c r="C766" s="5" t="s">
        <v>11</v>
      </c>
      <c r="D766" s="5" t="s">
        <v>12</v>
      </c>
      <c r="E766" s="5" t="s">
        <v>27</v>
      </c>
      <c r="F766" s="2">
        <v>73</v>
      </c>
      <c r="G766" s="3">
        <v>175.96</v>
      </c>
      <c r="H766">
        <v>79</v>
      </c>
      <c r="I766">
        <f>IF(Table1[[#This Row],[Status]]= "Sufficient",
     Table1[[#This Row],[Stock_Quantity]] - Table1[[#This Row],[Reorder_Level]],
     0)</f>
        <v>0</v>
      </c>
      <c r="J766" s="4">
        <v>45554</v>
      </c>
      <c r="K766" s="5" t="s">
        <v>28</v>
      </c>
      <c r="L766">
        <f>YEAR(Table1[[#This Row],[Last_Restock_Date]])</f>
        <v>2024</v>
      </c>
      <c r="M766" t="str">
        <f>_xlfn.CONCAT(TEXT(Table1[[#This Row],[Last_Restock_Date]],"mmm"), "-", YEAR(Table1[[#This Row],[Last_Restock_Date]]))</f>
        <v>Sep-2024</v>
      </c>
      <c r="N766">
        <f>MONTH(Table1[[#This Row],[Last_Restock_Date]])</f>
        <v>9</v>
      </c>
      <c r="O766" t="str" cm="1">
        <f t="array" ref="O766">_xlfn.SWITCH(Table1[[#This Row],[Month_Number]],
    1,"Q1",2,"Q1",3,"Q1",
    4,"Q2",5,"Q2",6,"Q2",
    7,"Q3",8,"Q3",9,"Q3",
    10,"Q4",11,"Q4",12,"Q4",
    "Invalid Month"
)</f>
        <v>Q3</v>
      </c>
      <c r="P766" t="str">
        <f>TEXT(Table1[[#This Row],[Last_Restock_Date]],"mmm")</f>
        <v>Sep</v>
      </c>
    </row>
    <row r="767" spans="1:16" x14ac:dyDescent="0.25">
      <c r="A767">
        <v>766</v>
      </c>
      <c r="B767" s="5" t="s">
        <v>44</v>
      </c>
      <c r="C767" s="5" t="s">
        <v>34</v>
      </c>
      <c r="D767" s="5" t="s">
        <v>17</v>
      </c>
      <c r="E767" s="5" t="s">
        <v>13</v>
      </c>
      <c r="F767" s="2">
        <v>81</v>
      </c>
      <c r="G767" s="3">
        <v>575.79</v>
      </c>
      <c r="H767">
        <v>83</v>
      </c>
      <c r="I767">
        <f>IF(Table1[[#This Row],[Status]]= "Sufficient",
     Table1[[#This Row],[Stock_Quantity]] - Table1[[#This Row],[Reorder_Level]],
     0)</f>
        <v>0</v>
      </c>
      <c r="J767" s="4">
        <v>45730</v>
      </c>
      <c r="K767" s="5" t="s">
        <v>28</v>
      </c>
      <c r="L767">
        <f>YEAR(Table1[[#This Row],[Last_Restock_Date]])</f>
        <v>2025</v>
      </c>
      <c r="M767" t="str">
        <f>_xlfn.CONCAT(TEXT(Table1[[#This Row],[Last_Restock_Date]],"mmm"), "-", YEAR(Table1[[#This Row],[Last_Restock_Date]]))</f>
        <v>Mar-2025</v>
      </c>
      <c r="N767">
        <f>MONTH(Table1[[#This Row],[Last_Restock_Date]])</f>
        <v>3</v>
      </c>
      <c r="O767" t="str" cm="1">
        <f t="array" ref="O767">_xlfn.SWITCH(Table1[[#This Row],[Month_Number]],
    1,"Q1",2,"Q1",3,"Q1",
    4,"Q2",5,"Q2",6,"Q2",
    7,"Q3",8,"Q3",9,"Q3",
    10,"Q4",11,"Q4",12,"Q4",
    "Invalid Month"
)</f>
        <v>Q1</v>
      </c>
      <c r="P767" t="str">
        <f>TEXT(Table1[[#This Row],[Last_Restock_Date]],"mmm")</f>
        <v>Mar</v>
      </c>
    </row>
    <row r="768" spans="1:16" x14ac:dyDescent="0.25">
      <c r="A768">
        <v>767</v>
      </c>
      <c r="B768" s="5" t="s">
        <v>44</v>
      </c>
      <c r="C768" s="5" t="s">
        <v>34</v>
      </c>
      <c r="D768" s="5" t="s">
        <v>24</v>
      </c>
      <c r="E768" s="5" t="s">
        <v>18</v>
      </c>
      <c r="F768" s="2">
        <v>134</v>
      </c>
      <c r="G768" s="3">
        <v>450.98</v>
      </c>
      <c r="H768">
        <v>143</v>
      </c>
      <c r="I768">
        <f>IF(Table1[[#This Row],[Status]]= "Sufficient",
     Table1[[#This Row],[Stock_Quantity]] - Table1[[#This Row],[Reorder_Level]],
     0)</f>
        <v>0</v>
      </c>
      <c r="J768" s="4">
        <v>44976</v>
      </c>
      <c r="K768" s="5" t="s">
        <v>28</v>
      </c>
      <c r="L768">
        <f>YEAR(Table1[[#This Row],[Last_Restock_Date]])</f>
        <v>2023</v>
      </c>
      <c r="M768" t="str">
        <f>_xlfn.CONCAT(TEXT(Table1[[#This Row],[Last_Restock_Date]],"mmm"), "-", YEAR(Table1[[#This Row],[Last_Restock_Date]]))</f>
        <v>Feb-2023</v>
      </c>
      <c r="N768">
        <f>MONTH(Table1[[#This Row],[Last_Restock_Date]])</f>
        <v>2</v>
      </c>
      <c r="O768" t="str" cm="1">
        <f t="array" ref="O768">_xlfn.SWITCH(Table1[[#This Row],[Month_Number]],
    1,"Q1",2,"Q1",3,"Q1",
    4,"Q2",5,"Q2",6,"Q2",
    7,"Q3",8,"Q3",9,"Q3",
    10,"Q4",11,"Q4",12,"Q4",
    "Invalid Month"
)</f>
        <v>Q1</v>
      </c>
      <c r="P768" t="str">
        <f>TEXT(Table1[[#This Row],[Last_Restock_Date]],"mmm")</f>
        <v>Feb</v>
      </c>
    </row>
    <row r="769" spans="1:16" x14ac:dyDescent="0.25">
      <c r="A769">
        <v>768</v>
      </c>
      <c r="B769" s="5" t="s">
        <v>10</v>
      </c>
      <c r="C769" s="5" t="s">
        <v>11</v>
      </c>
      <c r="D769" s="5" t="s">
        <v>17</v>
      </c>
      <c r="E769" s="5" t="s">
        <v>39</v>
      </c>
      <c r="F769" s="2">
        <v>450</v>
      </c>
      <c r="G769" s="3">
        <v>547.20000000000005</v>
      </c>
      <c r="H769">
        <v>104</v>
      </c>
      <c r="I769">
        <f>IF(Table1[[#This Row],[Status]]= "Sufficient",
     Table1[[#This Row],[Stock_Quantity]] - Table1[[#This Row],[Reorder_Level]],
     0)</f>
        <v>346</v>
      </c>
      <c r="J769" s="4">
        <v>45458</v>
      </c>
      <c r="K769" s="5" t="s">
        <v>14</v>
      </c>
      <c r="L769">
        <f>YEAR(Table1[[#This Row],[Last_Restock_Date]])</f>
        <v>2024</v>
      </c>
      <c r="M769" t="str">
        <f>_xlfn.CONCAT(TEXT(Table1[[#This Row],[Last_Restock_Date]],"mmm"), "-", YEAR(Table1[[#This Row],[Last_Restock_Date]]))</f>
        <v>Jun-2024</v>
      </c>
      <c r="N769">
        <f>MONTH(Table1[[#This Row],[Last_Restock_Date]])</f>
        <v>6</v>
      </c>
      <c r="O769" t="str" cm="1">
        <f t="array" ref="O769">_xlfn.SWITCH(Table1[[#This Row],[Month_Number]],
    1,"Q1",2,"Q1",3,"Q1",
    4,"Q2",5,"Q2",6,"Q2",
    7,"Q3",8,"Q3",9,"Q3",
    10,"Q4",11,"Q4",12,"Q4",
    "Invalid Month"
)</f>
        <v>Q2</v>
      </c>
      <c r="P769" t="str">
        <f>TEXT(Table1[[#This Row],[Last_Restock_Date]],"mmm")</f>
        <v>Jun</v>
      </c>
    </row>
    <row r="770" spans="1:16" x14ac:dyDescent="0.25">
      <c r="A770">
        <v>769</v>
      </c>
      <c r="B770" s="5" t="s">
        <v>46</v>
      </c>
      <c r="C770" s="5" t="s">
        <v>34</v>
      </c>
      <c r="D770" s="5" t="s">
        <v>21</v>
      </c>
      <c r="E770" s="5" t="s">
        <v>27</v>
      </c>
      <c r="F770" s="2">
        <v>440</v>
      </c>
      <c r="G770" s="3">
        <v>616.11</v>
      </c>
      <c r="H770">
        <v>111</v>
      </c>
      <c r="I770">
        <f>IF(Table1[[#This Row],[Status]]= "Sufficient",
     Table1[[#This Row],[Stock_Quantity]] - Table1[[#This Row],[Reorder_Level]],
     0)</f>
        <v>329</v>
      </c>
      <c r="J770" s="4">
        <v>45648</v>
      </c>
      <c r="K770" s="5" t="s">
        <v>14</v>
      </c>
      <c r="L770">
        <f>YEAR(Table1[[#This Row],[Last_Restock_Date]])</f>
        <v>2024</v>
      </c>
      <c r="M770" t="str">
        <f>_xlfn.CONCAT(TEXT(Table1[[#This Row],[Last_Restock_Date]],"mmm"), "-", YEAR(Table1[[#This Row],[Last_Restock_Date]]))</f>
        <v>Dec-2024</v>
      </c>
      <c r="N770">
        <f>MONTH(Table1[[#This Row],[Last_Restock_Date]])</f>
        <v>12</v>
      </c>
      <c r="O770" t="str" cm="1">
        <f t="array" ref="O770">_xlfn.SWITCH(Table1[[#This Row],[Month_Number]],
    1,"Q1",2,"Q1",3,"Q1",
    4,"Q2",5,"Q2",6,"Q2",
    7,"Q3",8,"Q3",9,"Q3",
    10,"Q4",11,"Q4",12,"Q4",
    "Invalid Month"
)</f>
        <v>Q4</v>
      </c>
      <c r="P770" t="str">
        <f>TEXT(Table1[[#This Row],[Last_Restock_Date]],"mmm")</f>
        <v>Dec</v>
      </c>
    </row>
    <row r="771" spans="1:16" x14ac:dyDescent="0.25">
      <c r="A771">
        <v>770</v>
      </c>
      <c r="B771" s="5" t="s">
        <v>33</v>
      </c>
      <c r="C771" s="5" t="s">
        <v>34</v>
      </c>
      <c r="D771" s="5" t="s">
        <v>12</v>
      </c>
      <c r="E771" s="5" t="s">
        <v>13</v>
      </c>
      <c r="F771" s="2">
        <v>412</v>
      </c>
      <c r="G771" s="3">
        <v>597.75</v>
      </c>
      <c r="H771">
        <v>135</v>
      </c>
      <c r="I771">
        <f>IF(Table1[[#This Row],[Status]]= "Sufficient",
     Table1[[#This Row],[Stock_Quantity]] - Table1[[#This Row],[Reorder_Level]],
     0)</f>
        <v>277</v>
      </c>
      <c r="J771" s="4">
        <v>45967</v>
      </c>
      <c r="K771" s="5" t="s">
        <v>14</v>
      </c>
      <c r="L771">
        <f>YEAR(Table1[[#This Row],[Last_Restock_Date]])</f>
        <v>2025</v>
      </c>
      <c r="M771" t="str">
        <f>_xlfn.CONCAT(TEXT(Table1[[#This Row],[Last_Restock_Date]],"mmm"), "-", YEAR(Table1[[#This Row],[Last_Restock_Date]]))</f>
        <v>Nov-2025</v>
      </c>
      <c r="N771">
        <f>MONTH(Table1[[#This Row],[Last_Restock_Date]])</f>
        <v>11</v>
      </c>
      <c r="O771" t="str" cm="1">
        <f t="array" ref="O771">_xlfn.SWITCH(Table1[[#This Row],[Month_Number]],
    1,"Q1",2,"Q1",3,"Q1",
    4,"Q2",5,"Q2",6,"Q2",
    7,"Q3",8,"Q3",9,"Q3",
    10,"Q4",11,"Q4",12,"Q4",
    "Invalid Month"
)</f>
        <v>Q4</v>
      </c>
      <c r="P771" t="str">
        <f>TEXT(Table1[[#This Row],[Last_Restock_Date]],"mmm")</f>
        <v>Nov</v>
      </c>
    </row>
    <row r="772" spans="1:16" x14ac:dyDescent="0.25">
      <c r="A772">
        <v>771</v>
      </c>
      <c r="B772" s="5" t="s">
        <v>10</v>
      </c>
      <c r="C772" s="5" t="s">
        <v>11</v>
      </c>
      <c r="D772" s="5" t="s">
        <v>30</v>
      </c>
      <c r="E772" s="5" t="s">
        <v>32</v>
      </c>
      <c r="F772" s="2">
        <v>131</v>
      </c>
      <c r="G772" s="3">
        <v>228.78</v>
      </c>
      <c r="H772">
        <v>118</v>
      </c>
      <c r="I772">
        <f>IF(Table1[[#This Row],[Status]]= "Sufficient",
     Table1[[#This Row],[Stock_Quantity]] - Table1[[#This Row],[Reorder_Level]],
     0)</f>
        <v>13</v>
      </c>
      <c r="J772" s="4">
        <v>45154</v>
      </c>
      <c r="K772" s="5" t="s">
        <v>14</v>
      </c>
      <c r="L772">
        <f>YEAR(Table1[[#This Row],[Last_Restock_Date]])</f>
        <v>2023</v>
      </c>
      <c r="M772" t="str">
        <f>_xlfn.CONCAT(TEXT(Table1[[#This Row],[Last_Restock_Date]],"mmm"), "-", YEAR(Table1[[#This Row],[Last_Restock_Date]]))</f>
        <v>Aug-2023</v>
      </c>
      <c r="N772">
        <f>MONTH(Table1[[#This Row],[Last_Restock_Date]])</f>
        <v>8</v>
      </c>
      <c r="O772" t="str" cm="1">
        <f t="array" ref="O772">_xlfn.SWITCH(Table1[[#This Row],[Month_Number]],
    1,"Q1",2,"Q1",3,"Q1",
    4,"Q2",5,"Q2",6,"Q2",
    7,"Q3",8,"Q3",9,"Q3",
    10,"Q4",11,"Q4",12,"Q4",
    "Invalid Month"
)</f>
        <v>Q3</v>
      </c>
      <c r="P772" t="str">
        <f>TEXT(Table1[[#This Row],[Last_Restock_Date]],"mmm")</f>
        <v>Aug</v>
      </c>
    </row>
    <row r="773" spans="1:16" x14ac:dyDescent="0.25">
      <c r="A773">
        <v>772</v>
      </c>
      <c r="B773" s="5" t="s">
        <v>46</v>
      </c>
      <c r="C773" s="5" t="s">
        <v>34</v>
      </c>
      <c r="D773" s="5" t="s">
        <v>24</v>
      </c>
      <c r="E773" s="5" t="s">
        <v>39</v>
      </c>
      <c r="F773" s="2">
        <v>464</v>
      </c>
      <c r="G773" s="3">
        <v>409.78</v>
      </c>
      <c r="H773">
        <v>74</v>
      </c>
      <c r="I773">
        <f>IF(Table1[[#This Row],[Status]]= "Sufficient",
     Table1[[#This Row],[Stock_Quantity]] - Table1[[#This Row],[Reorder_Level]],
     0)</f>
        <v>390</v>
      </c>
      <c r="J773" s="4">
        <v>45370</v>
      </c>
      <c r="K773" s="5" t="s">
        <v>14</v>
      </c>
      <c r="L773">
        <f>YEAR(Table1[[#This Row],[Last_Restock_Date]])</f>
        <v>2024</v>
      </c>
      <c r="M773" t="str">
        <f>_xlfn.CONCAT(TEXT(Table1[[#This Row],[Last_Restock_Date]],"mmm"), "-", YEAR(Table1[[#This Row],[Last_Restock_Date]]))</f>
        <v>Mar-2024</v>
      </c>
      <c r="N773">
        <f>MONTH(Table1[[#This Row],[Last_Restock_Date]])</f>
        <v>3</v>
      </c>
      <c r="O773" t="str" cm="1">
        <f t="array" ref="O773">_xlfn.SWITCH(Table1[[#This Row],[Month_Number]],
    1,"Q1",2,"Q1",3,"Q1",
    4,"Q2",5,"Q2",6,"Q2",
    7,"Q3",8,"Q3",9,"Q3",
    10,"Q4",11,"Q4",12,"Q4",
    "Invalid Month"
)</f>
        <v>Q1</v>
      </c>
      <c r="P773" t="str">
        <f>TEXT(Table1[[#This Row],[Last_Restock_Date]],"mmm")</f>
        <v>Mar</v>
      </c>
    </row>
    <row r="774" spans="1:16" x14ac:dyDescent="0.25">
      <c r="A774">
        <v>773</v>
      </c>
      <c r="B774" s="5" t="s">
        <v>42</v>
      </c>
      <c r="C774" s="5" t="s">
        <v>16</v>
      </c>
      <c r="D774" s="5" t="s">
        <v>24</v>
      </c>
      <c r="E774" s="5" t="s">
        <v>18</v>
      </c>
      <c r="F774" s="2">
        <v>82</v>
      </c>
      <c r="G774" s="3">
        <v>374.79</v>
      </c>
      <c r="H774">
        <v>86</v>
      </c>
      <c r="I774">
        <f>IF(Table1[[#This Row],[Status]]= "Sufficient",
     Table1[[#This Row],[Stock_Quantity]] - Table1[[#This Row],[Reorder_Level]],
     0)</f>
        <v>0</v>
      </c>
      <c r="J774" s="4">
        <v>45154</v>
      </c>
      <c r="K774" s="5" t="s">
        <v>28</v>
      </c>
      <c r="L774">
        <f>YEAR(Table1[[#This Row],[Last_Restock_Date]])</f>
        <v>2023</v>
      </c>
      <c r="M774" t="str">
        <f>_xlfn.CONCAT(TEXT(Table1[[#This Row],[Last_Restock_Date]],"mmm"), "-", YEAR(Table1[[#This Row],[Last_Restock_Date]]))</f>
        <v>Aug-2023</v>
      </c>
      <c r="N774">
        <f>MONTH(Table1[[#This Row],[Last_Restock_Date]])</f>
        <v>8</v>
      </c>
      <c r="O774" t="str" cm="1">
        <f t="array" ref="O774">_xlfn.SWITCH(Table1[[#This Row],[Month_Number]],
    1,"Q1",2,"Q1",3,"Q1",
    4,"Q2",5,"Q2",6,"Q2",
    7,"Q3",8,"Q3",9,"Q3",
    10,"Q4",11,"Q4",12,"Q4",
    "Invalid Month"
)</f>
        <v>Q3</v>
      </c>
      <c r="P774" t="str">
        <f>TEXT(Table1[[#This Row],[Last_Restock_Date]],"mmm")</f>
        <v>Aug</v>
      </c>
    </row>
    <row r="775" spans="1:16" x14ac:dyDescent="0.25">
      <c r="A775">
        <v>774</v>
      </c>
      <c r="B775" s="5" t="s">
        <v>25</v>
      </c>
      <c r="C775" s="5" t="s">
        <v>26</v>
      </c>
      <c r="D775" s="5" t="s">
        <v>12</v>
      </c>
      <c r="E775" s="5" t="s">
        <v>32</v>
      </c>
      <c r="F775" s="2">
        <v>31</v>
      </c>
      <c r="G775" s="3">
        <v>462.18</v>
      </c>
      <c r="H775">
        <v>144</v>
      </c>
      <c r="I775">
        <f>IF(Table1[[#This Row],[Status]]= "Sufficient",
     Table1[[#This Row],[Stock_Quantity]] - Table1[[#This Row],[Reorder_Level]],
     0)</f>
        <v>0</v>
      </c>
      <c r="J775" s="4">
        <v>45948</v>
      </c>
      <c r="K775" s="5" t="s">
        <v>28</v>
      </c>
      <c r="L775">
        <f>YEAR(Table1[[#This Row],[Last_Restock_Date]])</f>
        <v>2025</v>
      </c>
      <c r="M775" t="str">
        <f>_xlfn.CONCAT(TEXT(Table1[[#This Row],[Last_Restock_Date]],"mmm"), "-", YEAR(Table1[[#This Row],[Last_Restock_Date]]))</f>
        <v>Oct-2025</v>
      </c>
      <c r="N775">
        <f>MONTH(Table1[[#This Row],[Last_Restock_Date]])</f>
        <v>10</v>
      </c>
      <c r="O775" t="str" cm="1">
        <f t="array" ref="O775">_xlfn.SWITCH(Table1[[#This Row],[Month_Number]],
    1,"Q1",2,"Q1",3,"Q1",
    4,"Q2",5,"Q2",6,"Q2",
    7,"Q3",8,"Q3",9,"Q3",
    10,"Q4",11,"Q4",12,"Q4",
    "Invalid Month"
)</f>
        <v>Q4</v>
      </c>
      <c r="P775" t="str">
        <f>TEXT(Table1[[#This Row],[Last_Restock_Date]],"mmm")</f>
        <v>Oct</v>
      </c>
    </row>
    <row r="776" spans="1:16" x14ac:dyDescent="0.25">
      <c r="A776">
        <v>775</v>
      </c>
      <c r="B776" s="5" t="s">
        <v>35</v>
      </c>
      <c r="C776" s="5" t="s">
        <v>11</v>
      </c>
      <c r="D776" s="5" t="s">
        <v>21</v>
      </c>
      <c r="E776" s="5" t="s">
        <v>18</v>
      </c>
      <c r="F776" s="2">
        <v>333</v>
      </c>
      <c r="G776" s="3">
        <v>217.01</v>
      </c>
      <c r="H776">
        <v>132</v>
      </c>
      <c r="I776">
        <f>IF(Table1[[#This Row],[Status]]= "Sufficient",
     Table1[[#This Row],[Stock_Quantity]] - Table1[[#This Row],[Reorder_Level]],
     0)</f>
        <v>201</v>
      </c>
      <c r="J776" s="4">
        <v>45238</v>
      </c>
      <c r="K776" s="5" t="s">
        <v>14</v>
      </c>
      <c r="L776">
        <f>YEAR(Table1[[#This Row],[Last_Restock_Date]])</f>
        <v>2023</v>
      </c>
      <c r="M776" t="str">
        <f>_xlfn.CONCAT(TEXT(Table1[[#This Row],[Last_Restock_Date]],"mmm"), "-", YEAR(Table1[[#This Row],[Last_Restock_Date]]))</f>
        <v>Nov-2023</v>
      </c>
      <c r="N776">
        <f>MONTH(Table1[[#This Row],[Last_Restock_Date]])</f>
        <v>11</v>
      </c>
      <c r="O776" t="str" cm="1">
        <f t="array" ref="O776">_xlfn.SWITCH(Table1[[#This Row],[Month_Number]],
    1,"Q1",2,"Q1",3,"Q1",
    4,"Q2",5,"Q2",6,"Q2",
    7,"Q3",8,"Q3",9,"Q3",
    10,"Q4",11,"Q4",12,"Q4",
    "Invalid Month"
)</f>
        <v>Q4</v>
      </c>
      <c r="P776" t="str">
        <f>TEXT(Table1[[#This Row],[Last_Restock_Date]],"mmm")</f>
        <v>Nov</v>
      </c>
    </row>
    <row r="777" spans="1:16" x14ac:dyDescent="0.25">
      <c r="A777">
        <v>776</v>
      </c>
      <c r="B777" s="5" t="s">
        <v>43</v>
      </c>
      <c r="C777" s="5" t="s">
        <v>26</v>
      </c>
      <c r="D777" s="5" t="s">
        <v>17</v>
      </c>
      <c r="E777" s="5" t="s">
        <v>27</v>
      </c>
      <c r="F777" s="2">
        <v>5</v>
      </c>
      <c r="G777" s="3">
        <v>519.33000000000004</v>
      </c>
      <c r="H777">
        <v>121</v>
      </c>
      <c r="I777">
        <f>IF(Table1[[#This Row],[Status]]= "Sufficient",
     Table1[[#This Row],[Stock_Quantity]] - Table1[[#This Row],[Reorder_Level]],
     0)</f>
        <v>0</v>
      </c>
      <c r="J777" s="4">
        <v>45046</v>
      </c>
      <c r="K777" s="5" t="s">
        <v>28</v>
      </c>
      <c r="L777">
        <f>YEAR(Table1[[#This Row],[Last_Restock_Date]])</f>
        <v>2023</v>
      </c>
      <c r="M777" t="str">
        <f>_xlfn.CONCAT(TEXT(Table1[[#This Row],[Last_Restock_Date]],"mmm"), "-", YEAR(Table1[[#This Row],[Last_Restock_Date]]))</f>
        <v>Apr-2023</v>
      </c>
      <c r="N777">
        <f>MONTH(Table1[[#This Row],[Last_Restock_Date]])</f>
        <v>4</v>
      </c>
      <c r="O777" t="str" cm="1">
        <f t="array" ref="O777">_xlfn.SWITCH(Table1[[#This Row],[Month_Number]],
    1,"Q1",2,"Q1",3,"Q1",
    4,"Q2",5,"Q2",6,"Q2",
    7,"Q3",8,"Q3",9,"Q3",
    10,"Q4",11,"Q4",12,"Q4",
    "Invalid Month"
)</f>
        <v>Q2</v>
      </c>
      <c r="P777" t="str">
        <f>TEXT(Table1[[#This Row],[Last_Restock_Date]],"mmm")</f>
        <v>Apr</v>
      </c>
    </row>
    <row r="778" spans="1:16" x14ac:dyDescent="0.25">
      <c r="A778">
        <v>777</v>
      </c>
      <c r="B778" s="5" t="s">
        <v>49</v>
      </c>
      <c r="C778" s="5" t="s">
        <v>16</v>
      </c>
      <c r="D778" s="5" t="s">
        <v>17</v>
      </c>
      <c r="E778" s="5" t="s">
        <v>27</v>
      </c>
      <c r="F778" s="2">
        <v>102</v>
      </c>
      <c r="G778" s="3">
        <v>563.99</v>
      </c>
      <c r="H778">
        <v>85</v>
      </c>
      <c r="I778">
        <f>IF(Table1[[#This Row],[Status]]= "Sufficient",
     Table1[[#This Row],[Stock_Quantity]] - Table1[[#This Row],[Reorder_Level]],
     0)</f>
        <v>17</v>
      </c>
      <c r="J778" s="4">
        <v>45346</v>
      </c>
      <c r="K778" s="5" t="s">
        <v>14</v>
      </c>
      <c r="L778">
        <f>YEAR(Table1[[#This Row],[Last_Restock_Date]])</f>
        <v>2024</v>
      </c>
      <c r="M778" t="str">
        <f>_xlfn.CONCAT(TEXT(Table1[[#This Row],[Last_Restock_Date]],"mmm"), "-", YEAR(Table1[[#This Row],[Last_Restock_Date]]))</f>
        <v>Feb-2024</v>
      </c>
      <c r="N778">
        <f>MONTH(Table1[[#This Row],[Last_Restock_Date]])</f>
        <v>2</v>
      </c>
      <c r="O778" t="str" cm="1">
        <f t="array" ref="O778">_xlfn.SWITCH(Table1[[#This Row],[Month_Number]],
    1,"Q1",2,"Q1",3,"Q1",
    4,"Q2",5,"Q2",6,"Q2",
    7,"Q3",8,"Q3",9,"Q3",
    10,"Q4",11,"Q4",12,"Q4",
    "Invalid Month"
)</f>
        <v>Q1</v>
      </c>
      <c r="P778" t="str">
        <f>TEXT(Table1[[#This Row],[Last_Restock_Date]],"mmm")</f>
        <v>Feb</v>
      </c>
    </row>
    <row r="779" spans="1:16" x14ac:dyDescent="0.25">
      <c r="A779">
        <v>778</v>
      </c>
      <c r="B779" s="5" t="s">
        <v>38</v>
      </c>
      <c r="C779" s="5" t="s">
        <v>26</v>
      </c>
      <c r="D779" s="5" t="s">
        <v>17</v>
      </c>
      <c r="E779" s="5" t="s">
        <v>27</v>
      </c>
      <c r="F779" s="2">
        <v>20</v>
      </c>
      <c r="G779" s="3">
        <v>704.34</v>
      </c>
      <c r="H779">
        <v>55</v>
      </c>
      <c r="I779">
        <f>IF(Table1[[#This Row],[Status]]= "Sufficient",
     Table1[[#This Row],[Stock_Quantity]] - Table1[[#This Row],[Reorder_Level]],
     0)</f>
        <v>0</v>
      </c>
      <c r="J779" s="4">
        <v>45723</v>
      </c>
      <c r="K779" s="5" t="s">
        <v>28</v>
      </c>
      <c r="L779">
        <f>YEAR(Table1[[#This Row],[Last_Restock_Date]])</f>
        <v>2025</v>
      </c>
      <c r="M779" t="str">
        <f>_xlfn.CONCAT(TEXT(Table1[[#This Row],[Last_Restock_Date]],"mmm"), "-", YEAR(Table1[[#This Row],[Last_Restock_Date]]))</f>
        <v>Mar-2025</v>
      </c>
      <c r="N779">
        <f>MONTH(Table1[[#This Row],[Last_Restock_Date]])</f>
        <v>3</v>
      </c>
      <c r="O779" t="str" cm="1">
        <f t="array" ref="O779">_xlfn.SWITCH(Table1[[#This Row],[Month_Number]],
    1,"Q1",2,"Q1",3,"Q1",
    4,"Q2",5,"Q2",6,"Q2",
    7,"Q3",8,"Q3",9,"Q3",
    10,"Q4",11,"Q4",12,"Q4",
    "Invalid Month"
)</f>
        <v>Q1</v>
      </c>
      <c r="P779" t="str">
        <f>TEXT(Table1[[#This Row],[Last_Restock_Date]],"mmm")</f>
        <v>Mar</v>
      </c>
    </row>
    <row r="780" spans="1:16" x14ac:dyDescent="0.25">
      <c r="A780">
        <v>779</v>
      </c>
      <c r="B780" s="5" t="s">
        <v>40</v>
      </c>
      <c r="C780" s="5" t="s">
        <v>34</v>
      </c>
      <c r="D780" s="5" t="s">
        <v>21</v>
      </c>
      <c r="E780" s="5" t="s">
        <v>13</v>
      </c>
      <c r="F780" s="2">
        <v>348</v>
      </c>
      <c r="G780" s="3">
        <v>178.62</v>
      </c>
      <c r="H780">
        <v>54</v>
      </c>
      <c r="I780">
        <f>IF(Table1[[#This Row],[Status]]= "Sufficient",
     Table1[[#This Row],[Stock_Quantity]] - Table1[[#This Row],[Reorder_Level]],
     0)</f>
        <v>294</v>
      </c>
      <c r="J780" s="4">
        <v>45706</v>
      </c>
      <c r="K780" s="5" t="s">
        <v>14</v>
      </c>
      <c r="L780">
        <f>YEAR(Table1[[#This Row],[Last_Restock_Date]])</f>
        <v>2025</v>
      </c>
      <c r="M780" t="str">
        <f>_xlfn.CONCAT(TEXT(Table1[[#This Row],[Last_Restock_Date]],"mmm"), "-", YEAR(Table1[[#This Row],[Last_Restock_Date]]))</f>
        <v>Feb-2025</v>
      </c>
      <c r="N780">
        <f>MONTH(Table1[[#This Row],[Last_Restock_Date]])</f>
        <v>2</v>
      </c>
      <c r="O780" t="str" cm="1">
        <f t="array" ref="O780">_xlfn.SWITCH(Table1[[#This Row],[Month_Number]],
    1,"Q1",2,"Q1",3,"Q1",
    4,"Q2",5,"Q2",6,"Q2",
    7,"Q3",8,"Q3",9,"Q3",
    10,"Q4",11,"Q4",12,"Q4",
    "Invalid Month"
)</f>
        <v>Q1</v>
      </c>
      <c r="P780" t="str">
        <f>TEXT(Table1[[#This Row],[Last_Restock_Date]],"mmm")</f>
        <v>Feb</v>
      </c>
    </row>
    <row r="781" spans="1:16" x14ac:dyDescent="0.25">
      <c r="A781">
        <v>780</v>
      </c>
      <c r="B781" s="5" t="s">
        <v>15</v>
      </c>
      <c r="C781" s="5" t="s">
        <v>16</v>
      </c>
      <c r="D781" s="5" t="s">
        <v>12</v>
      </c>
      <c r="E781" s="5" t="s">
        <v>18</v>
      </c>
      <c r="F781" s="2">
        <v>476</v>
      </c>
      <c r="G781" s="3">
        <v>694.57</v>
      </c>
      <c r="H781">
        <v>92</v>
      </c>
      <c r="I781">
        <f>IF(Table1[[#This Row],[Status]]= "Sufficient",
     Table1[[#This Row],[Stock_Quantity]] - Table1[[#This Row],[Reorder_Level]],
     0)</f>
        <v>384</v>
      </c>
      <c r="J781" s="4">
        <v>45778</v>
      </c>
      <c r="K781" s="5" t="s">
        <v>14</v>
      </c>
      <c r="L781">
        <f>YEAR(Table1[[#This Row],[Last_Restock_Date]])</f>
        <v>2025</v>
      </c>
      <c r="M781" t="str">
        <f>_xlfn.CONCAT(TEXT(Table1[[#This Row],[Last_Restock_Date]],"mmm"), "-", YEAR(Table1[[#This Row],[Last_Restock_Date]]))</f>
        <v>May-2025</v>
      </c>
      <c r="N781">
        <f>MONTH(Table1[[#This Row],[Last_Restock_Date]])</f>
        <v>5</v>
      </c>
      <c r="O781" t="str" cm="1">
        <f t="array" ref="O781">_xlfn.SWITCH(Table1[[#This Row],[Month_Number]],
    1,"Q1",2,"Q1",3,"Q1",
    4,"Q2",5,"Q2",6,"Q2",
    7,"Q3",8,"Q3",9,"Q3",
    10,"Q4",11,"Q4",12,"Q4",
    "Invalid Month"
)</f>
        <v>Q2</v>
      </c>
      <c r="P781" t="str">
        <f>TEXT(Table1[[#This Row],[Last_Restock_Date]],"mmm")</f>
        <v>May</v>
      </c>
    </row>
    <row r="782" spans="1:16" x14ac:dyDescent="0.25">
      <c r="A782">
        <v>781</v>
      </c>
      <c r="B782" s="5" t="s">
        <v>19</v>
      </c>
      <c r="C782" s="5" t="s">
        <v>20</v>
      </c>
      <c r="D782" s="5" t="s">
        <v>21</v>
      </c>
      <c r="E782" s="5" t="s">
        <v>39</v>
      </c>
      <c r="F782" s="2">
        <v>485</v>
      </c>
      <c r="G782" s="3">
        <v>104.77</v>
      </c>
      <c r="H782">
        <v>113</v>
      </c>
      <c r="I782">
        <f>IF(Table1[[#This Row],[Status]]= "Sufficient",
     Table1[[#This Row],[Stock_Quantity]] - Table1[[#This Row],[Reorder_Level]],
     0)</f>
        <v>372</v>
      </c>
      <c r="J782" s="4">
        <v>45471</v>
      </c>
      <c r="K782" s="5" t="s">
        <v>14</v>
      </c>
      <c r="L782">
        <f>YEAR(Table1[[#This Row],[Last_Restock_Date]])</f>
        <v>2024</v>
      </c>
      <c r="M782" t="str">
        <f>_xlfn.CONCAT(TEXT(Table1[[#This Row],[Last_Restock_Date]],"mmm"), "-", YEAR(Table1[[#This Row],[Last_Restock_Date]]))</f>
        <v>Jun-2024</v>
      </c>
      <c r="N782">
        <f>MONTH(Table1[[#This Row],[Last_Restock_Date]])</f>
        <v>6</v>
      </c>
      <c r="O782" t="str" cm="1">
        <f t="array" ref="O782">_xlfn.SWITCH(Table1[[#This Row],[Month_Number]],
    1,"Q1",2,"Q1",3,"Q1",
    4,"Q2",5,"Q2",6,"Q2",
    7,"Q3",8,"Q3",9,"Q3",
    10,"Q4",11,"Q4",12,"Q4",
    "Invalid Month"
)</f>
        <v>Q2</v>
      </c>
      <c r="P782" t="str">
        <f>TEXT(Table1[[#This Row],[Last_Restock_Date]],"mmm")</f>
        <v>Jun</v>
      </c>
    </row>
    <row r="783" spans="1:16" x14ac:dyDescent="0.25">
      <c r="A783">
        <v>782</v>
      </c>
      <c r="B783" s="5" t="s">
        <v>46</v>
      </c>
      <c r="C783" s="5" t="s">
        <v>34</v>
      </c>
      <c r="D783" s="5" t="s">
        <v>21</v>
      </c>
      <c r="E783" s="5" t="s">
        <v>27</v>
      </c>
      <c r="F783" s="2">
        <v>450</v>
      </c>
      <c r="G783" s="3">
        <v>428.22</v>
      </c>
      <c r="H783">
        <v>117</v>
      </c>
      <c r="I783">
        <f>IF(Table1[[#This Row],[Status]]= "Sufficient",
     Table1[[#This Row],[Stock_Quantity]] - Table1[[#This Row],[Reorder_Level]],
     0)</f>
        <v>333</v>
      </c>
      <c r="J783" s="4">
        <v>45614</v>
      </c>
      <c r="K783" s="5" t="s">
        <v>14</v>
      </c>
      <c r="L783">
        <f>YEAR(Table1[[#This Row],[Last_Restock_Date]])</f>
        <v>2024</v>
      </c>
      <c r="M783" t="str">
        <f>_xlfn.CONCAT(TEXT(Table1[[#This Row],[Last_Restock_Date]],"mmm"), "-", YEAR(Table1[[#This Row],[Last_Restock_Date]]))</f>
        <v>Nov-2024</v>
      </c>
      <c r="N783">
        <f>MONTH(Table1[[#This Row],[Last_Restock_Date]])</f>
        <v>11</v>
      </c>
      <c r="O783" t="str" cm="1">
        <f t="array" ref="O783">_xlfn.SWITCH(Table1[[#This Row],[Month_Number]],
    1,"Q1",2,"Q1",3,"Q1",
    4,"Q2",5,"Q2",6,"Q2",
    7,"Q3",8,"Q3",9,"Q3",
    10,"Q4",11,"Q4",12,"Q4",
    "Invalid Month"
)</f>
        <v>Q4</v>
      </c>
      <c r="P783" t="str">
        <f>TEXT(Table1[[#This Row],[Last_Restock_Date]],"mmm")</f>
        <v>Nov</v>
      </c>
    </row>
    <row r="784" spans="1:16" x14ac:dyDescent="0.25">
      <c r="A784">
        <v>783</v>
      </c>
      <c r="B784" s="5" t="s">
        <v>42</v>
      </c>
      <c r="C784" s="5" t="s">
        <v>16</v>
      </c>
      <c r="D784" s="5" t="s">
        <v>12</v>
      </c>
      <c r="E784" s="5" t="s">
        <v>13</v>
      </c>
      <c r="F784" s="2">
        <v>294</v>
      </c>
      <c r="G784" s="3">
        <v>679.51</v>
      </c>
      <c r="H784">
        <v>131</v>
      </c>
      <c r="I784">
        <f>IF(Table1[[#This Row],[Status]]= "Sufficient",
     Table1[[#This Row],[Stock_Quantity]] - Table1[[#This Row],[Reorder_Level]],
     0)</f>
        <v>163</v>
      </c>
      <c r="J784" s="4">
        <v>45968</v>
      </c>
      <c r="K784" s="5" t="s">
        <v>14</v>
      </c>
      <c r="L784">
        <f>YEAR(Table1[[#This Row],[Last_Restock_Date]])</f>
        <v>2025</v>
      </c>
      <c r="M784" t="str">
        <f>_xlfn.CONCAT(TEXT(Table1[[#This Row],[Last_Restock_Date]],"mmm"), "-", YEAR(Table1[[#This Row],[Last_Restock_Date]]))</f>
        <v>Nov-2025</v>
      </c>
      <c r="N784">
        <f>MONTH(Table1[[#This Row],[Last_Restock_Date]])</f>
        <v>11</v>
      </c>
      <c r="O784" t="str" cm="1">
        <f t="array" ref="O784">_xlfn.SWITCH(Table1[[#This Row],[Month_Number]],
    1,"Q1",2,"Q1",3,"Q1",
    4,"Q2",5,"Q2",6,"Q2",
    7,"Q3",8,"Q3",9,"Q3",
    10,"Q4",11,"Q4",12,"Q4",
    "Invalid Month"
)</f>
        <v>Q4</v>
      </c>
      <c r="P784" t="str">
        <f>TEXT(Table1[[#This Row],[Last_Restock_Date]],"mmm")</f>
        <v>Nov</v>
      </c>
    </row>
    <row r="785" spans="1:16" x14ac:dyDescent="0.25">
      <c r="A785">
        <v>784</v>
      </c>
      <c r="B785" s="5" t="s">
        <v>25</v>
      </c>
      <c r="C785" s="5" t="s">
        <v>26</v>
      </c>
      <c r="D785" s="5" t="s">
        <v>21</v>
      </c>
      <c r="E785" s="5" t="s">
        <v>37</v>
      </c>
      <c r="F785" s="2">
        <v>260</v>
      </c>
      <c r="G785" s="3">
        <v>533.6</v>
      </c>
      <c r="H785">
        <v>108</v>
      </c>
      <c r="I785">
        <f>IF(Table1[[#This Row],[Status]]= "Sufficient",
     Table1[[#This Row],[Stock_Quantity]] - Table1[[#This Row],[Reorder_Level]],
     0)</f>
        <v>152</v>
      </c>
      <c r="J785" s="4">
        <v>45116</v>
      </c>
      <c r="K785" s="5" t="s">
        <v>14</v>
      </c>
      <c r="L785">
        <f>YEAR(Table1[[#This Row],[Last_Restock_Date]])</f>
        <v>2023</v>
      </c>
      <c r="M785" t="str">
        <f>_xlfn.CONCAT(TEXT(Table1[[#This Row],[Last_Restock_Date]],"mmm"), "-", YEAR(Table1[[#This Row],[Last_Restock_Date]]))</f>
        <v>Jul-2023</v>
      </c>
      <c r="N785">
        <f>MONTH(Table1[[#This Row],[Last_Restock_Date]])</f>
        <v>7</v>
      </c>
      <c r="O785" t="str" cm="1">
        <f t="array" ref="O785">_xlfn.SWITCH(Table1[[#This Row],[Month_Number]],
    1,"Q1",2,"Q1",3,"Q1",
    4,"Q2",5,"Q2",6,"Q2",
    7,"Q3",8,"Q3",9,"Q3",
    10,"Q4",11,"Q4",12,"Q4",
    "Invalid Month"
)</f>
        <v>Q3</v>
      </c>
      <c r="P785" t="str">
        <f>TEXT(Table1[[#This Row],[Last_Restock_Date]],"mmm")</f>
        <v>Jul</v>
      </c>
    </row>
    <row r="786" spans="1:16" x14ac:dyDescent="0.25">
      <c r="A786">
        <v>785</v>
      </c>
      <c r="B786" s="5" t="s">
        <v>42</v>
      </c>
      <c r="C786" s="5" t="s">
        <v>16</v>
      </c>
      <c r="D786" s="5" t="s">
        <v>12</v>
      </c>
      <c r="E786" s="5" t="s">
        <v>37</v>
      </c>
      <c r="F786" s="2">
        <v>352</v>
      </c>
      <c r="G786" s="3">
        <v>253.3</v>
      </c>
      <c r="H786">
        <v>107</v>
      </c>
      <c r="I786">
        <f>IF(Table1[[#This Row],[Status]]= "Sufficient",
     Table1[[#This Row],[Stock_Quantity]] - Table1[[#This Row],[Reorder_Level]],
     0)</f>
        <v>245</v>
      </c>
      <c r="J786" s="4">
        <v>46021</v>
      </c>
      <c r="K786" s="5" t="s">
        <v>14</v>
      </c>
      <c r="L786">
        <f>YEAR(Table1[[#This Row],[Last_Restock_Date]])</f>
        <v>2025</v>
      </c>
      <c r="M786" t="str">
        <f>_xlfn.CONCAT(TEXT(Table1[[#This Row],[Last_Restock_Date]],"mmm"), "-", YEAR(Table1[[#This Row],[Last_Restock_Date]]))</f>
        <v>Dec-2025</v>
      </c>
      <c r="N786">
        <f>MONTH(Table1[[#This Row],[Last_Restock_Date]])</f>
        <v>12</v>
      </c>
      <c r="O786" t="str" cm="1">
        <f t="array" ref="O786">_xlfn.SWITCH(Table1[[#This Row],[Month_Number]],
    1,"Q1",2,"Q1",3,"Q1",
    4,"Q2",5,"Q2",6,"Q2",
    7,"Q3",8,"Q3",9,"Q3",
    10,"Q4",11,"Q4",12,"Q4",
    "Invalid Month"
)</f>
        <v>Q4</v>
      </c>
      <c r="P786" t="str">
        <f>TEXT(Table1[[#This Row],[Last_Restock_Date]],"mmm")</f>
        <v>Dec</v>
      </c>
    </row>
    <row r="787" spans="1:16" x14ac:dyDescent="0.25">
      <c r="A787">
        <v>786</v>
      </c>
      <c r="B787" s="5" t="s">
        <v>15</v>
      </c>
      <c r="C787" s="5" t="s">
        <v>16</v>
      </c>
      <c r="D787" s="5" t="s">
        <v>21</v>
      </c>
      <c r="E787" s="5" t="s">
        <v>18</v>
      </c>
      <c r="F787" s="2">
        <v>50</v>
      </c>
      <c r="G787" s="3">
        <v>770.54</v>
      </c>
      <c r="H787">
        <v>120</v>
      </c>
      <c r="I787">
        <f>IF(Table1[[#This Row],[Status]]= "Sufficient",
     Table1[[#This Row],[Stock_Quantity]] - Table1[[#This Row],[Reorder_Level]],
     0)</f>
        <v>0</v>
      </c>
      <c r="J787" s="4">
        <v>44945</v>
      </c>
      <c r="K787" s="5" t="s">
        <v>28</v>
      </c>
      <c r="L787">
        <f>YEAR(Table1[[#This Row],[Last_Restock_Date]])</f>
        <v>2023</v>
      </c>
      <c r="M787" t="str">
        <f>_xlfn.CONCAT(TEXT(Table1[[#This Row],[Last_Restock_Date]],"mmm"), "-", YEAR(Table1[[#This Row],[Last_Restock_Date]]))</f>
        <v>Jan-2023</v>
      </c>
      <c r="N787">
        <f>MONTH(Table1[[#This Row],[Last_Restock_Date]])</f>
        <v>1</v>
      </c>
      <c r="O787" t="str" cm="1">
        <f t="array" ref="O787">_xlfn.SWITCH(Table1[[#This Row],[Month_Number]],
    1,"Q1",2,"Q1",3,"Q1",
    4,"Q2",5,"Q2",6,"Q2",
    7,"Q3",8,"Q3",9,"Q3",
    10,"Q4",11,"Q4",12,"Q4",
    "Invalid Month"
)</f>
        <v>Q1</v>
      </c>
      <c r="P787" t="str">
        <f>TEXT(Table1[[#This Row],[Last_Restock_Date]],"mmm")</f>
        <v>Jan</v>
      </c>
    </row>
    <row r="788" spans="1:16" x14ac:dyDescent="0.25">
      <c r="A788">
        <v>787</v>
      </c>
      <c r="B788" s="5" t="s">
        <v>53</v>
      </c>
      <c r="C788" s="5" t="s">
        <v>26</v>
      </c>
      <c r="D788" s="5" t="s">
        <v>17</v>
      </c>
      <c r="E788" s="5" t="s">
        <v>39</v>
      </c>
      <c r="F788" s="2">
        <v>417</v>
      </c>
      <c r="G788" s="3">
        <v>457.05</v>
      </c>
      <c r="H788">
        <v>100</v>
      </c>
      <c r="I788">
        <f>IF(Table1[[#This Row],[Status]]= "Sufficient",
     Table1[[#This Row],[Stock_Quantity]] - Table1[[#This Row],[Reorder_Level]],
     0)</f>
        <v>317</v>
      </c>
      <c r="J788" s="4">
        <v>45441</v>
      </c>
      <c r="K788" s="5" t="s">
        <v>14</v>
      </c>
      <c r="L788">
        <f>YEAR(Table1[[#This Row],[Last_Restock_Date]])</f>
        <v>2024</v>
      </c>
      <c r="M788" t="str">
        <f>_xlfn.CONCAT(TEXT(Table1[[#This Row],[Last_Restock_Date]],"mmm"), "-", YEAR(Table1[[#This Row],[Last_Restock_Date]]))</f>
        <v>May-2024</v>
      </c>
      <c r="N788">
        <f>MONTH(Table1[[#This Row],[Last_Restock_Date]])</f>
        <v>5</v>
      </c>
      <c r="O788" t="str" cm="1">
        <f t="array" ref="O788">_xlfn.SWITCH(Table1[[#This Row],[Month_Number]],
    1,"Q1",2,"Q1",3,"Q1",
    4,"Q2",5,"Q2",6,"Q2",
    7,"Q3",8,"Q3",9,"Q3",
    10,"Q4",11,"Q4",12,"Q4",
    "Invalid Month"
)</f>
        <v>Q2</v>
      </c>
      <c r="P788" t="str">
        <f>TEXT(Table1[[#This Row],[Last_Restock_Date]],"mmm")</f>
        <v>May</v>
      </c>
    </row>
    <row r="789" spans="1:16" x14ac:dyDescent="0.25">
      <c r="A789">
        <v>788</v>
      </c>
      <c r="B789" s="5" t="s">
        <v>47</v>
      </c>
      <c r="C789" s="5" t="s">
        <v>20</v>
      </c>
      <c r="D789" s="5" t="s">
        <v>12</v>
      </c>
      <c r="E789" s="5" t="s">
        <v>32</v>
      </c>
      <c r="F789" s="2">
        <v>379</v>
      </c>
      <c r="G789" s="3">
        <v>484.5</v>
      </c>
      <c r="H789">
        <v>111</v>
      </c>
      <c r="I789">
        <f>IF(Table1[[#This Row],[Status]]= "Sufficient",
     Table1[[#This Row],[Stock_Quantity]] - Table1[[#This Row],[Reorder_Level]],
     0)</f>
        <v>268</v>
      </c>
      <c r="J789" s="4">
        <v>45738</v>
      </c>
      <c r="K789" s="5" t="s">
        <v>14</v>
      </c>
      <c r="L789">
        <f>YEAR(Table1[[#This Row],[Last_Restock_Date]])</f>
        <v>2025</v>
      </c>
      <c r="M789" t="str">
        <f>_xlfn.CONCAT(TEXT(Table1[[#This Row],[Last_Restock_Date]],"mmm"), "-", YEAR(Table1[[#This Row],[Last_Restock_Date]]))</f>
        <v>Mar-2025</v>
      </c>
      <c r="N789">
        <f>MONTH(Table1[[#This Row],[Last_Restock_Date]])</f>
        <v>3</v>
      </c>
      <c r="O789" t="str" cm="1">
        <f t="array" ref="O789">_xlfn.SWITCH(Table1[[#This Row],[Month_Number]],
    1,"Q1",2,"Q1",3,"Q1",
    4,"Q2",5,"Q2",6,"Q2",
    7,"Q3",8,"Q3",9,"Q3",
    10,"Q4",11,"Q4",12,"Q4",
    "Invalid Month"
)</f>
        <v>Q1</v>
      </c>
      <c r="P789" t="str">
        <f>TEXT(Table1[[#This Row],[Last_Restock_Date]],"mmm")</f>
        <v>Mar</v>
      </c>
    </row>
    <row r="790" spans="1:16" x14ac:dyDescent="0.25">
      <c r="A790">
        <v>789</v>
      </c>
      <c r="B790" s="5" t="s">
        <v>10</v>
      </c>
      <c r="C790" s="5" t="s">
        <v>11</v>
      </c>
      <c r="D790" s="5" t="s">
        <v>24</v>
      </c>
      <c r="E790" s="5" t="s">
        <v>32</v>
      </c>
      <c r="F790" s="2">
        <v>203</v>
      </c>
      <c r="G790" s="3">
        <v>570.37</v>
      </c>
      <c r="H790">
        <v>51</v>
      </c>
      <c r="I790">
        <f>IF(Table1[[#This Row],[Status]]= "Sufficient",
     Table1[[#This Row],[Stock_Quantity]] - Table1[[#This Row],[Reorder_Level]],
     0)</f>
        <v>152</v>
      </c>
      <c r="J790" s="4">
        <v>45579</v>
      </c>
      <c r="K790" s="5" t="s">
        <v>14</v>
      </c>
      <c r="L790">
        <f>YEAR(Table1[[#This Row],[Last_Restock_Date]])</f>
        <v>2024</v>
      </c>
      <c r="M790" t="str">
        <f>_xlfn.CONCAT(TEXT(Table1[[#This Row],[Last_Restock_Date]],"mmm"), "-", YEAR(Table1[[#This Row],[Last_Restock_Date]]))</f>
        <v>Oct-2024</v>
      </c>
      <c r="N790">
        <f>MONTH(Table1[[#This Row],[Last_Restock_Date]])</f>
        <v>10</v>
      </c>
      <c r="O790" t="str" cm="1">
        <f t="array" ref="O790">_xlfn.SWITCH(Table1[[#This Row],[Month_Number]],
    1,"Q1",2,"Q1",3,"Q1",
    4,"Q2",5,"Q2",6,"Q2",
    7,"Q3",8,"Q3",9,"Q3",
    10,"Q4",11,"Q4",12,"Q4",
    "Invalid Month"
)</f>
        <v>Q4</v>
      </c>
      <c r="P790" t="str">
        <f>TEXT(Table1[[#This Row],[Last_Restock_Date]],"mmm")</f>
        <v>Oct</v>
      </c>
    </row>
    <row r="791" spans="1:16" x14ac:dyDescent="0.25">
      <c r="A791">
        <v>790</v>
      </c>
      <c r="B791" s="5" t="s">
        <v>31</v>
      </c>
      <c r="C791" s="5" t="s">
        <v>20</v>
      </c>
      <c r="D791" s="5" t="s">
        <v>17</v>
      </c>
      <c r="E791" s="5" t="s">
        <v>39</v>
      </c>
      <c r="F791" s="2">
        <v>360</v>
      </c>
      <c r="G791" s="3">
        <v>102.24</v>
      </c>
      <c r="H791">
        <v>110</v>
      </c>
      <c r="I791">
        <f>IF(Table1[[#This Row],[Status]]= "Sufficient",
     Table1[[#This Row],[Stock_Quantity]] - Table1[[#This Row],[Reorder_Level]],
     0)</f>
        <v>250</v>
      </c>
      <c r="J791" s="4">
        <v>45748</v>
      </c>
      <c r="K791" s="5" t="s">
        <v>14</v>
      </c>
      <c r="L791">
        <f>YEAR(Table1[[#This Row],[Last_Restock_Date]])</f>
        <v>2025</v>
      </c>
      <c r="M791" t="str">
        <f>_xlfn.CONCAT(TEXT(Table1[[#This Row],[Last_Restock_Date]],"mmm"), "-", YEAR(Table1[[#This Row],[Last_Restock_Date]]))</f>
        <v>Apr-2025</v>
      </c>
      <c r="N791">
        <f>MONTH(Table1[[#This Row],[Last_Restock_Date]])</f>
        <v>4</v>
      </c>
      <c r="O791" t="str" cm="1">
        <f t="array" ref="O791">_xlfn.SWITCH(Table1[[#This Row],[Month_Number]],
    1,"Q1",2,"Q1",3,"Q1",
    4,"Q2",5,"Q2",6,"Q2",
    7,"Q3",8,"Q3",9,"Q3",
    10,"Q4",11,"Q4",12,"Q4",
    "Invalid Month"
)</f>
        <v>Q2</v>
      </c>
      <c r="P791" t="str">
        <f>TEXT(Table1[[#This Row],[Last_Restock_Date]],"mmm")</f>
        <v>Apr</v>
      </c>
    </row>
    <row r="792" spans="1:16" x14ac:dyDescent="0.25">
      <c r="A792">
        <v>791</v>
      </c>
      <c r="B792" s="5" t="s">
        <v>35</v>
      </c>
      <c r="C792" s="5" t="s">
        <v>11</v>
      </c>
      <c r="D792" s="5" t="s">
        <v>21</v>
      </c>
      <c r="E792" s="5" t="s">
        <v>32</v>
      </c>
      <c r="F792" s="2">
        <v>464</v>
      </c>
      <c r="G792" s="3">
        <v>128.91</v>
      </c>
      <c r="H792">
        <v>98</v>
      </c>
      <c r="I792">
        <f>IF(Table1[[#This Row],[Status]]= "Sufficient",
     Table1[[#This Row],[Stock_Quantity]] - Table1[[#This Row],[Reorder_Level]],
     0)</f>
        <v>366</v>
      </c>
      <c r="J792" s="4">
        <v>45124</v>
      </c>
      <c r="K792" s="5" t="s">
        <v>14</v>
      </c>
      <c r="L792">
        <f>YEAR(Table1[[#This Row],[Last_Restock_Date]])</f>
        <v>2023</v>
      </c>
      <c r="M792" t="str">
        <f>_xlfn.CONCAT(TEXT(Table1[[#This Row],[Last_Restock_Date]],"mmm"), "-", YEAR(Table1[[#This Row],[Last_Restock_Date]]))</f>
        <v>Jul-2023</v>
      </c>
      <c r="N792">
        <f>MONTH(Table1[[#This Row],[Last_Restock_Date]])</f>
        <v>7</v>
      </c>
      <c r="O792" t="str" cm="1">
        <f t="array" ref="O792">_xlfn.SWITCH(Table1[[#This Row],[Month_Number]],
    1,"Q1",2,"Q1",3,"Q1",
    4,"Q2",5,"Q2",6,"Q2",
    7,"Q3",8,"Q3",9,"Q3",
    10,"Q4",11,"Q4",12,"Q4",
    "Invalid Month"
)</f>
        <v>Q3</v>
      </c>
      <c r="P792" t="str">
        <f>TEXT(Table1[[#This Row],[Last_Restock_Date]],"mmm")</f>
        <v>Jul</v>
      </c>
    </row>
    <row r="793" spans="1:16" x14ac:dyDescent="0.25">
      <c r="A793">
        <v>792</v>
      </c>
      <c r="B793" s="5" t="s">
        <v>36</v>
      </c>
      <c r="C793" s="5" t="s">
        <v>11</v>
      </c>
      <c r="D793" s="5" t="s">
        <v>24</v>
      </c>
      <c r="E793" s="5" t="s">
        <v>18</v>
      </c>
      <c r="F793" s="2">
        <v>208</v>
      </c>
      <c r="G793" s="3">
        <v>229.1</v>
      </c>
      <c r="H793">
        <v>120</v>
      </c>
      <c r="I793">
        <f>IF(Table1[[#This Row],[Status]]= "Sufficient",
     Table1[[#This Row],[Stock_Quantity]] - Table1[[#This Row],[Reorder_Level]],
     0)</f>
        <v>88</v>
      </c>
      <c r="J793" s="4">
        <v>44939</v>
      </c>
      <c r="K793" s="5" t="s">
        <v>14</v>
      </c>
      <c r="L793">
        <f>YEAR(Table1[[#This Row],[Last_Restock_Date]])</f>
        <v>2023</v>
      </c>
      <c r="M793" t="str">
        <f>_xlfn.CONCAT(TEXT(Table1[[#This Row],[Last_Restock_Date]],"mmm"), "-", YEAR(Table1[[#This Row],[Last_Restock_Date]]))</f>
        <v>Jan-2023</v>
      </c>
      <c r="N793">
        <f>MONTH(Table1[[#This Row],[Last_Restock_Date]])</f>
        <v>1</v>
      </c>
      <c r="O793" t="str" cm="1">
        <f t="array" ref="O793">_xlfn.SWITCH(Table1[[#This Row],[Month_Number]],
    1,"Q1",2,"Q1",3,"Q1",
    4,"Q2",5,"Q2",6,"Q2",
    7,"Q3",8,"Q3",9,"Q3",
    10,"Q4",11,"Q4",12,"Q4",
    "Invalid Month"
)</f>
        <v>Q1</v>
      </c>
      <c r="P793" t="str">
        <f>TEXT(Table1[[#This Row],[Last_Restock_Date]],"mmm")</f>
        <v>Jan</v>
      </c>
    </row>
    <row r="794" spans="1:16" x14ac:dyDescent="0.25">
      <c r="A794">
        <v>793</v>
      </c>
      <c r="B794" s="5" t="s">
        <v>33</v>
      </c>
      <c r="C794" s="5" t="s">
        <v>34</v>
      </c>
      <c r="D794" s="5" t="s">
        <v>17</v>
      </c>
      <c r="E794" s="5" t="s">
        <v>39</v>
      </c>
      <c r="F794" s="2">
        <v>144</v>
      </c>
      <c r="G794" s="3">
        <v>315.17</v>
      </c>
      <c r="H794">
        <v>72</v>
      </c>
      <c r="I794">
        <f>IF(Table1[[#This Row],[Status]]= "Sufficient",
     Table1[[#This Row],[Stock_Quantity]] - Table1[[#This Row],[Reorder_Level]],
     0)</f>
        <v>72</v>
      </c>
      <c r="J794" s="4">
        <v>45797</v>
      </c>
      <c r="K794" s="5" t="s">
        <v>14</v>
      </c>
      <c r="L794">
        <f>YEAR(Table1[[#This Row],[Last_Restock_Date]])</f>
        <v>2025</v>
      </c>
      <c r="M794" t="str">
        <f>_xlfn.CONCAT(TEXT(Table1[[#This Row],[Last_Restock_Date]],"mmm"), "-", YEAR(Table1[[#This Row],[Last_Restock_Date]]))</f>
        <v>May-2025</v>
      </c>
      <c r="N794">
        <f>MONTH(Table1[[#This Row],[Last_Restock_Date]])</f>
        <v>5</v>
      </c>
      <c r="O794" t="str" cm="1">
        <f t="array" ref="O794">_xlfn.SWITCH(Table1[[#This Row],[Month_Number]],
    1,"Q1",2,"Q1",3,"Q1",
    4,"Q2",5,"Q2",6,"Q2",
    7,"Q3",8,"Q3",9,"Q3",
    10,"Q4",11,"Q4",12,"Q4",
    "Invalid Month"
)</f>
        <v>Q2</v>
      </c>
      <c r="P794" t="str">
        <f>TEXT(Table1[[#This Row],[Last_Restock_Date]],"mmm")</f>
        <v>May</v>
      </c>
    </row>
    <row r="795" spans="1:16" x14ac:dyDescent="0.25">
      <c r="A795">
        <v>794</v>
      </c>
      <c r="B795" s="5" t="s">
        <v>50</v>
      </c>
      <c r="C795" s="5" t="s">
        <v>34</v>
      </c>
      <c r="D795" s="5" t="s">
        <v>12</v>
      </c>
      <c r="E795" s="5" t="s">
        <v>18</v>
      </c>
      <c r="F795" s="2">
        <v>50</v>
      </c>
      <c r="G795" s="3">
        <v>524.86</v>
      </c>
      <c r="H795">
        <v>100</v>
      </c>
      <c r="I795">
        <f>IF(Table1[[#This Row],[Status]]= "Sufficient",
     Table1[[#This Row],[Stock_Quantity]] - Table1[[#This Row],[Reorder_Level]],
     0)</f>
        <v>0</v>
      </c>
      <c r="J795" s="4">
        <v>45155</v>
      </c>
      <c r="K795" s="5" t="s">
        <v>28</v>
      </c>
      <c r="L795">
        <f>YEAR(Table1[[#This Row],[Last_Restock_Date]])</f>
        <v>2023</v>
      </c>
      <c r="M795" t="str">
        <f>_xlfn.CONCAT(TEXT(Table1[[#This Row],[Last_Restock_Date]],"mmm"), "-", YEAR(Table1[[#This Row],[Last_Restock_Date]]))</f>
        <v>Aug-2023</v>
      </c>
      <c r="N795">
        <f>MONTH(Table1[[#This Row],[Last_Restock_Date]])</f>
        <v>8</v>
      </c>
      <c r="O795" t="str" cm="1">
        <f t="array" ref="O795">_xlfn.SWITCH(Table1[[#This Row],[Month_Number]],
    1,"Q1",2,"Q1",3,"Q1",
    4,"Q2",5,"Q2",6,"Q2",
    7,"Q3",8,"Q3",9,"Q3",
    10,"Q4",11,"Q4",12,"Q4",
    "Invalid Month"
)</f>
        <v>Q3</v>
      </c>
      <c r="P795" t="str">
        <f>TEXT(Table1[[#This Row],[Last_Restock_Date]],"mmm")</f>
        <v>Aug</v>
      </c>
    </row>
    <row r="796" spans="1:16" x14ac:dyDescent="0.25">
      <c r="A796">
        <v>795</v>
      </c>
      <c r="B796" s="5" t="s">
        <v>41</v>
      </c>
      <c r="C796" s="5" t="s">
        <v>16</v>
      </c>
      <c r="D796" s="5" t="s">
        <v>24</v>
      </c>
      <c r="E796" s="5" t="s">
        <v>13</v>
      </c>
      <c r="F796" s="2">
        <v>64</v>
      </c>
      <c r="G796" s="3">
        <v>564.32000000000005</v>
      </c>
      <c r="H796">
        <v>135</v>
      </c>
      <c r="I796">
        <f>IF(Table1[[#This Row],[Status]]= "Sufficient",
     Table1[[#This Row],[Stock_Quantity]] - Table1[[#This Row],[Reorder_Level]],
     0)</f>
        <v>0</v>
      </c>
      <c r="J796" s="4">
        <v>44947</v>
      </c>
      <c r="K796" s="5" t="s">
        <v>28</v>
      </c>
      <c r="L796">
        <f>YEAR(Table1[[#This Row],[Last_Restock_Date]])</f>
        <v>2023</v>
      </c>
      <c r="M796" t="str">
        <f>_xlfn.CONCAT(TEXT(Table1[[#This Row],[Last_Restock_Date]],"mmm"), "-", YEAR(Table1[[#This Row],[Last_Restock_Date]]))</f>
        <v>Jan-2023</v>
      </c>
      <c r="N796">
        <f>MONTH(Table1[[#This Row],[Last_Restock_Date]])</f>
        <v>1</v>
      </c>
      <c r="O796" t="str" cm="1">
        <f t="array" ref="O796">_xlfn.SWITCH(Table1[[#This Row],[Month_Number]],
    1,"Q1",2,"Q1",3,"Q1",
    4,"Q2",5,"Q2",6,"Q2",
    7,"Q3",8,"Q3",9,"Q3",
    10,"Q4",11,"Q4",12,"Q4",
    "Invalid Month"
)</f>
        <v>Q1</v>
      </c>
      <c r="P796" t="str">
        <f>TEXT(Table1[[#This Row],[Last_Restock_Date]],"mmm")</f>
        <v>Jan</v>
      </c>
    </row>
    <row r="797" spans="1:16" x14ac:dyDescent="0.25">
      <c r="A797">
        <v>796</v>
      </c>
      <c r="B797" s="5" t="s">
        <v>47</v>
      </c>
      <c r="C797" s="5" t="s">
        <v>20</v>
      </c>
      <c r="D797" s="5" t="s">
        <v>21</v>
      </c>
      <c r="E797" s="5" t="s">
        <v>18</v>
      </c>
      <c r="F797" s="2">
        <v>165</v>
      </c>
      <c r="G797" s="3">
        <v>730.32</v>
      </c>
      <c r="H797">
        <v>150</v>
      </c>
      <c r="I797">
        <f>IF(Table1[[#This Row],[Status]]= "Sufficient",
     Table1[[#This Row],[Stock_Quantity]] - Table1[[#This Row],[Reorder_Level]],
     0)</f>
        <v>15</v>
      </c>
      <c r="J797" s="4">
        <v>45632</v>
      </c>
      <c r="K797" s="5" t="s">
        <v>14</v>
      </c>
      <c r="L797">
        <f>YEAR(Table1[[#This Row],[Last_Restock_Date]])</f>
        <v>2024</v>
      </c>
      <c r="M797" t="str">
        <f>_xlfn.CONCAT(TEXT(Table1[[#This Row],[Last_Restock_Date]],"mmm"), "-", YEAR(Table1[[#This Row],[Last_Restock_Date]]))</f>
        <v>Dec-2024</v>
      </c>
      <c r="N797">
        <f>MONTH(Table1[[#This Row],[Last_Restock_Date]])</f>
        <v>12</v>
      </c>
      <c r="O797" t="str" cm="1">
        <f t="array" ref="O797">_xlfn.SWITCH(Table1[[#This Row],[Month_Number]],
    1,"Q1",2,"Q1",3,"Q1",
    4,"Q2",5,"Q2",6,"Q2",
    7,"Q3",8,"Q3",9,"Q3",
    10,"Q4",11,"Q4",12,"Q4",
    "Invalid Month"
)</f>
        <v>Q4</v>
      </c>
      <c r="P797" t="str">
        <f>TEXT(Table1[[#This Row],[Last_Restock_Date]],"mmm")</f>
        <v>Dec</v>
      </c>
    </row>
    <row r="798" spans="1:16" x14ac:dyDescent="0.25">
      <c r="A798">
        <v>797</v>
      </c>
      <c r="B798" s="5" t="s">
        <v>35</v>
      </c>
      <c r="C798" s="5" t="s">
        <v>11</v>
      </c>
      <c r="D798" s="5" t="s">
        <v>12</v>
      </c>
      <c r="E798" s="5" t="s">
        <v>32</v>
      </c>
      <c r="F798" s="2">
        <v>458</v>
      </c>
      <c r="G798" s="3">
        <v>354.84</v>
      </c>
      <c r="H798">
        <v>122</v>
      </c>
      <c r="I798">
        <f>IF(Table1[[#This Row],[Status]]= "Sufficient",
     Table1[[#This Row],[Stock_Quantity]] - Table1[[#This Row],[Reorder_Level]],
     0)</f>
        <v>336</v>
      </c>
      <c r="J798" s="4">
        <v>45753</v>
      </c>
      <c r="K798" s="5" t="s">
        <v>14</v>
      </c>
      <c r="L798">
        <f>YEAR(Table1[[#This Row],[Last_Restock_Date]])</f>
        <v>2025</v>
      </c>
      <c r="M798" t="str">
        <f>_xlfn.CONCAT(TEXT(Table1[[#This Row],[Last_Restock_Date]],"mmm"), "-", YEAR(Table1[[#This Row],[Last_Restock_Date]]))</f>
        <v>Apr-2025</v>
      </c>
      <c r="N798">
        <f>MONTH(Table1[[#This Row],[Last_Restock_Date]])</f>
        <v>4</v>
      </c>
      <c r="O798" t="str" cm="1">
        <f t="array" ref="O798">_xlfn.SWITCH(Table1[[#This Row],[Month_Number]],
    1,"Q1",2,"Q1",3,"Q1",
    4,"Q2",5,"Q2",6,"Q2",
    7,"Q3",8,"Q3",9,"Q3",
    10,"Q4",11,"Q4",12,"Q4",
    "Invalid Month"
)</f>
        <v>Q2</v>
      </c>
      <c r="P798" t="str">
        <f>TEXT(Table1[[#This Row],[Last_Restock_Date]],"mmm")</f>
        <v>Apr</v>
      </c>
    </row>
    <row r="799" spans="1:16" x14ac:dyDescent="0.25">
      <c r="A799">
        <v>798</v>
      </c>
      <c r="B799" s="5" t="s">
        <v>38</v>
      </c>
      <c r="C799" s="5" t="s">
        <v>26</v>
      </c>
      <c r="D799" s="5" t="s">
        <v>21</v>
      </c>
      <c r="E799" s="5" t="s">
        <v>32</v>
      </c>
      <c r="F799" s="2">
        <v>337</v>
      </c>
      <c r="G799" s="3">
        <v>495.86</v>
      </c>
      <c r="H799">
        <v>89</v>
      </c>
      <c r="I799">
        <f>IF(Table1[[#This Row],[Status]]= "Sufficient",
     Table1[[#This Row],[Stock_Quantity]] - Table1[[#This Row],[Reorder_Level]],
     0)</f>
        <v>248</v>
      </c>
      <c r="J799" s="4">
        <v>45782</v>
      </c>
      <c r="K799" s="5" t="s">
        <v>14</v>
      </c>
      <c r="L799">
        <f>YEAR(Table1[[#This Row],[Last_Restock_Date]])</f>
        <v>2025</v>
      </c>
      <c r="M799" t="str">
        <f>_xlfn.CONCAT(TEXT(Table1[[#This Row],[Last_Restock_Date]],"mmm"), "-", YEAR(Table1[[#This Row],[Last_Restock_Date]]))</f>
        <v>May-2025</v>
      </c>
      <c r="N799">
        <f>MONTH(Table1[[#This Row],[Last_Restock_Date]])</f>
        <v>5</v>
      </c>
      <c r="O799" t="str" cm="1">
        <f t="array" ref="O799">_xlfn.SWITCH(Table1[[#This Row],[Month_Number]],
    1,"Q1",2,"Q1",3,"Q1",
    4,"Q2",5,"Q2",6,"Q2",
    7,"Q3",8,"Q3",9,"Q3",
    10,"Q4",11,"Q4",12,"Q4",
    "Invalid Month"
)</f>
        <v>Q2</v>
      </c>
      <c r="P799" t="str">
        <f>TEXT(Table1[[#This Row],[Last_Restock_Date]],"mmm")</f>
        <v>May</v>
      </c>
    </row>
    <row r="800" spans="1:16" x14ac:dyDescent="0.25">
      <c r="A800">
        <v>799</v>
      </c>
      <c r="B800" s="5" t="s">
        <v>53</v>
      </c>
      <c r="C800" s="5" t="s">
        <v>26</v>
      </c>
      <c r="D800" s="5" t="s">
        <v>21</v>
      </c>
      <c r="E800" s="5" t="s">
        <v>37</v>
      </c>
      <c r="F800" s="2">
        <v>80</v>
      </c>
      <c r="G800" s="3">
        <v>537.42999999999995</v>
      </c>
      <c r="H800">
        <v>130</v>
      </c>
      <c r="I800">
        <f>IF(Table1[[#This Row],[Status]]= "Sufficient",
     Table1[[#This Row],[Stock_Quantity]] - Table1[[#This Row],[Reorder_Level]],
     0)</f>
        <v>0</v>
      </c>
      <c r="J800" s="4">
        <v>45284</v>
      </c>
      <c r="K800" s="5" t="s">
        <v>28</v>
      </c>
      <c r="L800">
        <f>YEAR(Table1[[#This Row],[Last_Restock_Date]])</f>
        <v>2023</v>
      </c>
      <c r="M800" t="str">
        <f>_xlfn.CONCAT(TEXT(Table1[[#This Row],[Last_Restock_Date]],"mmm"), "-", YEAR(Table1[[#This Row],[Last_Restock_Date]]))</f>
        <v>Dec-2023</v>
      </c>
      <c r="N800">
        <f>MONTH(Table1[[#This Row],[Last_Restock_Date]])</f>
        <v>12</v>
      </c>
      <c r="O800" t="str" cm="1">
        <f t="array" ref="O800">_xlfn.SWITCH(Table1[[#This Row],[Month_Number]],
    1,"Q1",2,"Q1",3,"Q1",
    4,"Q2",5,"Q2",6,"Q2",
    7,"Q3",8,"Q3",9,"Q3",
    10,"Q4",11,"Q4",12,"Q4",
    "Invalid Month"
)</f>
        <v>Q4</v>
      </c>
      <c r="P800" t="str">
        <f>TEXT(Table1[[#This Row],[Last_Restock_Date]],"mmm")</f>
        <v>Dec</v>
      </c>
    </row>
    <row r="801" spans="1:16" x14ac:dyDescent="0.25">
      <c r="A801">
        <v>800</v>
      </c>
      <c r="B801" s="5" t="s">
        <v>43</v>
      </c>
      <c r="C801" s="5" t="s">
        <v>26</v>
      </c>
      <c r="D801" s="5" t="s">
        <v>21</v>
      </c>
      <c r="E801" s="5" t="s">
        <v>32</v>
      </c>
      <c r="F801" s="2">
        <v>287</v>
      </c>
      <c r="G801" s="3">
        <v>281.8</v>
      </c>
      <c r="H801">
        <v>54</v>
      </c>
      <c r="I801">
        <f>IF(Table1[[#This Row],[Status]]= "Sufficient",
     Table1[[#This Row],[Stock_Quantity]] - Table1[[#This Row],[Reorder_Level]],
     0)</f>
        <v>233</v>
      </c>
      <c r="J801" s="4">
        <v>45659</v>
      </c>
      <c r="K801" s="5" t="s">
        <v>14</v>
      </c>
      <c r="L801">
        <f>YEAR(Table1[[#This Row],[Last_Restock_Date]])</f>
        <v>2025</v>
      </c>
      <c r="M801" t="str">
        <f>_xlfn.CONCAT(TEXT(Table1[[#This Row],[Last_Restock_Date]],"mmm"), "-", YEAR(Table1[[#This Row],[Last_Restock_Date]]))</f>
        <v>Jan-2025</v>
      </c>
      <c r="N801">
        <f>MONTH(Table1[[#This Row],[Last_Restock_Date]])</f>
        <v>1</v>
      </c>
      <c r="O801" t="str" cm="1">
        <f t="array" ref="O801">_xlfn.SWITCH(Table1[[#This Row],[Month_Number]],
    1,"Q1",2,"Q1",3,"Q1",
    4,"Q2",5,"Q2",6,"Q2",
    7,"Q3",8,"Q3",9,"Q3",
    10,"Q4",11,"Q4",12,"Q4",
    "Invalid Month"
)</f>
        <v>Q1</v>
      </c>
      <c r="P801" t="str">
        <f>TEXT(Table1[[#This Row],[Last_Restock_Date]],"mmm")</f>
        <v>Jan</v>
      </c>
    </row>
    <row r="802" spans="1:16" x14ac:dyDescent="0.25">
      <c r="A802">
        <v>801</v>
      </c>
      <c r="B802" s="5" t="s">
        <v>31</v>
      </c>
      <c r="C802" s="5" t="s">
        <v>20</v>
      </c>
      <c r="D802" s="5" t="s">
        <v>24</v>
      </c>
      <c r="E802" s="5" t="s">
        <v>13</v>
      </c>
      <c r="F802" s="2">
        <v>184</v>
      </c>
      <c r="G802" s="3">
        <v>482.37</v>
      </c>
      <c r="H802">
        <v>102</v>
      </c>
      <c r="I802">
        <f>IF(Table1[[#This Row],[Status]]= "Sufficient",
     Table1[[#This Row],[Stock_Quantity]] - Table1[[#This Row],[Reorder_Level]],
     0)</f>
        <v>82</v>
      </c>
      <c r="J802" s="4">
        <v>45301</v>
      </c>
      <c r="K802" s="5" t="s">
        <v>14</v>
      </c>
      <c r="L802">
        <f>YEAR(Table1[[#This Row],[Last_Restock_Date]])</f>
        <v>2024</v>
      </c>
      <c r="M802" t="str">
        <f>_xlfn.CONCAT(TEXT(Table1[[#This Row],[Last_Restock_Date]],"mmm"), "-", YEAR(Table1[[#This Row],[Last_Restock_Date]]))</f>
        <v>Jan-2024</v>
      </c>
      <c r="N802">
        <f>MONTH(Table1[[#This Row],[Last_Restock_Date]])</f>
        <v>1</v>
      </c>
      <c r="O802" t="str" cm="1">
        <f t="array" ref="O802">_xlfn.SWITCH(Table1[[#This Row],[Month_Number]],
    1,"Q1",2,"Q1",3,"Q1",
    4,"Q2",5,"Q2",6,"Q2",
    7,"Q3",8,"Q3",9,"Q3",
    10,"Q4",11,"Q4",12,"Q4",
    "Invalid Month"
)</f>
        <v>Q1</v>
      </c>
      <c r="P802" t="str">
        <f>TEXT(Table1[[#This Row],[Last_Restock_Date]],"mmm")</f>
        <v>Jan</v>
      </c>
    </row>
    <row r="803" spans="1:16" x14ac:dyDescent="0.25">
      <c r="A803">
        <v>802</v>
      </c>
      <c r="B803" s="5" t="s">
        <v>19</v>
      </c>
      <c r="C803" s="5" t="s">
        <v>20</v>
      </c>
      <c r="D803" s="5" t="s">
        <v>24</v>
      </c>
      <c r="E803" s="5" t="s">
        <v>27</v>
      </c>
      <c r="F803" s="2">
        <v>191</v>
      </c>
      <c r="G803" s="3">
        <v>237.17</v>
      </c>
      <c r="H803">
        <v>149</v>
      </c>
      <c r="I803">
        <f>IF(Table1[[#This Row],[Status]]= "Sufficient",
     Table1[[#This Row],[Stock_Quantity]] - Table1[[#This Row],[Reorder_Level]],
     0)</f>
        <v>42</v>
      </c>
      <c r="J803" s="4">
        <v>45614</v>
      </c>
      <c r="K803" s="5" t="s">
        <v>14</v>
      </c>
      <c r="L803">
        <f>YEAR(Table1[[#This Row],[Last_Restock_Date]])</f>
        <v>2024</v>
      </c>
      <c r="M803" t="str">
        <f>_xlfn.CONCAT(TEXT(Table1[[#This Row],[Last_Restock_Date]],"mmm"), "-", YEAR(Table1[[#This Row],[Last_Restock_Date]]))</f>
        <v>Nov-2024</v>
      </c>
      <c r="N803">
        <f>MONTH(Table1[[#This Row],[Last_Restock_Date]])</f>
        <v>11</v>
      </c>
      <c r="O803" t="str" cm="1">
        <f t="array" ref="O803">_xlfn.SWITCH(Table1[[#This Row],[Month_Number]],
    1,"Q1",2,"Q1",3,"Q1",
    4,"Q2",5,"Q2",6,"Q2",
    7,"Q3",8,"Q3",9,"Q3",
    10,"Q4",11,"Q4",12,"Q4",
    "Invalid Month"
)</f>
        <v>Q4</v>
      </c>
      <c r="P803" t="str">
        <f>TEXT(Table1[[#This Row],[Last_Restock_Date]],"mmm")</f>
        <v>Nov</v>
      </c>
    </row>
    <row r="804" spans="1:16" x14ac:dyDescent="0.25">
      <c r="A804">
        <v>803</v>
      </c>
      <c r="B804" s="5" t="s">
        <v>19</v>
      </c>
      <c r="C804" s="5" t="s">
        <v>20</v>
      </c>
      <c r="D804" s="5" t="s">
        <v>24</v>
      </c>
      <c r="E804" s="5" t="s">
        <v>39</v>
      </c>
      <c r="F804" s="2">
        <v>322</v>
      </c>
      <c r="G804" s="3">
        <v>11.52</v>
      </c>
      <c r="H804">
        <v>59</v>
      </c>
      <c r="I804">
        <f>IF(Table1[[#This Row],[Status]]= "Sufficient",
     Table1[[#This Row],[Stock_Quantity]] - Table1[[#This Row],[Reorder_Level]],
     0)</f>
        <v>263</v>
      </c>
      <c r="J804" s="4">
        <v>45134</v>
      </c>
      <c r="K804" s="5" t="s">
        <v>14</v>
      </c>
      <c r="L804">
        <f>YEAR(Table1[[#This Row],[Last_Restock_Date]])</f>
        <v>2023</v>
      </c>
      <c r="M804" t="str">
        <f>_xlfn.CONCAT(TEXT(Table1[[#This Row],[Last_Restock_Date]],"mmm"), "-", YEAR(Table1[[#This Row],[Last_Restock_Date]]))</f>
        <v>Jul-2023</v>
      </c>
      <c r="N804">
        <f>MONTH(Table1[[#This Row],[Last_Restock_Date]])</f>
        <v>7</v>
      </c>
      <c r="O804" t="str" cm="1">
        <f t="array" ref="O804">_xlfn.SWITCH(Table1[[#This Row],[Month_Number]],
    1,"Q1",2,"Q1",3,"Q1",
    4,"Q2",5,"Q2",6,"Q2",
    7,"Q3",8,"Q3",9,"Q3",
    10,"Q4",11,"Q4",12,"Q4",
    "Invalid Month"
)</f>
        <v>Q3</v>
      </c>
      <c r="P804" t="str">
        <f>TEXT(Table1[[#This Row],[Last_Restock_Date]],"mmm")</f>
        <v>Jul</v>
      </c>
    </row>
    <row r="805" spans="1:16" x14ac:dyDescent="0.25">
      <c r="A805">
        <v>804</v>
      </c>
      <c r="B805" s="5" t="s">
        <v>46</v>
      </c>
      <c r="C805" s="5" t="s">
        <v>34</v>
      </c>
      <c r="D805" s="5" t="s">
        <v>24</v>
      </c>
      <c r="E805" s="5" t="s">
        <v>13</v>
      </c>
      <c r="F805" s="2">
        <v>270</v>
      </c>
      <c r="G805" s="3">
        <v>99.03</v>
      </c>
      <c r="H805">
        <v>119</v>
      </c>
      <c r="I805">
        <f>IF(Table1[[#This Row],[Status]]= "Sufficient",
     Table1[[#This Row],[Stock_Quantity]] - Table1[[#This Row],[Reorder_Level]],
     0)</f>
        <v>151</v>
      </c>
      <c r="J805" s="4">
        <v>45247</v>
      </c>
      <c r="K805" s="5" t="s">
        <v>14</v>
      </c>
      <c r="L805">
        <f>YEAR(Table1[[#This Row],[Last_Restock_Date]])</f>
        <v>2023</v>
      </c>
      <c r="M805" t="str">
        <f>_xlfn.CONCAT(TEXT(Table1[[#This Row],[Last_Restock_Date]],"mmm"), "-", YEAR(Table1[[#This Row],[Last_Restock_Date]]))</f>
        <v>Nov-2023</v>
      </c>
      <c r="N805">
        <f>MONTH(Table1[[#This Row],[Last_Restock_Date]])</f>
        <v>11</v>
      </c>
      <c r="O805" t="str" cm="1">
        <f t="array" ref="O805">_xlfn.SWITCH(Table1[[#This Row],[Month_Number]],
    1,"Q1",2,"Q1",3,"Q1",
    4,"Q2",5,"Q2",6,"Q2",
    7,"Q3",8,"Q3",9,"Q3",
    10,"Q4",11,"Q4",12,"Q4",
    "Invalid Month"
)</f>
        <v>Q4</v>
      </c>
      <c r="P805" t="str">
        <f>TEXT(Table1[[#This Row],[Last_Restock_Date]],"mmm")</f>
        <v>Nov</v>
      </c>
    </row>
    <row r="806" spans="1:16" x14ac:dyDescent="0.25">
      <c r="A806">
        <v>805</v>
      </c>
      <c r="B806" s="5" t="s">
        <v>10</v>
      </c>
      <c r="C806" s="5" t="s">
        <v>11</v>
      </c>
      <c r="D806" s="5" t="s">
        <v>30</v>
      </c>
      <c r="E806" s="5" t="s">
        <v>13</v>
      </c>
      <c r="F806" s="2">
        <v>295</v>
      </c>
      <c r="G806" s="3">
        <v>741</v>
      </c>
      <c r="H806">
        <v>51</v>
      </c>
      <c r="I806">
        <f>IF(Table1[[#This Row],[Status]]= "Sufficient",
     Table1[[#This Row],[Stock_Quantity]] - Table1[[#This Row],[Reorder_Level]],
     0)</f>
        <v>244</v>
      </c>
      <c r="J806" s="4">
        <v>44933</v>
      </c>
      <c r="K806" s="5" t="s">
        <v>14</v>
      </c>
      <c r="L806">
        <f>YEAR(Table1[[#This Row],[Last_Restock_Date]])</f>
        <v>2023</v>
      </c>
      <c r="M806" t="str">
        <f>_xlfn.CONCAT(TEXT(Table1[[#This Row],[Last_Restock_Date]],"mmm"), "-", YEAR(Table1[[#This Row],[Last_Restock_Date]]))</f>
        <v>Jan-2023</v>
      </c>
      <c r="N806">
        <f>MONTH(Table1[[#This Row],[Last_Restock_Date]])</f>
        <v>1</v>
      </c>
      <c r="O806" t="str" cm="1">
        <f t="array" ref="O806">_xlfn.SWITCH(Table1[[#This Row],[Month_Number]],
    1,"Q1",2,"Q1",3,"Q1",
    4,"Q2",5,"Q2",6,"Q2",
    7,"Q3",8,"Q3",9,"Q3",
    10,"Q4",11,"Q4",12,"Q4",
    "Invalid Month"
)</f>
        <v>Q1</v>
      </c>
      <c r="P806" t="str">
        <f>TEXT(Table1[[#This Row],[Last_Restock_Date]],"mmm")</f>
        <v>Jan</v>
      </c>
    </row>
    <row r="807" spans="1:16" x14ac:dyDescent="0.25">
      <c r="A807">
        <v>806</v>
      </c>
      <c r="B807" s="5" t="s">
        <v>38</v>
      </c>
      <c r="C807" s="5" t="s">
        <v>26</v>
      </c>
      <c r="D807" s="5" t="s">
        <v>24</v>
      </c>
      <c r="E807" s="5" t="s">
        <v>32</v>
      </c>
      <c r="F807" s="2">
        <v>150</v>
      </c>
      <c r="G807" s="3">
        <v>760.67</v>
      </c>
      <c r="H807">
        <v>92</v>
      </c>
      <c r="I807">
        <f>IF(Table1[[#This Row],[Status]]= "Sufficient",
     Table1[[#This Row],[Stock_Quantity]] - Table1[[#This Row],[Reorder_Level]],
     0)</f>
        <v>58</v>
      </c>
      <c r="J807" s="4">
        <v>45943</v>
      </c>
      <c r="K807" s="5" t="s">
        <v>14</v>
      </c>
      <c r="L807">
        <f>YEAR(Table1[[#This Row],[Last_Restock_Date]])</f>
        <v>2025</v>
      </c>
      <c r="M807" t="str">
        <f>_xlfn.CONCAT(TEXT(Table1[[#This Row],[Last_Restock_Date]],"mmm"), "-", YEAR(Table1[[#This Row],[Last_Restock_Date]]))</f>
        <v>Oct-2025</v>
      </c>
      <c r="N807">
        <f>MONTH(Table1[[#This Row],[Last_Restock_Date]])</f>
        <v>10</v>
      </c>
      <c r="O807" t="str" cm="1">
        <f t="array" ref="O807">_xlfn.SWITCH(Table1[[#This Row],[Month_Number]],
    1,"Q1",2,"Q1",3,"Q1",
    4,"Q2",5,"Q2",6,"Q2",
    7,"Q3",8,"Q3",9,"Q3",
    10,"Q4",11,"Q4",12,"Q4",
    "Invalid Month"
)</f>
        <v>Q4</v>
      </c>
      <c r="P807" t="str">
        <f>TEXT(Table1[[#This Row],[Last_Restock_Date]],"mmm")</f>
        <v>Oct</v>
      </c>
    </row>
    <row r="808" spans="1:16" x14ac:dyDescent="0.25">
      <c r="A808">
        <v>807</v>
      </c>
      <c r="B808" s="5" t="s">
        <v>54</v>
      </c>
      <c r="C808" s="5" t="s">
        <v>20</v>
      </c>
      <c r="D808" s="5" t="s">
        <v>17</v>
      </c>
      <c r="E808" s="5" t="s">
        <v>13</v>
      </c>
      <c r="F808" s="2">
        <v>42</v>
      </c>
      <c r="G808" s="3">
        <v>604.87</v>
      </c>
      <c r="H808">
        <v>117</v>
      </c>
      <c r="I808">
        <f>IF(Table1[[#This Row],[Status]]= "Sufficient",
     Table1[[#This Row],[Stock_Quantity]] - Table1[[#This Row],[Reorder_Level]],
     0)</f>
        <v>0</v>
      </c>
      <c r="J808" s="4">
        <v>45042</v>
      </c>
      <c r="K808" s="5" t="s">
        <v>28</v>
      </c>
      <c r="L808">
        <f>YEAR(Table1[[#This Row],[Last_Restock_Date]])</f>
        <v>2023</v>
      </c>
      <c r="M808" t="str">
        <f>_xlfn.CONCAT(TEXT(Table1[[#This Row],[Last_Restock_Date]],"mmm"), "-", YEAR(Table1[[#This Row],[Last_Restock_Date]]))</f>
        <v>Apr-2023</v>
      </c>
      <c r="N808">
        <f>MONTH(Table1[[#This Row],[Last_Restock_Date]])</f>
        <v>4</v>
      </c>
      <c r="O808" t="str" cm="1">
        <f t="array" ref="O808">_xlfn.SWITCH(Table1[[#This Row],[Month_Number]],
    1,"Q1",2,"Q1",3,"Q1",
    4,"Q2",5,"Q2",6,"Q2",
    7,"Q3",8,"Q3",9,"Q3",
    10,"Q4",11,"Q4",12,"Q4",
    "Invalid Month"
)</f>
        <v>Q2</v>
      </c>
      <c r="P808" t="str">
        <f>TEXT(Table1[[#This Row],[Last_Restock_Date]],"mmm")</f>
        <v>Apr</v>
      </c>
    </row>
    <row r="809" spans="1:16" x14ac:dyDescent="0.25">
      <c r="A809">
        <v>808</v>
      </c>
      <c r="B809" s="5" t="s">
        <v>52</v>
      </c>
      <c r="C809" s="5" t="s">
        <v>16</v>
      </c>
      <c r="D809" s="5" t="s">
        <v>30</v>
      </c>
      <c r="E809" s="5" t="s">
        <v>18</v>
      </c>
      <c r="F809" s="2">
        <v>26</v>
      </c>
      <c r="G809" s="3">
        <v>416.72</v>
      </c>
      <c r="H809">
        <v>114</v>
      </c>
      <c r="I809">
        <f>IF(Table1[[#This Row],[Status]]= "Sufficient",
     Table1[[#This Row],[Stock_Quantity]] - Table1[[#This Row],[Reorder_Level]],
     0)</f>
        <v>0</v>
      </c>
      <c r="J809" s="4">
        <v>45709</v>
      </c>
      <c r="K809" s="5" t="s">
        <v>28</v>
      </c>
      <c r="L809">
        <f>YEAR(Table1[[#This Row],[Last_Restock_Date]])</f>
        <v>2025</v>
      </c>
      <c r="M809" t="str">
        <f>_xlfn.CONCAT(TEXT(Table1[[#This Row],[Last_Restock_Date]],"mmm"), "-", YEAR(Table1[[#This Row],[Last_Restock_Date]]))</f>
        <v>Feb-2025</v>
      </c>
      <c r="N809">
        <f>MONTH(Table1[[#This Row],[Last_Restock_Date]])</f>
        <v>2</v>
      </c>
      <c r="O809" t="str" cm="1">
        <f t="array" ref="O809">_xlfn.SWITCH(Table1[[#This Row],[Month_Number]],
    1,"Q1",2,"Q1",3,"Q1",
    4,"Q2",5,"Q2",6,"Q2",
    7,"Q3",8,"Q3",9,"Q3",
    10,"Q4",11,"Q4",12,"Q4",
    "Invalid Month"
)</f>
        <v>Q1</v>
      </c>
      <c r="P809" t="str">
        <f>TEXT(Table1[[#This Row],[Last_Restock_Date]],"mmm")</f>
        <v>Feb</v>
      </c>
    </row>
    <row r="810" spans="1:16" x14ac:dyDescent="0.25">
      <c r="A810">
        <v>809</v>
      </c>
      <c r="B810" s="5" t="s">
        <v>22</v>
      </c>
      <c r="C810" s="5" t="s">
        <v>11</v>
      </c>
      <c r="D810" s="5" t="s">
        <v>21</v>
      </c>
      <c r="E810" s="5" t="s">
        <v>13</v>
      </c>
      <c r="F810" s="2">
        <v>57</v>
      </c>
      <c r="G810" s="3">
        <v>784.75</v>
      </c>
      <c r="H810">
        <v>79</v>
      </c>
      <c r="I810">
        <f>IF(Table1[[#This Row],[Status]]= "Sufficient",
     Table1[[#This Row],[Stock_Quantity]] - Table1[[#This Row],[Reorder_Level]],
     0)</f>
        <v>0</v>
      </c>
      <c r="J810" s="4">
        <v>45889</v>
      </c>
      <c r="K810" s="5" t="s">
        <v>28</v>
      </c>
      <c r="L810">
        <f>YEAR(Table1[[#This Row],[Last_Restock_Date]])</f>
        <v>2025</v>
      </c>
      <c r="M810" t="str">
        <f>_xlfn.CONCAT(TEXT(Table1[[#This Row],[Last_Restock_Date]],"mmm"), "-", YEAR(Table1[[#This Row],[Last_Restock_Date]]))</f>
        <v>Aug-2025</v>
      </c>
      <c r="N810">
        <f>MONTH(Table1[[#This Row],[Last_Restock_Date]])</f>
        <v>8</v>
      </c>
      <c r="O810" t="str" cm="1">
        <f t="array" ref="O810">_xlfn.SWITCH(Table1[[#This Row],[Month_Number]],
    1,"Q1",2,"Q1",3,"Q1",
    4,"Q2",5,"Q2",6,"Q2",
    7,"Q3",8,"Q3",9,"Q3",
    10,"Q4",11,"Q4",12,"Q4",
    "Invalid Month"
)</f>
        <v>Q3</v>
      </c>
      <c r="P810" t="str">
        <f>TEXT(Table1[[#This Row],[Last_Restock_Date]],"mmm")</f>
        <v>Aug</v>
      </c>
    </row>
    <row r="811" spans="1:16" x14ac:dyDescent="0.25">
      <c r="A811">
        <v>810</v>
      </c>
      <c r="B811" s="5" t="s">
        <v>49</v>
      </c>
      <c r="C811" s="5" t="s">
        <v>16</v>
      </c>
      <c r="D811" s="5" t="s">
        <v>30</v>
      </c>
      <c r="E811" s="5" t="s">
        <v>13</v>
      </c>
      <c r="F811" s="2">
        <v>284</v>
      </c>
      <c r="G811" s="3">
        <v>143.86000000000001</v>
      </c>
      <c r="H811">
        <v>115</v>
      </c>
      <c r="I811">
        <f>IF(Table1[[#This Row],[Status]]= "Sufficient",
     Table1[[#This Row],[Stock_Quantity]] - Table1[[#This Row],[Reorder_Level]],
     0)</f>
        <v>169</v>
      </c>
      <c r="J811" s="4">
        <v>45702</v>
      </c>
      <c r="K811" s="5" t="s">
        <v>14</v>
      </c>
      <c r="L811">
        <f>YEAR(Table1[[#This Row],[Last_Restock_Date]])</f>
        <v>2025</v>
      </c>
      <c r="M811" t="str">
        <f>_xlfn.CONCAT(TEXT(Table1[[#This Row],[Last_Restock_Date]],"mmm"), "-", YEAR(Table1[[#This Row],[Last_Restock_Date]]))</f>
        <v>Feb-2025</v>
      </c>
      <c r="N811">
        <f>MONTH(Table1[[#This Row],[Last_Restock_Date]])</f>
        <v>2</v>
      </c>
      <c r="O811" t="str" cm="1">
        <f t="array" ref="O811">_xlfn.SWITCH(Table1[[#This Row],[Month_Number]],
    1,"Q1",2,"Q1",3,"Q1",
    4,"Q2",5,"Q2",6,"Q2",
    7,"Q3",8,"Q3",9,"Q3",
    10,"Q4",11,"Q4",12,"Q4",
    "Invalid Month"
)</f>
        <v>Q1</v>
      </c>
      <c r="P811" t="str">
        <f>TEXT(Table1[[#This Row],[Last_Restock_Date]],"mmm")</f>
        <v>Feb</v>
      </c>
    </row>
    <row r="812" spans="1:16" x14ac:dyDescent="0.25">
      <c r="A812">
        <v>811</v>
      </c>
      <c r="B812" s="5" t="s">
        <v>54</v>
      </c>
      <c r="C812" s="5" t="s">
        <v>20</v>
      </c>
      <c r="D812" s="5" t="s">
        <v>21</v>
      </c>
      <c r="E812" s="5" t="s">
        <v>27</v>
      </c>
      <c r="F812" s="2">
        <v>298</v>
      </c>
      <c r="G812" s="3">
        <v>467.72</v>
      </c>
      <c r="H812">
        <v>88</v>
      </c>
      <c r="I812">
        <f>IF(Table1[[#This Row],[Status]]= "Sufficient",
     Table1[[#This Row],[Stock_Quantity]] - Table1[[#This Row],[Reorder_Level]],
     0)</f>
        <v>210</v>
      </c>
      <c r="J812" s="4">
        <v>45247</v>
      </c>
      <c r="K812" s="5" t="s">
        <v>14</v>
      </c>
      <c r="L812">
        <f>YEAR(Table1[[#This Row],[Last_Restock_Date]])</f>
        <v>2023</v>
      </c>
      <c r="M812" t="str">
        <f>_xlfn.CONCAT(TEXT(Table1[[#This Row],[Last_Restock_Date]],"mmm"), "-", YEAR(Table1[[#This Row],[Last_Restock_Date]]))</f>
        <v>Nov-2023</v>
      </c>
      <c r="N812">
        <f>MONTH(Table1[[#This Row],[Last_Restock_Date]])</f>
        <v>11</v>
      </c>
      <c r="O812" t="str" cm="1">
        <f t="array" ref="O812">_xlfn.SWITCH(Table1[[#This Row],[Month_Number]],
    1,"Q1",2,"Q1",3,"Q1",
    4,"Q2",5,"Q2",6,"Q2",
    7,"Q3",8,"Q3",9,"Q3",
    10,"Q4",11,"Q4",12,"Q4",
    "Invalid Month"
)</f>
        <v>Q4</v>
      </c>
      <c r="P812" t="str">
        <f>TEXT(Table1[[#This Row],[Last_Restock_Date]],"mmm")</f>
        <v>Nov</v>
      </c>
    </row>
    <row r="813" spans="1:16" x14ac:dyDescent="0.25">
      <c r="A813">
        <v>812</v>
      </c>
      <c r="B813" s="5" t="s">
        <v>31</v>
      </c>
      <c r="C813" s="5" t="s">
        <v>20</v>
      </c>
      <c r="D813" s="5" t="s">
        <v>30</v>
      </c>
      <c r="E813" s="5" t="s">
        <v>18</v>
      </c>
      <c r="F813" s="2">
        <v>336</v>
      </c>
      <c r="G813" s="3">
        <v>440.03</v>
      </c>
      <c r="H813">
        <v>123</v>
      </c>
      <c r="I813">
        <f>IF(Table1[[#This Row],[Status]]= "Sufficient",
     Table1[[#This Row],[Stock_Quantity]] - Table1[[#This Row],[Reorder_Level]],
     0)</f>
        <v>213</v>
      </c>
      <c r="J813" s="4">
        <v>45753</v>
      </c>
      <c r="K813" s="5" t="s">
        <v>14</v>
      </c>
      <c r="L813">
        <f>YEAR(Table1[[#This Row],[Last_Restock_Date]])</f>
        <v>2025</v>
      </c>
      <c r="M813" t="str">
        <f>_xlfn.CONCAT(TEXT(Table1[[#This Row],[Last_Restock_Date]],"mmm"), "-", YEAR(Table1[[#This Row],[Last_Restock_Date]]))</f>
        <v>Apr-2025</v>
      </c>
      <c r="N813">
        <f>MONTH(Table1[[#This Row],[Last_Restock_Date]])</f>
        <v>4</v>
      </c>
      <c r="O813" t="str" cm="1">
        <f t="array" ref="O813">_xlfn.SWITCH(Table1[[#This Row],[Month_Number]],
    1,"Q1",2,"Q1",3,"Q1",
    4,"Q2",5,"Q2",6,"Q2",
    7,"Q3",8,"Q3",9,"Q3",
    10,"Q4",11,"Q4",12,"Q4",
    "Invalid Month"
)</f>
        <v>Q2</v>
      </c>
      <c r="P813" t="str">
        <f>TEXT(Table1[[#This Row],[Last_Restock_Date]],"mmm")</f>
        <v>Apr</v>
      </c>
    </row>
    <row r="814" spans="1:16" x14ac:dyDescent="0.25">
      <c r="A814">
        <v>813</v>
      </c>
      <c r="B814" s="5" t="s">
        <v>36</v>
      </c>
      <c r="C814" s="5" t="s">
        <v>11</v>
      </c>
      <c r="D814" s="5" t="s">
        <v>17</v>
      </c>
      <c r="E814" s="5" t="s">
        <v>39</v>
      </c>
      <c r="F814" s="2">
        <v>260</v>
      </c>
      <c r="G814" s="3">
        <v>398.02</v>
      </c>
      <c r="H814">
        <v>111</v>
      </c>
      <c r="I814">
        <f>IF(Table1[[#This Row],[Status]]= "Sufficient",
     Table1[[#This Row],[Stock_Quantity]] - Table1[[#This Row],[Reorder_Level]],
     0)</f>
        <v>149</v>
      </c>
      <c r="J814" s="4">
        <v>45468</v>
      </c>
      <c r="K814" s="5" t="s">
        <v>14</v>
      </c>
      <c r="L814">
        <f>YEAR(Table1[[#This Row],[Last_Restock_Date]])</f>
        <v>2024</v>
      </c>
      <c r="M814" t="str">
        <f>_xlfn.CONCAT(TEXT(Table1[[#This Row],[Last_Restock_Date]],"mmm"), "-", YEAR(Table1[[#This Row],[Last_Restock_Date]]))</f>
        <v>Jun-2024</v>
      </c>
      <c r="N814">
        <f>MONTH(Table1[[#This Row],[Last_Restock_Date]])</f>
        <v>6</v>
      </c>
      <c r="O814" t="str" cm="1">
        <f t="array" ref="O814">_xlfn.SWITCH(Table1[[#This Row],[Month_Number]],
    1,"Q1",2,"Q1",3,"Q1",
    4,"Q2",5,"Q2",6,"Q2",
    7,"Q3",8,"Q3",9,"Q3",
    10,"Q4",11,"Q4",12,"Q4",
    "Invalid Month"
)</f>
        <v>Q2</v>
      </c>
      <c r="P814" t="str">
        <f>TEXT(Table1[[#This Row],[Last_Restock_Date]],"mmm")</f>
        <v>Jun</v>
      </c>
    </row>
    <row r="815" spans="1:16" x14ac:dyDescent="0.25">
      <c r="A815">
        <v>814</v>
      </c>
      <c r="B815" s="5" t="s">
        <v>38</v>
      </c>
      <c r="C815" s="5" t="s">
        <v>26</v>
      </c>
      <c r="D815" s="5" t="s">
        <v>12</v>
      </c>
      <c r="E815" s="5" t="s">
        <v>27</v>
      </c>
      <c r="F815" s="2">
        <v>284</v>
      </c>
      <c r="G815" s="3">
        <v>17.579999999999998</v>
      </c>
      <c r="H815">
        <v>60</v>
      </c>
      <c r="I815">
        <f>IF(Table1[[#This Row],[Status]]= "Sufficient",
     Table1[[#This Row],[Stock_Quantity]] - Table1[[#This Row],[Reorder_Level]],
     0)</f>
        <v>224</v>
      </c>
      <c r="J815" s="4">
        <v>45157</v>
      </c>
      <c r="K815" s="5" t="s">
        <v>14</v>
      </c>
      <c r="L815">
        <f>YEAR(Table1[[#This Row],[Last_Restock_Date]])</f>
        <v>2023</v>
      </c>
      <c r="M815" t="str">
        <f>_xlfn.CONCAT(TEXT(Table1[[#This Row],[Last_Restock_Date]],"mmm"), "-", YEAR(Table1[[#This Row],[Last_Restock_Date]]))</f>
        <v>Aug-2023</v>
      </c>
      <c r="N815">
        <f>MONTH(Table1[[#This Row],[Last_Restock_Date]])</f>
        <v>8</v>
      </c>
      <c r="O815" t="str" cm="1">
        <f t="array" ref="O815">_xlfn.SWITCH(Table1[[#This Row],[Month_Number]],
    1,"Q1",2,"Q1",3,"Q1",
    4,"Q2",5,"Q2",6,"Q2",
    7,"Q3",8,"Q3",9,"Q3",
    10,"Q4",11,"Q4",12,"Q4",
    "Invalid Month"
)</f>
        <v>Q3</v>
      </c>
      <c r="P815" t="str">
        <f>TEXT(Table1[[#This Row],[Last_Restock_Date]],"mmm")</f>
        <v>Aug</v>
      </c>
    </row>
    <row r="816" spans="1:16" x14ac:dyDescent="0.25">
      <c r="A816">
        <v>815</v>
      </c>
      <c r="B816" s="5" t="s">
        <v>54</v>
      </c>
      <c r="C816" s="5" t="s">
        <v>20</v>
      </c>
      <c r="D816" s="5" t="s">
        <v>17</v>
      </c>
      <c r="E816" s="5" t="s">
        <v>37</v>
      </c>
      <c r="F816" s="2">
        <v>444</v>
      </c>
      <c r="G816" s="3">
        <v>715.75</v>
      </c>
      <c r="H816">
        <v>130</v>
      </c>
      <c r="I816">
        <f>IF(Table1[[#This Row],[Status]]= "Sufficient",
     Table1[[#This Row],[Stock_Quantity]] - Table1[[#This Row],[Reorder_Level]],
     0)</f>
        <v>314</v>
      </c>
      <c r="J816" s="4">
        <v>45521</v>
      </c>
      <c r="K816" s="5" t="s">
        <v>14</v>
      </c>
      <c r="L816">
        <f>YEAR(Table1[[#This Row],[Last_Restock_Date]])</f>
        <v>2024</v>
      </c>
      <c r="M816" t="str">
        <f>_xlfn.CONCAT(TEXT(Table1[[#This Row],[Last_Restock_Date]],"mmm"), "-", YEAR(Table1[[#This Row],[Last_Restock_Date]]))</f>
        <v>Aug-2024</v>
      </c>
      <c r="N816">
        <f>MONTH(Table1[[#This Row],[Last_Restock_Date]])</f>
        <v>8</v>
      </c>
      <c r="O816" t="str" cm="1">
        <f t="array" ref="O816">_xlfn.SWITCH(Table1[[#This Row],[Month_Number]],
    1,"Q1",2,"Q1",3,"Q1",
    4,"Q2",5,"Q2",6,"Q2",
    7,"Q3",8,"Q3",9,"Q3",
    10,"Q4",11,"Q4",12,"Q4",
    "Invalid Month"
)</f>
        <v>Q3</v>
      </c>
      <c r="P816" t="str">
        <f>TEXT(Table1[[#This Row],[Last_Restock_Date]],"mmm")</f>
        <v>Aug</v>
      </c>
    </row>
    <row r="817" spans="1:16" x14ac:dyDescent="0.25">
      <c r="A817">
        <v>816</v>
      </c>
      <c r="B817" s="5" t="s">
        <v>48</v>
      </c>
      <c r="C817" s="5" t="s">
        <v>20</v>
      </c>
      <c r="D817" s="5" t="s">
        <v>24</v>
      </c>
      <c r="E817" s="5" t="s">
        <v>37</v>
      </c>
      <c r="F817" s="2">
        <v>164</v>
      </c>
      <c r="G817" s="3">
        <v>253.3</v>
      </c>
      <c r="H817">
        <v>55</v>
      </c>
      <c r="I817">
        <f>IF(Table1[[#This Row],[Status]]= "Sufficient",
     Table1[[#This Row],[Stock_Quantity]] - Table1[[#This Row],[Reorder_Level]],
     0)</f>
        <v>109</v>
      </c>
      <c r="J817" s="4">
        <v>45540</v>
      </c>
      <c r="K817" s="5" t="s">
        <v>14</v>
      </c>
      <c r="L817">
        <f>YEAR(Table1[[#This Row],[Last_Restock_Date]])</f>
        <v>2024</v>
      </c>
      <c r="M817" t="str">
        <f>_xlfn.CONCAT(TEXT(Table1[[#This Row],[Last_Restock_Date]],"mmm"), "-", YEAR(Table1[[#This Row],[Last_Restock_Date]]))</f>
        <v>Sep-2024</v>
      </c>
      <c r="N817">
        <f>MONTH(Table1[[#This Row],[Last_Restock_Date]])</f>
        <v>9</v>
      </c>
      <c r="O817" t="str" cm="1">
        <f t="array" ref="O817">_xlfn.SWITCH(Table1[[#This Row],[Month_Number]],
    1,"Q1",2,"Q1",3,"Q1",
    4,"Q2",5,"Q2",6,"Q2",
    7,"Q3",8,"Q3",9,"Q3",
    10,"Q4",11,"Q4",12,"Q4",
    "Invalid Month"
)</f>
        <v>Q3</v>
      </c>
      <c r="P817" t="str">
        <f>TEXT(Table1[[#This Row],[Last_Restock_Date]],"mmm")</f>
        <v>Sep</v>
      </c>
    </row>
    <row r="818" spans="1:16" x14ac:dyDescent="0.25">
      <c r="A818">
        <v>817</v>
      </c>
      <c r="B818" s="5" t="s">
        <v>46</v>
      </c>
      <c r="C818" s="5" t="s">
        <v>34</v>
      </c>
      <c r="D818" s="5" t="s">
        <v>17</v>
      </c>
      <c r="E818" s="5" t="s">
        <v>37</v>
      </c>
      <c r="F818" s="2">
        <v>316</v>
      </c>
      <c r="G818" s="3">
        <v>100.2</v>
      </c>
      <c r="H818">
        <v>128</v>
      </c>
      <c r="I818">
        <f>IF(Table1[[#This Row],[Status]]= "Sufficient",
     Table1[[#This Row],[Stock_Quantity]] - Table1[[#This Row],[Reorder_Level]],
     0)</f>
        <v>188</v>
      </c>
      <c r="J818" s="4">
        <v>45640</v>
      </c>
      <c r="K818" s="5" t="s">
        <v>14</v>
      </c>
      <c r="L818">
        <f>YEAR(Table1[[#This Row],[Last_Restock_Date]])</f>
        <v>2024</v>
      </c>
      <c r="M818" t="str">
        <f>_xlfn.CONCAT(TEXT(Table1[[#This Row],[Last_Restock_Date]],"mmm"), "-", YEAR(Table1[[#This Row],[Last_Restock_Date]]))</f>
        <v>Dec-2024</v>
      </c>
      <c r="N818">
        <f>MONTH(Table1[[#This Row],[Last_Restock_Date]])</f>
        <v>12</v>
      </c>
      <c r="O818" t="str" cm="1">
        <f t="array" ref="O818">_xlfn.SWITCH(Table1[[#This Row],[Month_Number]],
    1,"Q1",2,"Q1",3,"Q1",
    4,"Q2",5,"Q2",6,"Q2",
    7,"Q3",8,"Q3",9,"Q3",
    10,"Q4",11,"Q4",12,"Q4",
    "Invalid Month"
)</f>
        <v>Q4</v>
      </c>
      <c r="P818" t="str">
        <f>TEXT(Table1[[#This Row],[Last_Restock_Date]],"mmm")</f>
        <v>Dec</v>
      </c>
    </row>
    <row r="819" spans="1:16" x14ac:dyDescent="0.25">
      <c r="A819">
        <v>818</v>
      </c>
      <c r="B819" s="5" t="s">
        <v>50</v>
      </c>
      <c r="C819" s="5" t="s">
        <v>34</v>
      </c>
      <c r="D819" s="5" t="s">
        <v>21</v>
      </c>
      <c r="E819" s="5" t="s">
        <v>18</v>
      </c>
      <c r="F819" s="2">
        <v>298</v>
      </c>
      <c r="G819" s="3">
        <v>338.26</v>
      </c>
      <c r="H819">
        <v>82</v>
      </c>
      <c r="I819">
        <f>IF(Table1[[#This Row],[Status]]= "Sufficient",
     Table1[[#This Row],[Stock_Quantity]] - Table1[[#This Row],[Reorder_Level]],
     0)</f>
        <v>216</v>
      </c>
      <c r="J819" s="4">
        <v>46000</v>
      </c>
      <c r="K819" s="5" t="s">
        <v>14</v>
      </c>
      <c r="L819">
        <f>YEAR(Table1[[#This Row],[Last_Restock_Date]])</f>
        <v>2025</v>
      </c>
      <c r="M819" t="str">
        <f>_xlfn.CONCAT(TEXT(Table1[[#This Row],[Last_Restock_Date]],"mmm"), "-", YEAR(Table1[[#This Row],[Last_Restock_Date]]))</f>
        <v>Dec-2025</v>
      </c>
      <c r="N819">
        <f>MONTH(Table1[[#This Row],[Last_Restock_Date]])</f>
        <v>12</v>
      </c>
      <c r="O819" t="str" cm="1">
        <f t="array" ref="O819">_xlfn.SWITCH(Table1[[#This Row],[Month_Number]],
    1,"Q1",2,"Q1",3,"Q1",
    4,"Q2",5,"Q2",6,"Q2",
    7,"Q3",8,"Q3",9,"Q3",
    10,"Q4",11,"Q4",12,"Q4",
    "Invalid Month"
)</f>
        <v>Q4</v>
      </c>
      <c r="P819" t="str">
        <f>TEXT(Table1[[#This Row],[Last_Restock_Date]],"mmm")</f>
        <v>Dec</v>
      </c>
    </row>
    <row r="820" spans="1:16" x14ac:dyDescent="0.25">
      <c r="A820">
        <v>819</v>
      </c>
      <c r="B820" s="5" t="s">
        <v>49</v>
      </c>
      <c r="C820" s="5" t="s">
        <v>16</v>
      </c>
      <c r="D820" s="5" t="s">
        <v>30</v>
      </c>
      <c r="E820" s="5" t="s">
        <v>18</v>
      </c>
      <c r="F820" s="2">
        <v>75</v>
      </c>
      <c r="G820" s="3">
        <v>646.99</v>
      </c>
      <c r="H820">
        <v>136</v>
      </c>
      <c r="I820">
        <f>IF(Table1[[#This Row],[Status]]= "Sufficient",
     Table1[[#This Row],[Stock_Quantity]] - Table1[[#This Row],[Reorder_Level]],
     0)</f>
        <v>0</v>
      </c>
      <c r="J820" s="4">
        <v>45994</v>
      </c>
      <c r="K820" s="5" t="s">
        <v>28</v>
      </c>
      <c r="L820">
        <f>YEAR(Table1[[#This Row],[Last_Restock_Date]])</f>
        <v>2025</v>
      </c>
      <c r="M820" t="str">
        <f>_xlfn.CONCAT(TEXT(Table1[[#This Row],[Last_Restock_Date]],"mmm"), "-", YEAR(Table1[[#This Row],[Last_Restock_Date]]))</f>
        <v>Dec-2025</v>
      </c>
      <c r="N820">
        <f>MONTH(Table1[[#This Row],[Last_Restock_Date]])</f>
        <v>12</v>
      </c>
      <c r="O820" t="str" cm="1">
        <f t="array" ref="O820">_xlfn.SWITCH(Table1[[#This Row],[Month_Number]],
    1,"Q1",2,"Q1",3,"Q1",
    4,"Q2",5,"Q2",6,"Q2",
    7,"Q3",8,"Q3",9,"Q3",
    10,"Q4",11,"Q4",12,"Q4",
    "Invalid Month"
)</f>
        <v>Q4</v>
      </c>
      <c r="P820" t="str">
        <f>TEXT(Table1[[#This Row],[Last_Restock_Date]],"mmm")</f>
        <v>Dec</v>
      </c>
    </row>
    <row r="821" spans="1:16" x14ac:dyDescent="0.25">
      <c r="A821">
        <v>820</v>
      </c>
      <c r="B821" s="5" t="s">
        <v>36</v>
      </c>
      <c r="C821" s="5" t="s">
        <v>11</v>
      </c>
      <c r="D821" s="5" t="s">
        <v>21</v>
      </c>
      <c r="E821" s="5" t="s">
        <v>13</v>
      </c>
      <c r="F821" s="2">
        <v>241</v>
      </c>
      <c r="G821" s="3">
        <v>166.73</v>
      </c>
      <c r="H821">
        <v>74</v>
      </c>
      <c r="I821">
        <f>IF(Table1[[#This Row],[Status]]= "Sufficient",
     Table1[[#This Row],[Stock_Quantity]] - Table1[[#This Row],[Reorder_Level]],
     0)</f>
        <v>167</v>
      </c>
      <c r="J821" s="4">
        <v>46002</v>
      </c>
      <c r="K821" s="5" t="s">
        <v>14</v>
      </c>
      <c r="L821">
        <f>YEAR(Table1[[#This Row],[Last_Restock_Date]])</f>
        <v>2025</v>
      </c>
      <c r="M821" t="str">
        <f>_xlfn.CONCAT(TEXT(Table1[[#This Row],[Last_Restock_Date]],"mmm"), "-", YEAR(Table1[[#This Row],[Last_Restock_Date]]))</f>
        <v>Dec-2025</v>
      </c>
      <c r="N821">
        <f>MONTH(Table1[[#This Row],[Last_Restock_Date]])</f>
        <v>12</v>
      </c>
      <c r="O821" t="str" cm="1">
        <f t="array" ref="O821">_xlfn.SWITCH(Table1[[#This Row],[Month_Number]],
    1,"Q1",2,"Q1",3,"Q1",
    4,"Q2",5,"Q2",6,"Q2",
    7,"Q3",8,"Q3",9,"Q3",
    10,"Q4",11,"Q4",12,"Q4",
    "Invalid Month"
)</f>
        <v>Q4</v>
      </c>
      <c r="P821" t="str">
        <f>TEXT(Table1[[#This Row],[Last_Restock_Date]],"mmm")</f>
        <v>Dec</v>
      </c>
    </row>
    <row r="822" spans="1:16" x14ac:dyDescent="0.25">
      <c r="A822">
        <v>821</v>
      </c>
      <c r="B822" s="5" t="s">
        <v>38</v>
      </c>
      <c r="C822" s="5" t="s">
        <v>26</v>
      </c>
      <c r="D822" s="5" t="s">
        <v>24</v>
      </c>
      <c r="E822" s="5" t="s">
        <v>18</v>
      </c>
      <c r="F822" s="2">
        <v>205</v>
      </c>
      <c r="G822" s="3">
        <v>206.13</v>
      </c>
      <c r="H822">
        <v>94</v>
      </c>
      <c r="I822">
        <f>IF(Table1[[#This Row],[Status]]= "Sufficient",
     Table1[[#This Row],[Stock_Quantity]] - Table1[[#This Row],[Reorder_Level]],
     0)</f>
        <v>111</v>
      </c>
      <c r="J822" s="4">
        <v>45844</v>
      </c>
      <c r="K822" s="5" t="s">
        <v>14</v>
      </c>
      <c r="L822">
        <f>YEAR(Table1[[#This Row],[Last_Restock_Date]])</f>
        <v>2025</v>
      </c>
      <c r="M822" t="str">
        <f>_xlfn.CONCAT(TEXT(Table1[[#This Row],[Last_Restock_Date]],"mmm"), "-", YEAR(Table1[[#This Row],[Last_Restock_Date]]))</f>
        <v>Jul-2025</v>
      </c>
      <c r="N822">
        <f>MONTH(Table1[[#This Row],[Last_Restock_Date]])</f>
        <v>7</v>
      </c>
      <c r="O822" t="str" cm="1">
        <f t="array" ref="O822">_xlfn.SWITCH(Table1[[#This Row],[Month_Number]],
    1,"Q1",2,"Q1",3,"Q1",
    4,"Q2",5,"Q2",6,"Q2",
    7,"Q3",8,"Q3",9,"Q3",
    10,"Q4",11,"Q4",12,"Q4",
    "Invalid Month"
)</f>
        <v>Q3</v>
      </c>
      <c r="P822" t="str">
        <f>TEXT(Table1[[#This Row],[Last_Restock_Date]],"mmm")</f>
        <v>Jul</v>
      </c>
    </row>
    <row r="823" spans="1:16" x14ac:dyDescent="0.25">
      <c r="A823">
        <v>822</v>
      </c>
      <c r="B823" s="5" t="s">
        <v>36</v>
      </c>
      <c r="C823" s="5" t="s">
        <v>11</v>
      </c>
      <c r="D823" s="5" t="s">
        <v>24</v>
      </c>
      <c r="E823" s="5" t="s">
        <v>13</v>
      </c>
      <c r="F823" s="2">
        <v>311</v>
      </c>
      <c r="G823" s="3">
        <v>180.5</v>
      </c>
      <c r="H823">
        <v>54</v>
      </c>
      <c r="I823">
        <f>IF(Table1[[#This Row],[Status]]= "Sufficient",
     Table1[[#This Row],[Stock_Quantity]] - Table1[[#This Row],[Reorder_Level]],
     0)</f>
        <v>257</v>
      </c>
      <c r="J823" s="4">
        <v>45990</v>
      </c>
      <c r="K823" s="5" t="s">
        <v>14</v>
      </c>
      <c r="L823">
        <f>YEAR(Table1[[#This Row],[Last_Restock_Date]])</f>
        <v>2025</v>
      </c>
      <c r="M823" t="str">
        <f>_xlfn.CONCAT(TEXT(Table1[[#This Row],[Last_Restock_Date]],"mmm"), "-", YEAR(Table1[[#This Row],[Last_Restock_Date]]))</f>
        <v>Nov-2025</v>
      </c>
      <c r="N823">
        <f>MONTH(Table1[[#This Row],[Last_Restock_Date]])</f>
        <v>11</v>
      </c>
      <c r="O823" t="str" cm="1">
        <f t="array" ref="O823">_xlfn.SWITCH(Table1[[#This Row],[Month_Number]],
    1,"Q1",2,"Q1",3,"Q1",
    4,"Q2",5,"Q2",6,"Q2",
    7,"Q3",8,"Q3",9,"Q3",
    10,"Q4",11,"Q4",12,"Q4",
    "Invalid Month"
)</f>
        <v>Q4</v>
      </c>
      <c r="P823" t="str">
        <f>TEXT(Table1[[#This Row],[Last_Restock_Date]],"mmm")</f>
        <v>Nov</v>
      </c>
    </row>
    <row r="824" spans="1:16" x14ac:dyDescent="0.25">
      <c r="A824">
        <v>823</v>
      </c>
      <c r="B824" s="5" t="s">
        <v>45</v>
      </c>
      <c r="C824" s="5" t="s">
        <v>26</v>
      </c>
      <c r="D824" s="5" t="s">
        <v>12</v>
      </c>
      <c r="E824" s="5" t="s">
        <v>13</v>
      </c>
      <c r="F824" s="2">
        <v>398</v>
      </c>
      <c r="G824" s="3">
        <v>94.07</v>
      </c>
      <c r="H824">
        <v>105</v>
      </c>
      <c r="I824">
        <f>IF(Table1[[#This Row],[Status]]= "Sufficient",
     Table1[[#This Row],[Stock_Quantity]] - Table1[[#This Row],[Reorder_Level]],
     0)</f>
        <v>293</v>
      </c>
      <c r="J824" s="4">
        <v>45267</v>
      </c>
      <c r="K824" s="5" t="s">
        <v>14</v>
      </c>
      <c r="L824">
        <f>YEAR(Table1[[#This Row],[Last_Restock_Date]])</f>
        <v>2023</v>
      </c>
      <c r="M824" t="str">
        <f>_xlfn.CONCAT(TEXT(Table1[[#This Row],[Last_Restock_Date]],"mmm"), "-", YEAR(Table1[[#This Row],[Last_Restock_Date]]))</f>
        <v>Dec-2023</v>
      </c>
      <c r="N824">
        <f>MONTH(Table1[[#This Row],[Last_Restock_Date]])</f>
        <v>12</v>
      </c>
      <c r="O824" t="str" cm="1">
        <f t="array" ref="O824">_xlfn.SWITCH(Table1[[#This Row],[Month_Number]],
    1,"Q1",2,"Q1",3,"Q1",
    4,"Q2",5,"Q2",6,"Q2",
    7,"Q3",8,"Q3",9,"Q3",
    10,"Q4",11,"Q4",12,"Q4",
    "Invalid Month"
)</f>
        <v>Q4</v>
      </c>
      <c r="P824" t="str">
        <f>TEXT(Table1[[#This Row],[Last_Restock_Date]],"mmm")</f>
        <v>Dec</v>
      </c>
    </row>
    <row r="825" spans="1:16" x14ac:dyDescent="0.25">
      <c r="A825">
        <v>824</v>
      </c>
      <c r="B825" s="5" t="s">
        <v>38</v>
      </c>
      <c r="C825" s="5" t="s">
        <v>26</v>
      </c>
      <c r="D825" s="5" t="s">
        <v>17</v>
      </c>
      <c r="E825" s="5" t="s">
        <v>32</v>
      </c>
      <c r="F825" s="2">
        <v>358</v>
      </c>
      <c r="G825" s="3">
        <v>367.87</v>
      </c>
      <c r="H825">
        <v>126</v>
      </c>
      <c r="I825">
        <f>IF(Table1[[#This Row],[Status]]= "Sufficient",
     Table1[[#This Row],[Stock_Quantity]] - Table1[[#This Row],[Reorder_Level]],
     0)</f>
        <v>232</v>
      </c>
      <c r="J825" s="4">
        <v>45307</v>
      </c>
      <c r="K825" s="5" t="s">
        <v>14</v>
      </c>
      <c r="L825">
        <f>YEAR(Table1[[#This Row],[Last_Restock_Date]])</f>
        <v>2024</v>
      </c>
      <c r="M825" t="str">
        <f>_xlfn.CONCAT(TEXT(Table1[[#This Row],[Last_Restock_Date]],"mmm"), "-", YEAR(Table1[[#This Row],[Last_Restock_Date]]))</f>
        <v>Jan-2024</v>
      </c>
      <c r="N825">
        <f>MONTH(Table1[[#This Row],[Last_Restock_Date]])</f>
        <v>1</v>
      </c>
      <c r="O825" t="str" cm="1">
        <f t="array" ref="O825">_xlfn.SWITCH(Table1[[#This Row],[Month_Number]],
    1,"Q1",2,"Q1",3,"Q1",
    4,"Q2",5,"Q2",6,"Q2",
    7,"Q3",8,"Q3",9,"Q3",
    10,"Q4",11,"Q4",12,"Q4",
    "Invalid Month"
)</f>
        <v>Q1</v>
      </c>
      <c r="P825" t="str">
        <f>TEXT(Table1[[#This Row],[Last_Restock_Date]],"mmm")</f>
        <v>Jan</v>
      </c>
    </row>
    <row r="826" spans="1:16" x14ac:dyDescent="0.25">
      <c r="A826">
        <v>825</v>
      </c>
      <c r="B826" s="5" t="s">
        <v>10</v>
      </c>
      <c r="C826" s="5" t="s">
        <v>11</v>
      </c>
      <c r="D826" s="5" t="s">
        <v>24</v>
      </c>
      <c r="E826" s="5" t="s">
        <v>27</v>
      </c>
      <c r="F826" s="2">
        <v>271</v>
      </c>
      <c r="G826" s="3">
        <v>247.5</v>
      </c>
      <c r="H826">
        <v>98</v>
      </c>
      <c r="I826">
        <f>IF(Table1[[#This Row],[Status]]= "Sufficient",
     Table1[[#This Row],[Stock_Quantity]] - Table1[[#This Row],[Reorder_Level]],
     0)</f>
        <v>173</v>
      </c>
      <c r="J826" s="4">
        <v>45217</v>
      </c>
      <c r="K826" s="5" t="s">
        <v>14</v>
      </c>
      <c r="L826">
        <f>YEAR(Table1[[#This Row],[Last_Restock_Date]])</f>
        <v>2023</v>
      </c>
      <c r="M826" t="str">
        <f>_xlfn.CONCAT(TEXT(Table1[[#This Row],[Last_Restock_Date]],"mmm"), "-", YEAR(Table1[[#This Row],[Last_Restock_Date]]))</f>
        <v>Oct-2023</v>
      </c>
      <c r="N826">
        <f>MONTH(Table1[[#This Row],[Last_Restock_Date]])</f>
        <v>10</v>
      </c>
      <c r="O826" t="str" cm="1">
        <f t="array" ref="O826">_xlfn.SWITCH(Table1[[#This Row],[Month_Number]],
    1,"Q1",2,"Q1",3,"Q1",
    4,"Q2",5,"Q2",6,"Q2",
    7,"Q3",8,"Q3",9,"Q3",
    10,"Q4",11,"Q4",12,"Q4",
    "Invalid Month"
)</f>
        <v>Q4</v>
      </c>
      <c r="P826" t="str">
        <f>TEXT(Table1[[#This Row],[Last_Restock_Date]],"mmm")</f>
        <v>Oct</v>
      </c>
    </row>
    <row r="827" spans="1:16" x14ac:dyDescent="0.25">
      <c r="A827">
        <v>826</v>
      </c>
      <c r="B827" s="5" t="s">
        <v>10</v>
      </c>
      <c r="C827" s="5" t="s">
        <v>11</v>
      </c>
      <c r="D827" s="5" t="s">
        <v>12</v>
      </c>
      <c r="E827" s="5" t="s">
        <v>27</v>
      </c>
      <c r="F827" s="2">
        <v>150</v>
      </c>
      <c r="G827" s="3">
        <v>725.52</v>
      </c>
      <c r="H827">
        <v>150</v>
      </c>
      <c r="I827">
        <f>IF(Table1[[#This Row],[Status]]= "Sufficient",
     Table1[[#This Row],[Stock_Quantity]] - Table1[[#This Row],[Reorder_Level]],
     0)</f>
        <v>0</v>
      </c>
      <c r="J827" s="4">
        <v>45744</v>
      </c>
      <c r="K827" s="5" t="s">
        <v>14</v>
      </c>
      <c r="L827">
        <f>YEAR(Table1[[#This Row],[Last_Restock_Date]])</f>
        <v>2025</v>
      </c>
      <c r="M827" t="str">
        <f>_xlfn.CONCAT(TEXT(Table1[[#This Row],[Last_Restock_Date]],"mmm"), "-", YEAR(Table1[[#This Row],[Last_Restock_Date]]))</f>
        <v>Mar-2025</v>
      </c>
      <c r="N827">
        <f>MONTH(Table1[[#This Row],[Last_Restock_Date]])</f>
        <v>3</v>
      </c>
      <c r="O827" t="str" cm="1">
        <f t="array" ref="O827">_xlfn.SWITCH(Table1[[#This Row],[Month_Number]],
    1,"Q1",2,"Q1",3,"Q1",
    4,"Q2",5,"Q2",6,"Q2",
    7,"Q3",8,"Q3",9,"Q3",
    10,"Q4",11,"Q4",12,"Q4",
    "Invalid Month"
)</f>
        <v>Q1</v>
      </c>
      <c r="P827" t="str">
        <f>TEXT(Table1[[#This Row],[Last_Restock_Date]],"mmm")</f>
        <v>Mar</v>
      </c>
    </row>
    <row r="828" spans="1:16" x14ac:dyDescent="0.25">
      <c r="A828">
        <v>827</v>
      </c>
      <c r="B828" s="5" t="s">
        <v>29</v>
      </c>
      <c r="C828" s="5" t="s">
        <v>16</v>
      </c>
      <c r="D828" s="5" t="s">
        <v>24</v>
      </c>
      <c r="E828" s="5" t="s">
        <v>37</v>
      </c>
      <c r="F828" s="2">
        <v>238</v>
      </c>
      <c r="G828" s="3">
        <v>254.61</v>
      </c>
      <c r="H828">
        <v>88</v>
      </c>
      <c r="I828">
        <f>IF(Table1[[#This Row],[Status]]= "Sufficient",
     Table1[[#This Row],[Stock_Quantity]] - Table1[[#This Row],[Reorder_Level]],
     0)</f>
        <v>150</v>
      </c>
      <c r="J828" s="4">
        <v>45271</v>
      </c>
      <c r="K828" s="5" t="s">
        <v>14</v>
      </c>
      <c r="L828">
        <f>YEAR(Table1[[#This Row],[Last_Restock_Date]])</f>
        <v>2023</v>
      </c>
      <c r="M828" t="str">
        <f>_xlfn.CONCAT(TEXT(Table1[[#This Row],[Last_Restock_Date]],"mmm"), "-", YEAR(Table1[[#This Row],[Last_Restock_Date]]))</f>
        <v>Dec-2023</v>
      </c>
      <c r="N828">
        <f>MONTH(Table1[[#This Row],[Last_Restock_Date]])</f>
        <v>12</v>
      </c>
      <c r="O828" t="str" cm="1">
        <f t="array" ref="O828">_xlfn.SWITCH(Table1[[#This Row],[Month_Number]],
    1,"Q1",2,"Q1",3,"Q1",
    4,"Q2",5,"Q2",6,"Q2",
    7,"Q3",8,"Q3",9,"Q3",
    10,"Q4",11,"Q4",12,"Q4",
    "Invalid Month"
)</f>
        <v>Q4</v>
      </c>
      <c r="P828" t="str">
        <f>TEXT(Table1[[#This Row],[Last_Restock_Date]],"mmm")</f>
        <v>Dec</v>
      </c>
    </row>
    <row r="829" spans="1:16" x14ac:dyDescent="0.25">
      <c r="A829">
        <v>828</v>
      </c>
      <c r="B829" s="5" t="s">
        <v>44</v>
      </c>
      <c r="C829" s="5" t="s">
        <v>34</v>
      </c>
      <c r="D829" s="5" t="s">
        <v>17</v>
      </c>
      <c r="E829" s="5" t="s">
        <v>32</v>
      </c>
      <c r="F829" s="2">
        <v>170</v>
      </c>
      <c r="G829" s="3">
        <v>277.35000000000002</v>
      </c>
      <c r="H829">
        <v>125</v>
      </c>
      <c r="I829">
        <f>IF(Table1[[#This Row],[Status]]= "Sufficient",
     Table1[[#This Row],[Stock_Quantity]] - Table1[[#This Row],[Reorder_Level]],
     0)</f>
        <v>45</v>
      </c>
      <c r="J829" s="4">
        <v>45906</v>
      </c>
      <c r="K829" s="5" t="s">
        <v>14</v>
      </c>
      <c r="L829">
        <f>YEAR(Table1[[#This Row],[Last_Restock_Date]])</f>
        <v>2025</v>
      </c>
      <c r="M829" t="str">
        <f>_xlfn.CONCAT(TEXT(Table1[[#This Row],[Last_Restock_Date]],"mmm"), "-", YEAR(Table1[[#This Row],[Last_Restock_Date]]))</f>
        <v>Sep-2025</v>
      </c>
      <c r="N829">
        <f>MONTH(Table1[[#This Row],[Last_Restock_Date]])</f>
        <v>9</v>
      </c>
      <c r="O829" t="str" cm="1">
        <f t="array" ref="O829">_xlfn.SWITCH(Table1[[#This Row],[Month_Number]],
    1,"Q1",2,"Q1",3,"Q1",
    4,"Q2",5,"Q2",6,"Q2",
    7,"Q3",8,"Q3",9,"Q3",
    10,"Q4",11,"Q4",12,"Q4",
    "Invalid Month"
)</f>
        <v>Q3</v>
      </c>
      <c r="P829" t="str">
        <f>TEXT(Table1[[#This Row],[Last_Restock_Date]],"mmm")</f>
        <v>Sep</v>
      </c>
    </row>
    <row r="830" spans="1:16" x14ac:dyDescent="0.25">
      <c r="A830">
        <v>829</v>
      </c>
      <c r="B830" s="5" t="s">
        <v>44</v>
      </c>
      <c r="C830" s="5" t="s">
        <v>34</v>
      </c>
      <c r="D830" s="5" t="s">
        <v>17</v>
      </c>
      <c r="E830" s="5" t="s">
        <v>18</v>
      </c>
      <c r="F830" s="2">
        <v>272</v>
      </c>
      <c r="G830" s="3">
        <v>57.49</v>
      </c>
      <c r="H830">
        <v>132</v>
      </c>
      <c r="I830">
        <f>IF(Table1[[#This Row],[Status]]= "Sufficient",
     Table1[[#This Row],[Stock_Quantity]] - Table1[[#This Row],[Reorder_Level]],
     0)</f>
        <v>140</v>
      </c>
      <c r="J830" s="4">
        <v>45352</v>
      </c>
      <c r="K830" s="5" t="s">
        <v>14</v>
      </c>
      <c r="L830">
        <f>YEAR(Table1[[#This Row],[Last_Restock_Date]])</f>
        <v>2024</v>
      </c>
      <c r="M830" t="str">
        <f>_xlfn.CONCAT(TEXT(Table1[[#This Row],[Last_Restock_Date]],"mmm"), "-", YEAR(Table1[[#This Row],[Last_Restock_Date]]))</f>
        <v>Mar-2024</v>
      </c>
      <c r="N830">
        <f>MONTH(Table1[[#This Row],[Last_Restock_Date]])</f>
        <v>3</v>
      </c>
      <c r="O830" t="str" cm="1">
        <f t="array" ref="O830">_xlfn.SWITCH(Table1[[#This Row],[Month_Number]],
    1,"Q1",2,"Q1",3,"Q1",
    4,"Q2",5,"Q2",6,"Q2",
    7,"Q3",8,"Q3",9,"Q3",
    10,"Q4",11,"Q4",12,"Q4",
    "Invalid Month"
)</f>
        <v>Q1</v>
      </c>
      <c r="P830" t="str">
        <f>TEXT(Table1[[#This Row],[Last_Restock_Date]],"mmm")</f>
        <v>Mar</v>
      </c>
    </row>
    <row r="831" spans="1:16" x14ac:dyDescent="0.25">
      <c r="A831">
        <v>830</v>
      </c>
      <c r="B831" s="5" t="s">
        <v>19</v>
      </c>
      <c r="C831" s="5" t="s">
        <v>20</v>
      </c>
      <c r="D831" s="5" t="s">
        <v>12</v>
      </c>
      <c r="E831" s="5" t="s">
        <v>13</v>
      </c>
      <c r="F831" s="2">
        <v>292</v>
      </c>
      <c r="G831" s="3">
        <v>767.72</v>
      </c>
      <c r="H831">
        <v>82</v>
      </c>
      <c r="I831">
        <f>IF(Table1[[#This Row],[Status]]= "Sufficient",
     Table1[[#This Row],[Stock_Quantity]] - Table1[[#This Row],[Reorder_Level]],
     0)</f>
        <v>210</v>
      </c>
      <c r="J831" s="4">
        <v>45298</v>
      </c>
      <c r="K831" s="5" t="s">
        <v>14</v>
      </c>
      <c r="L831">
        <f>YEAR(Table1[[#This Row],[Last_Restock_Date]])</f>
        <v>2024</v>
      </c>
      <c r="M831" t="str">
        <f>_xlfn.CONCAT(TEXT(Table1[[#This Row],[Last_Restock_Date]],"mmm"), "-", YEAR(Table1[[#This Row],[Last_Restock_Date]]))</f>
        <v>Jan-2024</v>
      </c>
      <c r="N831">
        <f>MONTH(Table1[[#This Row],[Last_Restock_Date]])</f>
        <v>1</v>
      </c>
      <c r="O831" t="str" cm="1">
        <f t="array" ref="O831">_xlfn.SWITCH(Table1[[#This Row],[Month_Number]],
    1,"Q1",2,"Q1",3,"Q1",
    4,"Q2",5,"Q2",6,"Q2",
    7,"Q3",8,"Q3",9,"Q3",
    10,"Q4",11,"Q4",12,"Q4",
    "Invalid Month"
)</f>
        <v>Q1</v>
      </c>
      <c r="P831" t="str">
        <f>TEXT(Table1[[#This Row],[Last_Restock_Date]],"mmm")</f>
        <v>Jan</v>
      </c>
    </row>
    <row r="832" spans="1:16" x14ac:dyDescent="0.25">
      <c r="A832">
        <v>831</v>
      </c>
      <c r="B832" s="5" t="s">
        <v>22</v>
      </c>
      <c r="C832" s="5" t="s">
        <v>11</v>
      </c>
      <c r="D832" s="5" t="s">
        <v>17</v>
      </c>
      <c r="E832" s="5" t="s">
        <v>13</v>
      </c>
      <c r="F832" s="2">
        <v>236</v>
      </c>
      <c r="G832" s="3">
        <v>95.33</v>
      </c>
      <c r="H832">
        <v>62</v>
      </c>
      <c r="I832">
        <f>IF(Table1[[#This Row],[Status]]= "Sufficient",
     Table1[[#This Row],[Stock_Quantity]] - Table1[[#This Row],[Reorder_Level]],
     0)</f>
        <v>174</v>
      </c>
      <c r="J832" s="4">
        <v>45522</v>
      </c>
      <c r="K832" s="5" t="s">
        <v>14</v>
      </c>
      <c r="L832">
        <f>YEAR(Table1[[#This Row],[Last_Restock_Date]])</f>
        <v>2024</v>
      </c>
      <c r="M832" t="str">
        <f>_xlfn.CONCAT(TEXT(Table1[[#This Row],[Last_Restock_Date]],"mmm"), "-", YEAR(Table1[[#This Row],[Last_Restock_Date]]))</f>
        <v>Aug-2024</v>
      </c>
      <c r="N832">
        <f>MONTH(Table1[[#This Row],[Last_Restock_Date]])</f>
        <v>8</v>
      </c>
      <c r="O832" t="str" cm="1">
        <f t="array" ref="O832">_xlfn.SWITCH(Table1[[#This Row],[Month_Number]],
    1,"Q1",2,"Q1",3,"Q1",
    4,"Q2",5,"Q2",6,"Q2",
    7,"Q3",8,"Q3",9,"Q3",
    10,"Q4",11,"Q4",12,"Q4",
    "Invalid Month"
)</f>
        <v>Q3</v>
      </c>
      <c r="P832" t="str">
        <f>TEXT(Table1[[#This Row],[Last_Restock_Date]],"mmm")</f>
        <v>Aug</v>
      </c>
    </row>
    <row r="833" spans="1:16" x14ac:dyDescent="0.25">
      <c r="A833">
        <v>832</v>
      </c>
      <c r="B833" s="5" t="s">
        <v>49</v>
      </c>
      <c r="C833" s="5" t="s">
        <v>16</v>
      </c>
      <c r="D833" s="5" t="s">
        <v>12</v>
      </c>
      <c r="E833" s="5" t="s">
        <v>18</v>
      </c>
      <c r="F833" s="2">
        <v>170</v>
      </c>
      <c r="G833" s="3">
        <v>28.12</v>
      </c>
      <c r="H833">
        <v>87</v>
      </c>
      <c r="I833">
        <f>IF(Table1[[#This Row],[Status]]= "Sufficient",
     Table1[[#This Row],[Stock_Quantity]] - Table1[[#This Row],[Reorder_Level]],
     0)</f>
        <v>83</v>
      </c>
      <c r="J833" s="4">
        <v>45021</v>
      </c>
      <c r="K833" s="5" t="s">
        <v>14</v>
      </c>
      <c r="L833">
        <f>YEAR(Table1[[#This Row],[Last_Restock_Date]])</f>
        <v>2023</v>
      </c>
      <c r="M833" t="str">
        <f>_xlfn.CONCAT(TEXT(Table1[[#This Row],[Last_Restock_Date]],"mmm"), "-", YEAR(Table1[[#This Row],[Last_Restock_Date]]))</f>
        <v>Apr-2023</v>
      </c>
      <c r="N833">
        <f>MONTH(Table1[[#This Row],[Last_Restock_Date]])</f>
        <v>4</v>
      </c>
      <c r="O833" t="str" cm="1">
        <f t="array" ref="O833">_xlfn.SWITCH(Table1[[#This Row],[Month_Number]],
    1,"Q1",2,"Q1",3,"Q1",
    4,"Q2",5,"Q2",6,"Q2",
    7,"Q3",8,"Q3",9,"Q3",
    10,"Q4",11,"Q4",12,"Q4",
    "Invalid Month"
)</f>
        <v>Q2</v>
      </c>
      <c r="P833" t="str">
        <f>TEXT(Table1[[#This Row],[Last_Restock_Date]],"mmm")</f>
        <v>Apr</v>
      </c>
    </row>
    <row r="834" spans="1:16" x14ac:dyDescent="0.25">
      <c r="A834">
        <v>833</v>
      </c>
      <c r="B834" s="5" t="s">
        <v>35</v>
      </c>
      <c r="C834" s="5" t="s">
        <v>11</v>
      </c>
      <c r="D834" s="5" t="s">
        <v>12</v>
      </c>
      <c r="E834" s="5" t="s">
        <v>37</v>
      </c>
      <c r="F834" s="2">
        <v>335</v>
      </c>
      <c r="G834" s="3">
        <v>674.06</v>
      </c>
      <c r="H834">
        <v>146</v>
      </c>
      <c r="I834">
        <f>IF(Table1[[#This Row],[Status]]= "Sufficient",
     Table1[[#This Row],[Stock_Quantity]] - Table1[[#This Row],[Reorder_Level]],
     0)</f>
        <v>189</v>
      </c>
      <c r="J834" s="4">
        <v>45389</v>
      </c>
      <c r="K834" s="5" t="s">
        <v>14</v>
      </c>
      <c r="L834">
        <f>YEAR(Table1[[#This Row],[Last_Restock_Date]])</f>
        <v>2024</v>
      </c>
      <c r="M834" t="str">
        <f>_xlfn.CONCAT(TEXT(Table1[[#This Row],[Last_Restock_Date]],"mmm"), "-", YEAR(Table1[[#This Row],[Last_Restock_Date]]))</f>
        <v>Apr-2024</v>
      </c>
      <c r="N834">
        <f>MONTH(Table1[[#This Row],[Last_Restock_Date]])</f>
        <v>4</v>
      </c>
      <c r="O834" t="str" cm="1">
        <f t="array" ref="O834">_xlfn.SWITCH(Table1[[#This Row],[Month_Number]],
    1,"Q1",2,"Q1",3,"Q1",
    4,"Q2",5,"Q2",6,"Q2",
    7,"Q3",8,"Q3",9,"Q3",
    10,"Q4",11,"Q4",12,"Q4",
    "Invalid Month"
)</f>
        <v>Q2</v>
      </c>
      <c r="P834" t="str">
        <f>TEXT(Table1[[#This Row],[Last_Restock_Date]],"mmm")</f>
        <v>Apr</v>
      </c>
    </row>
    <row r="835" spans="1:16" x14ac:dyDescent="0.25">
      <c r="A835">
        <v>834</v>
      </c>
      <c r="B835" s="5" t="s">
        <v>46</v>
      </c>
      <c r="C835" s="5" t="s">
        <v>34</v>
      </c>
      <c r="D835" s="5" t="s">
        <v>17</v>
      </c>
      <c r="E835" s="5" t="s">
        <v>37</v>
      </c>
      <c r="F835" s="2">
        <v>252</v>
      </c>
      <c r="G835" s="3">
        <v>150.11000000000001</v>
      </c>
      <c r="H835">
        <v>111</v>
      </c>
      <c r="I835">
        <f>IF(Table1[[#This Row],[Status]]= "Sufficient",
     Table1[[#This Row],[Stock_Quantity]] - Table1[[#This Row],[Reorder_Level]],
     0)</f>
        <v>141</v>
      </c>
      <c r="J835" s="4">
        <v>45284</v>
      </c>
      <c r="K835" s="5" t="s">
        <v>14</v>
      </c>
      <c r="L835">
        <f>YEAR(Table1[[#This Row],[Last_Restock_Date]])</f>
        <v>2023</v>
      </c>
      <c r="M835" t="str">
        <f>_xlfn.CONCAT(TEXT(Table1[[#This Row],[Last_Restock_Date]],"mmm"), "-", YEAR(Table1[[#This Row],[Last_Restock_Date]]))</f>
        <v>Dec-2023</v>
      </c>
      <c r="N835">
        <f>MONTH(Table1[[#This Row],[Last_Restock_Date]])</f>
        <v>12</v>
      </c>
      <c r="O835" t="str" cm="1">
        <f t="array" ref="O835">_xlfn.SWITCH(Table1[[#This Row],[Month_Number]],
    1,"Q1",2,"Q1",3,"Q1",
    4,"Q2",5,"Q2",6,"Q2",
    7,"Q3",8,"Q3",9,"Q3",
    10,"Q4",11,"Q4",12,"Q4",
    "Invalid Month"
)</f>
        <v>Q4</v>
      </c>
      <c r="P835" t="str">
        <f>TEXT(Table1[[#This Row],[Last_Restock_Date]],"mmm")</f>
        <v>Dec</v>
      </c>
    </row>
    <row r="836" spans="1:16" x14ac:dyDescent="0.25">
      <c r="A836">
        <v>835</v>
      </c>
      <c r="B836" s="5" t="s">
        <v>46</v>
      </c>
      <c r="C836" s="5" t="s">
        <v>34</v>
      </c>
      <c r="D836" s="5" t="s">
        <v>12</v>
      </c>
      <c r="E836" s="5" t="s">
        <v>37</v>
      </c>
      <c r="F836" s="2">
        <v>260</v>
      </c>
      <c r="G836" s="3">
        <v>577.49</v>
      </c>
      <c r="H836">
        <v>53</v>
      </c>
      <c r="I836">
        <f>IF(Table1[[#This Row],[Status]]= "Sufficient",
     Table1[[#This Row],[Stock_Quantity]] - Table1[[#This Row],[Reorder_Level]],
     0)</f>
        <v>207</v>
      </c>
      <c r="J836" s="4">
        <v>45058</v>
      </c>
      <c r="K836" s="5" t="s">
        <v>14</v>
      </c>
      <c r="L836">
        <f>YEAR(Table1[[#This Row],[Last_Restock_Date]])</f>
        <v>2023</v>
      </c>
      <c r="M836" t="str">
        <f>_xlfn.CONCAT(TEXT(Table1[[#This Row],[Last_Restock_Date]],"mmm"), "-", YEAR(Table1[[#This Row],[Last_Restock_Date]]))</f>
        <v>May-2023</v>
      </c>
      <c r="N836">
        <f>MONTH(Table1[[#This Row],[Last_Restock_Date]])</f>
        <v>5</v>
      </c>
      <c r="O836" t="str" cm="1">
        <f t="array" ref="O836">_xlfn.SWITCH(Table1[[#This Row],[Month_Number]],
    1,"Q1",2,"Q1",3,"Q1",
    4,"Q2",5,"Q2",6,"Q2",
    7,"Q3",8,"Q3",9,"Q3",
    10,"Q4",11,"Q4",12,"Q4",
    "Invalid Month"
)</f>
        <v>Q2</v>
      </c>
      <c r="P836" t="str">
        <f>TEXT(Table1[[#This Row],[Last_Restock_Date]],"mmm")</f>
        <v>May</v>
      </c>
    </row>
    <row r="837" spans="1:16" x14ac:dyDescent="0.25">
      <c r="A837">
        <v>836</v>
      </c>
      <c r="B837" s="5" t="s">
        <v>44</v>
      </c>
      <c r="C837" s="5" t="s">
        <v>34</v>
      </c>
      <c r="D837" s="5" t="s">
        <v>17</v>
      </c>
      <c r="E837" s="5" t="s">
        <v>32</v>
      </c>
      <c r="F837" s="2">
        <v>305</v>
      </c>
      <c r="G837" s="3">
        <v>133.69999999999999</v>
      </c>
      <c r="H837">
        <v>91</v>
      </c>
      <c r="I837">
        <f>IF(Table1[[#This Row],[Status]]= "Sufficient",
     Table1[[#This Row],[Stock_Quantity]] - Table1[[#This Row],[Reorder_Level]],
     0)</f>
        <v>214</v>
      </c>
      <c r="J837" s="4">
        <v>45604</v>
      </c>
      <c r="K837" s="5" t="s">
        <v>14</v>
      </c>
      <c r="L837">
        <f>YEAR(Table1[[#This Row],[Last_Restock_Date]])</f>
        <v>2024</v>
      </c>
      <c r="M837" t="str">
        <f>_xlfn.CONCAT(TEXT(Table1[[#This Row],[Last_Restock_Date]],"mmm"), "-", YEAR(Table1[[#This Row],[Last_Restock_Date]]))</f>
        <v>Nov-2024</v>
      </c>
      <c r="N837">
        <f>MONTH(Table1[[#This Row],[Last_Restock_Date]])</f>
        <v>11</v>
      </c>
      <c r="O837" t="str" cm="1">
        <f t="array" ref="O837">_xlfn.SWITCH(Table1[[#This Row],[Month_Number]],
    1,"Q1",2,"Q1",3,"Q1",
    4,"Q2",5,"Q2",6,"Q2",
    7,"Q3",8,"Q3",9,"Q3",
    10,"Q4",11,"Q4",12,"Q4",
    "Invalid Month"
)</f>
        <v>Q4</v>
      </c>
      <c r="P837" t="str">
        <f>TEXT(Table1[[#This Row],[Last_Restock_Date]],"mmm")</f>
        <v>Nov</v>
      </c>
    </row>
    <row r="838" spans="1:16" x14ac:dyDescent="0.25">
      <c r="A838">
        <v>837</v>
      </c>
      <c r="B838" s="5" t="s">
        <v>49</v>
      </c>
      <c r="C838" s="5" t="s">
        <v>16</v>
      </c>
      <c r="D838" s="5" t="s">
        <v>17</v>
      </c>
      <c r="E838" s="5" t="s">
        <v>32</v>
      </c>
      <c r="F838" s="2">
        <v>115</v>
      </c>
      <c r="G838" s="3">
        <v>32.840000000000003</v>
      </c>
      <c r="H838">
        <v>76</v>
      </c>
      <c r="I838">
        <f>IF(Table1[[#This Row],[Status]]= "Sufficient",
     Table1[[#This Row],[Stock_Quantity]] - Table1[[#This Row],[Reorder_Level]],
     0)</f>
        <v>39</v>
      </c>
      <c r="J838" s="4">
        <v>44948</v>
      </c>
      <c r="K838" s="5" t="s">
        <v>14</v>
      </c>
      <c r="L838">
        <f>YEAR(Table1[[#This Row],[Last_Restock_Date]])</f>
        <v>2023</v>
      </c>
      <c r="M838" t="str">
        <f>_xlfn.CONCAT(TEXT(Table1[[#This Row],[Last_Restock_Date]],"mmm"), "-", YEAR(Table1[[#This Row],[Last_Restock_Date]]))</f>
        <v>Jan-2023</v>
      </c>
      <c r="N838">
        <f>MONTH(Table1[[#This Row],[Last_Restock_Date]])</f>
        <v>1</v>
      </c>
      <c r="O838" t="str" cm="1">
        <f t="array" ref="O838">_xlfn.SWITCH(Table1[[#This Row],[Month_Number]],
    1,"Q1",2,"Q1",3,"Q1",
    4,"Q2",5,"Q2",6,"Q2",
    7,"Q3",8,"Q3",9,"Q3",
    10,"Q4",11,"Q4",12,"Q4",
    "Invalid Month"
)</f>
        <v>Q1</v>
      </c>
      <c r="P838" t="str">
        <f>TEXT(Table1[[#This Row],[Last_Restock_Date]],"mmm")</f>
        <v>Jan</v>
      </c>
    </row>
    <row r="839" spans="1:16" x14ac:dyDescent="0.25">
      <c r="A839">
        <v>838</v>
      </c>
      <c r="B839" s="5" t="s">
        <v>36</v>
      </c>
      <c r="C839" s="5" t="s">
        <v>11</v>
      </c>
      <c r="D839" s="5" t="s">
        <v>24</v>
      </c>
      <c r="E839" s="5" t="s">
        <v>13</v>
      </c>
      <c r="F839" s="2">
        <v>168</v>
      </c>
      <c r="G839" s="3">
        <v>319.70999999999998</v>
      </c>
      <c r="H839">
        <v>72</v>
      </c>
      <c r="I839">
        <f>IF(Table1[[#This Row],[Status]]= "Sufficient",
     Table1[[#This Row],[Stock_Quantity]] - Table1[[#This Row],[Reorder_Level]],
     0)</f>
        <v>96</v>
      </c>
      <c r="J839" s="4">
        <v>45181</v>
      </c>
      <c r="K839" s="5" t="s">
        <v>14</v>
      </c>
      <c r="L839">
        <f>YEAR(Table1[[#This Row],[Last_Restock_Date]])</f>
        <v>2023</v>
      </c>
      <c r="M839" t="str">
        <f>_xlfn.CONCAT(TEXT(Table1[[#This Row],[Last_Restock_Date]],"mmm"), "-", YEAR(Table1[[#This Row],[Last_Restock_Date]]))</f>
        <v>Sep-2023</v>
      </c>
      <c r="N839">
        <f>MONTH(Table1[[#This Row],[Last_Restock_Date]])</f>
        <v>9</v>
      </c>
      <c r="O839" t="str" cm="1">
        <f t="array" ref="O839">_xlfn.SWITCH(Table1[[#This Row],[Month_Number]],
    1,"Q1",2,"Q1",3,"Q1",
    4,"Q2",5,"Q2",6,"Q2",
    7,"Q3",8,"Q3",9,"Q3",
    10,"Q4",11,"Q4",12,"Q4",
    "Invalid Month"
)</f>
        <v>Q3</v>
      </c>
      <c r="P839" t="str">
        <f>TEXT(Table1[[#This Row],[Last_Restock_Date]],"mmm")</f>
        <v>Sep</v>
      </c>
    </row>
    <row r="840" spans="1:16" x14ac:dyDescent="0.25">
      <c r="A840">
        <v>839</v>
      </c>
      <c r="B840" s="5" t="s">
        <v>42</v>
      </c>
      <c r="C840" s="5" t="s">
        <v>16</v>
      </c>
      <c r="D840" s="5" t="s">
        <v>24</v>
      </c>
      <c r="E840" s="5" t="s">
        <v>39</v>
      </c>
      <c r="F840" s="2">
        <v>440</v>
      </c>
      <c r="G840" s="3">
        <v>519.26</v>
      </c>
      <c r="H840">
        <v>83</v>
      </c>
      <c r="I840">
        <f>IF(Table1[[#This Row],[Status]]= "Sufficient",
     Table1[[#This Row],[Stock_Quantity]] - Table1[[#This Row],[Reorder_Level]],
     0)</f>
        <v>357</v>
      </c>
      <c r="J840" s="4">
        <v>45670</v>
      </c>
      <c r="K840" s="5" t="s">
        <v>14</v>
      </c>
      <c r="L840">
        <f>YEAR(Table1[[#This Row],[Last_Restock_Date]])</f>
        <v>2025</v>
      </c>
      <c r="M840" t="str">
        <f>_xlfn.CONCAT(TEXT(Table1[[#This Row],[Last_Restock_Date]],"mmm"), "-", YEAR(Table1[[#This Row],[Last_Restock_Date]]))</f>
        <v>Jan-2025</v>
      </c>
      <c r="N840">
        <f>MONTH(Table1[[#This Row],[Last_Restock_Date]])</f>
        <v>1</v>
      </c>
      <c r="O840" t="str" cm="1">
        <f t="array" ref="O840">_xlfn.SWITCH(Table1[[#This Row],[Month_Number]],
    1,"Q1",2,"Q1",3,"Q1",
    4,"Q2",5,"Q2",6,"Q2",
    7,"Q3",8,"Q3",9,"Q3",
    10,"Q4",11,"Q4",12,"Q4",
    "Invalid Month"
)</f>
        <v>Q1</v>
      </c>
      <c r="P840" t="str">
        <f>TEXT(Table1[[#This Row],[Last_Restock_Date]],"mmm")</f>
        <v>Jan</v>
      </c>
    </row>
    <row r="841" spans="1:16" x14ac:dyDescent="0.25">
      <c r="A841">
        <v>840</v>
      </c>
      <c r="B841" s="5" t="s">
        <v>10</v>
      </c>
      <c r="C841" s="5" t="s">
        <v>11</v>
      </c>
      <c r="D841" s="5" t="s">
        <v>21</v>
      </c>
      <c r="E841" s="5" t="s">
        <v>13</v>
      </c>
      <c r="F841" s="2">
        <v>323</v>
      </c>
      <c r="G841" s="3">
        <v>448.87</v>
      </c>
      <c r="H841">
        <v>134</v>
      </c>
      <c r="I841">
        <f>IF(Table1[[#This Row],[Status]]= "Sufficient",
     Table1[[#This Row],[Stock_Quantity]] - Table1[[#This Row],[Reorder_Level]],
     0)</f>
        <v>189</v>
      </c>
      <c r="J841" s="4">
        <v>44971</v>
      </c>
      <c r="K841" s="5" t="s">
        <v>14</v>
      </c>
      <c r="L841">
        <f>YEAR(Table1[[#This Row],[Last_Restock_Date]])</f>
        <v>2023</v>
      </c>
      <c r="M841" t="str">
        <f>_xlfn.CONCAT(TEXT(Table1[[#This Row],[Last_Restock_Date]],"mmm"), "-", YEAR(Table1[[#This Row],[Last_Restock_Date]]))</f>
        <v>Feb-2023</v>
      </c>
      <c r="N841">
        <f>MONTH(Table1[[#This Row],[Last_Restock_Date]])</f>
        <v>2</v>
      </c>
      <c r="O841" t="str" cm="1">
        <f t="array" ref="O841">_xlfn.SWITCH(Table1[[#This Row],[Month_Number]],
    1,"Q1",2,"Q1",3,"Q1",
    4,"Q2",5,"Q2",6,"Q2",
    7,"Q3",8,"Q3",9,"Q3",
    10,"Q4",11,"Q4",12,"Q4",
    "Invalid Month"
)</f>
        <v>Q1</v>
      </c>
      <c r="P841" t="str">
        <f>TEXT(Table1[[#This Row],[Last_Restock_Date]],"mmm")</f>
        <v>Feb</v>
      </c>
    </row>
    <row r="842" spans="1:16" x14ac:dyDescent="0.25">
      <c r="A842">
        <v>841</v>
      </c>
      <c r="B842" s="5" t="s">
        <v>50</v>
      </c>
      <c r="C842" s="5" t="s">
        <v>34</v>
      </c>
      <c r="D842" s="5" t="s">
        <v>21</v>
      </c>
      <c r="E842" s="5" t="s">
        <v>32</v>
      </c>
      <c r="F842" s="2">
        <v>86</v>
      </c>
      <c r="G842" s="3">
        <v>375.67</v>
      </c>
      <c r="H842">
        <v>129</v>
      </c>
      <c r="I842">
        <f>IF(Table1[[#This Row],[Status]]= "Sufficient",
     Table1[[#This Row],[Stock_Quantity]] - Table1[[#This Row],[Reorder_Level]],
     0)</f>
        <v>0</v>
      </c>
      <c r="J842" s="4">
        <v>44998</v>
      </c>
      <c r="K842" s="5" t="s">
        <v>28</v>
      </c>
      <c r="L842">
        <f>YEAR(Table1[[#This Row],[Last_Restock_Date]])</f>
        <v>2023</v>
      </c>
      <c r="M842" t="str">
        <f>_xlfn.CONCAT(TEXT(Table1[[#This Row],[Last_Restock_Date]],"mmm"), "-", YEAR(Table1[[#This Row],[Last_Restock_Date]]))</f>
        <v>Mar-2023</v>
      </c>
      <c r="N842">
        <f>MONTH(Table1[[#This Row],[Last_Restock_Date]])</f>
        <v>3</v>
      </c>
      <c r="O842" t="str" cm="1">
        <f t="array" ref="O842">_xlfn.SWITCH(Table1[[#This Row],[Month_Number]],
    1,"Q1",2,"Q1",3,"Q1",
    4,"Q2",5,"Q2",6,"Q2",
    7,"Q3",8,"Q3",9,"Q3",
    10,"Q4",11,"Q4",12,"Q4",
    "Invalid Month"
)</f>
        <v>Q1</v>
      </c>
      <c r="P842" t="str">
        <f>TEXT(Table1[[#This Row],[Last_Restock_Date]],"mmm")</f>
        <v>Mar</v>
      </c>
    </row>
    <row r="843" spans="1:16" x14ac:dyDescent="0.25">
      <c r="A843">
        <v>842</v>
      </c>
      <c r="B843" s="5" t="s">
        <v>46</v>
      </c>
      <c r="C843" s="5" t="s">
        <v>34</v>
      </c>
      <c r="D843" s="5" t="s">
        <v>21</v>
      </c>
      <c r="E843" s="5" t="s">
        <v>39</v>
      </c>
      <c r="F843" s="2">
        <v>488</v>
      </c>
      <c r="G843" s="3">
        <v>148.01</v>
      </c>
      <c r="H843">
        <v>92</v>
      </c>
      <c r="I843">
        <f>IF(Table1[[#This Row],[Status]]= "Sufficient",
     Table1[[#This Row],[Stock_Quantity]] - Table1[[#This Row],[Reorder_Level]],
     0)</f>
        <v>396</v>
      </c>
      <c r="J843" s="4">
        <v>45746</v>
      </c>
      <c r="K843" s="5" t="s">
        <v>14</v>
      </c>
      <c r="L843">
        <f>YEAR(Table1[[#This Row],[Last_Restock_Date]])</f>
        <v>2025</v>
      </c>
      <c r="M843" t="str">
        <f>_xlfn.CONCAT(TEXT(Table1[[#This Row],[Last_Restock_Date]],"mmm"), "-", YEAR(Table1[[#This Row],[Last_Restock_Date]]))</f>
        <v>Mar-2025</v>
      </c>
      <c r="N843">
        <f>MONTH(Table1[[#This Row],[Last_Restock_Date]])</f>
        <v>3</v>
      </c>
      <c r="O843" t="str" cm="1">
        <f t="array" ref="O843">_xlfn.SWITCH(Table1[[#This Row],[Month_Number]],
    1,"Q1",2,"Q1",3,"Q1",
    4,"Q2",5,"Q2",6,"Q2",
    7,"Q3",8,"Q3",9,"Q3",
    10,"Q4",11,"Q4",12,"Q4",
    "Invalid Month"
)</f>
        <v>Q1</v>
      </c>
      <c r="P843" t="str">
        <f>TEXT(Table1[[#This Row],[Last_Restock_Date]],"mmm")</f>
        <v>Mar</v>
      </c>
    </row>
    <row r="844" spans="1:16" x14ac:dyDescent="0.25">
      <c r="A844">
        <v>843</v>
      </c>
      <c r="B844" s="5" t="s">
        <v>51</v>
      </c>
      <c r="C844" s="5" t="s">
        <v>11</v>
      </c>
      <c r="D844" s="5" t="s">
        <v>21</v>
      </c>
      <c r="E844" s="5" t="s">
        <v>39</v>
      </c>
      <c r="F844" s="2">
        <v>134</v>
      </c>
      <c r="G844" s="3">
        <v>629.66999999999996</v>
      </c>
      <c r="H844">
        <v>71</v>
      </c>
      <c r="I844">
        <f>IF(Table1[[#This Row],[Status]]= "Sufficient",
     Table1[[#This Row],[Stock_Quantity]] - Table1[[#This Row],[Reorder_Level]],
     0)</f>
        <v>63</v>
      </c>
      <c r="J844" s="4">
        <v>45947</v>
      </c>
      <c r="K844" s="5" t="s">
        <v>14</v>
      </c>
      <c r="L844">
        <f>YEAR(Table1[[#This Row],[Last_Restock_Date]])</f>
        <v>2025</v>
      </c>
      <c r="M844" t="str">
        <f>_xlfn.CONCAT(TEXT(Table1[[#This Row],[Last_Restock_Date]],"mmm"), "-", YEAR(Table1[[#This Row],[Last_Restock_Date]]))</f>
        <v>Oct-2025</v>
      </c>
      <c r="N844">
        <f>MONTH(Table1[[#This Row],[Last_Restock_Date]])</f>
        <v>10</v>
      </c>
      <c r="O844" t="str" cm="1">
        <f t="array" ref="O844">_xlfn.SWITCH(Table1[[#This Row],[Month_Number]],
    1,"Q1",2,"Q1",3,"Q1",
    4,"Q2",5,"Q2",6,"Q2",
    7,"Q3",8,"Q3",9,"Q3",
    10,"Q4",11,"Q4",12,"Q4",
    "Invalid Month"
)</f>
        <v>Q4</v>
      </c>
      <c r="P844" t="str">
        <f>TEXT(Table1[[#This Row],[Last_Restock_Date]],"mmm")</f>
        <v>Oct</v>
      </c>
    </row>
    <row r="845" spans="1:16" x14ac:dyDescent="0.25">
      <c r="A845">
        <v>844</v>
      </c>
      <c r="B845" s="5" t="s">
        <v>53</v>
      </c>
      <c r="C845" s="5" t="s">
        <v>26</v>
      </c>
      <c r="D845" s="5" t="s">
        <v>30</v>
      </c>
      <c r="E845" s="5" t="s">
        <v>32</v>
      </c>
      <c r="F845" s="2">
        <v>409</v>
      </c>
      <c r="G845" s="3">
        <v>757.67</v>
      </c>
      <c r="H845">
        <v>78</v>
      </c>
      <c r="I845">
        <f>IF(Table1[[#This Row],[Status]]= "Sufficient",
     Table1[[#This Row],[Stock_Quantity]] - Table1[[#This Row],[Reorder_Level]],
     0)</f>
        <v>331</v>
      </c>
      <c r="J845" s="4">
        <v>45051</v>
      </c>
      <c r="K845" s="5" t="s">
        <v>14</v>
      </c>
      <c r="L845">
        <f>YEAR(Table1[[#This Row],[Last_Restock_Date]])</f>
        <v>2023</v>
      </c>
      <c r="M845" t="str">
        <f>_xlfn.CONCAT(TEXT(Table1[[#This Row],[Last_Restock_Date]],"mmm"), "-", YEAR(Table1[[#This Row],[Last_Restock_Date]]))</f>
        <v>May-2023</v>
      </c>
      <c r="N845">
        <f>MONTH(Table1[[#This Row],[Last_Restock_Date]])</f>
        <v>5</v>
      </c>
      <c r="O845" t="str" cm="1">
        <f t="array" ref="O845">_xlfn.SWITCH(Table1[[#This Row],[Month_Number]],
    1,"Q1",2,"Q1",3,"Q1",
    4,"Q2",5,"Q2",6,"Q2",
    7,"Q3",8,"Q3",9,"Q3",
    10,"Q4",11,"Q4",12,"Q4",
    "Invalid Month"
)</f>
        <v>Q2</v>
      </c>
      <c r="P845" t="str">
        <f>TEXT(Table1[[#This Row],[Last_Restock_Date]],"mmm")</f>
        <v>May</v>
      </c>
    </row>
    <row r="846" spans="1:16" x14ac:dyDescent="0.25">
      <c r="A846">
        <v>845</v>
      </c>
      <c r="B846" s="5" t="s">
        <v>19</v>
      </c>
      <c r="C846" s="5" t="s">
        <v>20</v>
      </c>
      <c r="D846" s="5" t="s">
        <v>30</v>
      </c>
      <c r="E846" s="5" t="s">
        <v>13</v>
      </c>
      <c r="F846" s="2">
        <v>249</v>
      </c>
      <c r="G846" s="3">
        <v>121.6</v>
      </c>
      <c r="H846">
        <v>127</v>
      </c>
      <c r="I846">
        <f>IF(Table1[[#This Row],[Status]]= "Sufficient",
     Table1[[#This Row],[Stock_Quantity]] - Table1[[#This Row],[Reorder_Level]],
     0)</f>
        <v>122</v>
      </c>
      <c r="J846" s="4">
        <v>45414</v>
      </c>
      <c r="K846" s="5" t="s">
        <v>14</v>
      </c>
      <c r="L846">
        <f>YEAR(Table1[[#This Row],[Last_Restock_Date]])</f>
        <v>2024</v>
      </c>
      <c r="M846" t="str">
        <f>_xlfn.CONCAT(TEXT(Table1[[#This Row],[Last_Restock_Date]],"mmm"), "-", YEAR(Table1[[#This Row],[Last_Restock_Date]]))</f>
        <v>May-2024</v>
      </c>
      <c r="N846">
        <f>MONTH(Table1[[#This Row],[Last_Restock_Date]])</f>
        <v>5</v>
      </c>
      <c r="O846" t="str" cm="1">
        <f t="array" ref="O846">_xlfn.SWITCH(Table1[[#This Row],[Month_Number]],
    1,"Q1",2,"Q1",3,"Q1",
    4,"Q2",5,"Q2",6,"Q2",
    7,"Q3",8,"Q3",9,"Q3",
    10,"Q4",11,"Q4",12,"Q4",
    "Invalid Month"
)</f>
        <v>Q2</v>
      </c>
      <c r="P846" t="str">
        <f>TEXT(Table1[[#This Row],[Last_Restock_Date]],"mmm")</f>
        <v>May</v>
      </c>
    </row>
    <row r="847" spans="1:16" x14ac:dyDescent="0.25">
      <c r="A847">
        <v>846</v>
      </c>
      <c r="B847" s="5" t="s">
        <v>48</v>
      </c>
      <c r="C847" s="5" t="s">
        <v>20</v>
      </c>
      <c r="D847" s="5" t="s">
        <v>21</v>
      </c>
      <c r="E847" s="5" t="s">
        <v>37</v>
      </c>
      <c r="F847" s="2">
        <v>381</v>
      </c>
      <c r="G847" s="3">
        <v>569.88</v>
      </c>
      <c r="H847">
        <v>81</v>
      </c>
      <c r="I847">
        <f>IF(Table1[[#This Row],[Status]]= "Sufficient",
     Table1[[#This Row],[Stock_Quantity]] - Table1[[#This Row],[Reorder_Level]],
     0)</f>
        <v>300</v>
      </c>
      <c r="J847" s="4">
        <v>45763</v>
      </c>
      <c r="K847" s="5" t="s">
        <v>14</v>
      </c>
      <c r="L847">
        <f>YEAR(Table1[[#This Row],[Last_Restock_Date]])</f>
        <v>2025</v>
      </c>
      <c r="M847" t="str">
        <f>_xlfn.CONCAT(TEXT(Table1[[#This Row],[Last_Restock_Date]],"mmm"), "-", YEAR(Table1[[#This Row],[Last_Restock_Date]]))</f>
        <v>Apr-2025</v>
      </c>
      <c r="N847">
        <f>MONTH(Table1[[#This Row],[Last_Restock_Date]])</f>
        <v>4</v>
      </c>
      <c r="O847" t="str" cm="1">
        <f t="array" ref="O847">_xlfn.SWITCH(Table1[[#This Row],[Month_Number]],
    1,"Q1",2,"Q1",3,"Q1",
    4,"Q2",5,"Q2",6,"Q2",
    7,"Q3",8,"Q3",9,"Q3",
    10,"Q4",11,"Q4",12,"Q4",
    "Invalid Month"
)</f>
        <v>Q2</v>
      </c>
      <c r="P847" t="str">
        <f>TEXT(Table1[[#This Row],[Last_Restock_Date]],"mmm")</f>
        <v>Apr</v>
      </c>
    </row>
    <row r="848" spans="1:16" x14ac:dyDescent="0.25">
      <c r="A848">
        <v>847</v>
      </c>
      <c r="B848" s="5" t="s">
        <v>47</v>
      </c>
      <c r="C848" s="5" t="s">
        <v>20</v>
      </c>
      <c r="D848" s="5" t="s">
        <v>30</v>
      </c>
      <c r="E848" s="5" t="s">
        <v>37</v>
      </c>
      <c r="F848" s="2">
        <v>97</v>
      </c>
      <c r="G848" s="3">
        <v>265</v>
      </c>
      <c r="H848">
        <v>91</v>
      </c>
      <c r="I848">
        <f>IF(Table1[[#This Row],[Status]]= "Sufficient",
     Table1[[#This Row],[Stock_Quantity]] - Table1[[#This Row],[Reorder_Level]],
     0)</f>
        <v>6</v>
      </c>
      <c r="J848" s="4">
        <v>45555</v>
      </c>
      <c r="K848" s="5" t="s">
        <v>14</v>
      </c>
      <c r="L848">
        <f>YEAR(Table1[[#This Row],[Last_Restock_Date]])</f>
        <v>2024</v>
      </c>
      <c r="M848" t="str">
        <f>_xlfn.CONCAT(TEXT(Table1[[#This Row],[Last_Restock_Date]],"mmm"), "-", YEAR(Table1[[#This Row],[Last_Restock_Date]]))</f>
        <v>Sep-2024</v>
      </c>
      <c r="N848">
        <f>MONTH(Table1[[#This Row],[Last_Restock_Date]])</f>
        <v>9</v>
      </c>
      <c r="O848" t="str" cm="1">
        <f t="array" ref="O848">_xlfn.SWITCH(Table1[[#This Row],[Month_Number]],
    1,"Q1",2,"Q1",3,"Q1",
    4,"Q2",5,"Q2",6,"Q2",
    7,"Q3",8,"Q3",9,"Q3",
    10,"Q4",11,"Q4",12,"Q4",
    "Invalid Month"
)</f>
        <v>Q3</v>
      </c>
      <c r="P848" t="str">
        <f>TEXT(Table1[[#This Row],[Last_Restock_Date]],"mmm")</f>
        <v>Sep</v>
      </c>
    </row>
    <row r="849" spans="1:16" x14ac:dyDescent="0.25">
      <c r="A849">
        <v>848</v>
      </c>
      <c r="B849" s="5" t="s">
        <v>40</v>
      </c>
      <c r="C849" s="5" t="s">
        <v>34</v>
      </c>
      <c r="D849" s="5" t="s">
        <v>30</v>
      </c>
      <c r="E849" s="5" t="s">
        <v>13</v>
      </c>
      <c r="F849" s="2">
        <v>404</v>
      </c>
      <c r="G849" s="3">
        <v>724.72</v>
      </c>
      <c r="H849">
        <v>58</v>
      </c>
      <c r="I849">
        <f>IF(Table1[[#This Row],[Status]]= "Sufficient",
     Table1[[#This Row],[Stock_Quantity]] - Table1[[#This Row],[Reorder_Level]],
     0)</f>
        <v>346</v>
      </c>
      <c r="J849" s="4">
        <v>45353</v>
      </c>
      <c r="K849" s="5" t="s">
        <v>14</v>
      </c>
      <c r="L849">
        <f>YEAR(Table1[[#This Row],[Last_Restock_Date]])</f>
        <v>2024</v>
      </c>
      <c r="M849" t="str">
        <f>_xlfn.CONCAT(TEXT(Table1[[#This Row],[Last_Restock_Date]],"mmm"), "-", YEAR(Table1[[#This Row],[Last_Restock_Date]]))</f>
        <v>Mar-2024</v>
      </c>
      <c r="N849">
        <f>MONTH(Table1[[#This Row],[Last_Restock_Date]])</f>
        <v>3</v>
      </c>
      <c r="O849" t="str" cm="1">
        <f t="array" ref="O849">_xlfn.SWITCH(Table1[[#This Row],[Month_Number]],
    1,"Q1",2,"Q1",3,"Q1",
    4,"Q2",5,"Q2",6,"Q2",
    7,"Q3",8,"Q3",9,"Q3",
    10,"Q4",11,"Q4",12,"Q4",
    "Invalid Month"
)</f>
        <v>Q1</v>
      </c>
      <c r="P849" t="str">
        <f>TEXT(Table1[[#This Row],[Last_Restock_Date]],"mmm")</f>
        <v>Mar</v>
      </c>
    </row>
    <row r="850" spans="1:16" x14ac:dyDescent="0.25">
      <c r="A850">
        <v>849</v>
      </c>
      <c r="B850" s="5" t="s">
        <v>31</v>
      </c>
      <c r="C850" s="5" t="s">
        <v>20</v>
      </c>
      <c r="D850" s="5" t="s">
        <v>24</v>
      </c>
      <c r="E850" s="5" t="s">
        <v>37</v>
      </c>
      <c r="F850" s="2">
        <v>190</v>
      </c>
      <c r="G850" s="3">
        <v>430.08</v>
      </c>
      <c r="H850">
        <v>150</v>
      </c>
      <c r="I850">
        <f>IF(Table1[[#This Row],[Status]]= "Sufficient",
     Table1[[#This Row],[Stock_Quantity]] - Table1[[#This Row],[Reorder_Level]],
     0)</f>
        <v>40</v>
      </c>
      <c r="J850" s="4">
        <v>45076</v>
      </c>
      <c r="K850" s="5" t="s">
        <v>14</v>
      </c>
      <c r="L850">
        <f>YEAR(Table1[[#This Row],[Last_Restock_Date]])</f>
        <v>2023</v>
      </c>
      <c r="M850" t="str">
        <f>_xlfn.CONCAT(TEXT(Table1[[#This Row],[Last_Restock_Date]],"mmm"), "-", YEAR(Table1[[#This Row],[Last_Restock_Date]]))</f>
        <v>May-2023</v>
      </c>
      <c r="N850">
        <f>MONTH(Table1[[#This Row],[Last_Restock_Date]])</f>
        <v>5</v>
      </c>
      <c r="O850" t="str" cm="1">
        <f t="array" ref="O850">_xlfn.SWITCH(Table1[[#This Row],[Month_Number]],
    1,"Q1",2,"Q1",3,"Q1",
    4,"Q2",5,"Q2",6,"Q2",
    7,"Q3",8,"Q3",9,"Q3",
    10,"Q4",11,"Q4",12,"Q4",
    "Invalid Month"
)</f>
        <v>Q2</v>
      </c>
      <c r="P850" t="str">
        <f>TEXT(Table1[[#This Row],[Last_Restock_Date]],"mmm")</f>
        <v>May</v>
      </c>
    </row>
    <row r="851" spans="1:16" x14ac:dyDescent="0.25">
      <c r="A851">
        <v>850</v>
      </c>
      <c r="B851" s="5" t="s">
        <v>38</v>
      </c>
      <c r="C851" s="5" t="s">
        <v>26</v>
      </c>
      <c r="D851" s="5" t="s">
        <v>17</v>
      </c>
      <c r="E851" s="5" t="s">
        <v>39</v>
      </c>
      <c r="F851" s="2">
        <v>442</v>
      </c>
      <c r="G851" s="3">
        <v>729.74</v>
      </c>
      <c r="H851">
        <v>100</v>
      </c>
      <c r="I851">
        <f>IF(Table1[[#This Row],[Status]]= "Sufficient",
     Table1[[#This Row],[Stock_Quantity]] - Table1[[#This Row],[Reorder_Level]],
     0)</f>
        <v>342</v>
      </c>
      <c r="J851" s="4">
        <v>45151</v>
      </c>
      <c r="K851" s="5" t="s">
        <v>14</v>
      </c>
      <c r="L851">
        <f>YEAR(Table1[[#This Row],[Last_Restock_Date]])</f>
        <v>2023</v>
      </c>
      <c r="M851" t="str">
        <f>_xlfn.CONCAT(TEXT(Table1[[#This Row],[Last_Restock_Date]],"mmm"), "-", YEAR(Table1[[#This Row],[Last_Restock_Date]]))</f>
        <v>Aug-2023</v>
      </c>
      <c r="N851">
        <f>MONTH(Table1[[#This Row],[Last_Restock_Date]])</f>
        <v>8</v>
      </c>
      <c r="O851" t="str" cm="1">
        <f t="array" ref="O851">_xlfn.SWITCH(Table1[[#This Row],[Month_Number]],
    1,"Q1",2,"Q1",3,"Q1",
    4,"Q2",5,"Q2",6,"Q2",
    7,"Q3",8,"Q3",9,"Q3",
    10,"Q4",11,"Q4",12,"Q4",
    "Invalid Month"
)</f>
        <v>Q3</v>
      </c>
      <c r="P851" t="str">
        <f>TEXT(Table1[[#This Row],[Last_Restock_Date]],"mmm")</f>
        <v>Aug</v>
      </c>
    </row>
    <row r="852" spans="1:16" x14ac:dyDescent="0.25">
      <c r="A852">
        <v>851</v>
      </c>
      <c r="B852" s="5" t="s">
        <v>46</v>
      </c>
      <c r="C852" s="5" t="s">
        <v>34</v>
      </c>
      <c r="D852" s="5" t="s">
        <v>24</v>
      </c>
      <c r="E852" s="5" t="s">
        <v>37</v>
      </c>
      <c r="F852" s="2">
        <v>106</v>
      </c>
      <c r="G852" s="3">
        <v>117.35</v>
      </c>
      <c r="H852">
        <v>62</v>
      </c>
      <c r="I852">
        <f>IF(Table1[[#This Row],[Status]]= "Sufficient",
     Table1[[#This Row],[Stock_Quantity]] - Table1[[#This Row],[Reorder_Level]],
     0)</f>
        <v>44</v>
      </c>
      <c r="J852" s="4">
        <v>45321</v>
      </c>
      <c r="K852" s="5" t="s">
        <v>14</v>
      </c>
      <c r="L852">
        <f>YEAR(Table1[[#This Row],[Last_Restock_Date]])</f>
        <v>2024</v>
      </c>
      <c r="M852" t="str">
        <f>_xlfn.CONCAT(TEXT(Table1[[#This Row],[Last_Restock_Date]],"mmm"), "-", YEAR(Table1[[#This Row],[Last_Restock_Date]]))</f>
        <v>Jan-2024</v>
      </c>
      <c r="N852">
        <f>MONTH(Table1[[#This Row],[Last_Restock_Date]])</f>
        <v>1</v>
      </c>
      <c r="O852" t="str" cm="1">
        <f t="array" ref="O852">_xlfn.SWITCH(Table1[[#This Row],[Month_Number]],
    1,"Q1",2,"Q1",3,"Q1",
    4,"Q2",5,"Q2",6,"Q2",
    7,"Q3",8,"Q3",9,"Q3",
    10,"Q4",11,"Q4",12,"Q4",
    "Invalid Month"
)</f>
        <v>Q1</v>
      </c>
      <c r="P852" t="str">
        <f>TEXT(Table1[[#This Row],[Last_Restock_Date]],"mmm")</f>
        <v>Jan</v>
      </c>
    </row>
    <row r="853" spans="1:16" x14ac:dyDescent="0.25">
      <c r="A853">
        <v>852</v>
      </c>
      <c r="B853" s="5" t="s">
        <v>51</v>
      </c>
      <c r="C853" s="5" t="s">
        <v>11</v>
      </c>
      <c r="D853" s="5" t="s">
        <v>12</v>
      </c>
      <c r="E853" s="5" t="s">
        <v>27</v>
      </c>
      <c r="F853" s="2">
        <v>400</v>
      </c>
      <c r="G853" s="3">
        <v>232.12</v>
      </c>
      <c r="H853">
        <v>66</v>
      </c>
      <c r="I853">
        <f>IF(Table1[[#This Row],[Status]]= "Sufficient",
     Table1[[#This Row],[Stock_Quantity]] - Table1[[#This Row],[Reorder_Level]],
     0)</f>
        <v>334</v>
      </c>
      <c r="J853" s="4">
        <v>46012</v>
      </c>
      <c r="K853" s="5" t="s">
        <v>14</v>
      </c>
      <c r="L853">
        <f>YEAR(Table1[[#This Row],[Last_Restock_Date]])</f>
        <v>2025</v>
      </c>
      <c r="M853" t="str">
        <f>_xlfn.CONCAT(TEXT(Table1[[#This Row],[Last_Restock_Date]],"mmm"), "-", YEAR(Table1[[#This Row],[Last_Restock_Date]]))</f>
        <v>Dec-2025</v>
      </c>
      <c r="N853">
        <f>MONTH(Table1[[#This Row],[Last_Restock_Date]])</f>
        <v>12</v>
      </c>
      <c r="O853" t="str" cm="1">
        <f t="array" ref="O853">_xlfn.SWITCH(Table1[[#This Row],[Month_Number]],
    1,"Q1",2,"Q1",3,"Q1",
    4,"Q2",5,"Q2",6,"Q2",
    7,"Q3",8,"Q3",9,"Q3",
    10,"Q4",11,"Q4",12,"Q4",
    "Invalid Month"
)</f>
        <v>Q4</v>
      </c>
      <c r="P853" t="str">
        <f>TEXT(Table1[[#This Row],[Last_Restock_Date]],"mmm")</f>
        <v>Dec</v>
      </c>
    </row>
    <row r="854" spans="1:16" x14ac:dyDescent="0.25">
      <c r="A854">
        <v>853</v>
      </c>
      <c r="B854" s="5" t="s">
        <v>35</v>
      </c>
      <c r="C854" s="5" t="s">
        <v>11</v>
      </c>
      <c r="D854" s="5" t="s">
        <v>24</v>
      </c>
      <c r="E854" s="5" t="s">
        <v>39</v>
      </c>
      <c r="F854" s="2">
        <v>288</v>
      </c>
      <c r="G854" s="3">
        <v>407.81</v>
      </c>
      <c r="H854">
        <v>113</v>
      </c>
      <c r="I854">
        <f>IF(Table1[[#This Row],[Status]]= "Sufficient",
     Table1[[#This Row],[Stock_Quantity]] - Table1[[#This Row],[Reorder_Level]],
     0)</f>
        <v>175</v>
      </c>
      <c r="J854" s="4">
        <v>45438</v>
      </c>
      <c r="K854" s="5" t="s">
        <v>14</v>
      </c>
      <c r="L854">
        <f>YEAR(Table1[[#This Row],[Last_Restock_Date]])</f>
        <v>2024</v>
      </c>
      <c r="M854" t="str">
        <f>_xlfn.CONCAT(TEXT(Table1[[#This Row],[Last_Restock_Date]],"mmm"), "-", YEAR(Table1[[#This Row],[Last_Restock_Date]]))</f>
        <v>May-2024</v>
      </c>
      <c r="N854">
        <f>MONTH(Table1[[#This Row],[Last_Restock_Date]])</f>
        <v>5</v>
      </c>
      <c r="O854" t="str" cm="1">
        <f t="array" ref="O854">_xlfn.SWITCH(Table1[[#This Row],[Month_Number]],
    1,"Q1",2,"Q1",3,"Q1",
    4,"Q2",5,"Q2",6,"Q2",
    7,"Q3",8,"Q3",9,"Q3",
    10,"Q4",11,"Q4",12,"Q4",
    "Invalid Month"
)</f>
        <v>Q2</v>
      </c>
      <c r="P854" t="str">
        <f>TEXT(Table1[[#This Row],[Last_Restock_Date]],"mmm")</f>
        <v>May</v>
      </c>
    </row>
    <row r="855" spans="1:16" x14ac:dyDescent="0.25">
      <c r="A855">
        <v>854</v>
      </c>
      <c r="B855" s="5" t="s">
        <v>47</v>
      </c>
      <c r="C855" s="5" t="s">
        <v>20</v>
      </c>
      <c r="D855" s="5" t="s">
        <v>30</v>
      </c>
      <c r="E855" s="5" t="s">
        <v>27</v>
      </c>
      <c r="F855" s="2">
        <v>438</v>
      </c>
      <c r="G855" s="3">
        <v>522.91</v>
      </c>
      <c r="H855">
        <v>150</v>
      </c>
      <c r="I855">
        <f>IF(Table1[[#This Row],[Status]]= "Sufficient",
     Table1[[#This Row],[Stock_Quantity]] - Table1[[#This Row],[Reorder_Level]],
     0)</f>
        <v>288</v>
      </c>
      <c r="J855" s="4">
        <v>45424</v>
      </c>
      <c r="K855" s="5" t="s">
        <v>14</v>
      </c>
      <c r="L855">
        <f>YEAR(Table1[[#This Row],[Last_Restock_Date]])</f>
        <v>2024</v>
      </c>
      <c r="M855" t="str">
        <f>_xlfn.CONCAT(TEXT(Table1[[#This Row],[Last_Restock_Date]],"mmm"), "-", YEAR(Table1[[#This Row],[Last_Restock_Date]]))</f>
        <v>May-2024</v>
      </c>
      <c r="N855">
        <f>MONTH(Table1[[#This Row],[Last_Restock_Date]])</f>
        <v>5</v>
      </c>
      <c r="O855" t="str" cm="1">
        <f t="array" ref="O855">_xlfn.SWITCH(Table1[[#This Row],[Month_Number]],
    1,"Q1",2,"Q1",3,"Q1",
    4,"Q2",5,"Q2",6,"Q2",
    7,"Q3",8,"Q3",9,"Q3",
    10,"Q4",11,"Q4",12,"Q4",
    "Invalid Month"
)</f>
        <v>Q2</v>
      </c>
      <c r="P855" t="str">
        <f>TEXT(Table1[[#This Row],[Last_Restock_Date]],"mmm")</f>
        <v>May</v>
      </c>
    </row>
    <row r="856" spans="1:16" x14ac:dyDescent="0.25">
      <c r="A856">
        <v>855</v>
      </c>
      <c r="B856" s="5" t="s">
        <v>49</v>
      </c>
      <c r="C856" s="5" t="s">
        <v>16</v>
      </c>
      <c r="D856" s="5" t="s">
        <v>17</v>
      </c>
      <c r="E856" s="5" t="s">
        <v>32</v>
      </c>
      <c r="F856" s="2">
        <v>118</v>
      </c>
      <c r="G856" s="3">
        <v>663.87</v>
      </c>
      <c r="H856">
        <v>122</v>
      </c>
      <c r="I856">
        <f>IF(Table1[[#This Row],[Status]]= "Sufficient",
     Table1[[#This Row],[Stock_Quantity]] - Table1[[#This Row],[Reorder_Level]],
     0)</f>
        <v>0</v>
      </c>
      <c r="J856" s="4">
        <v>45129</v>
      </c>
      <c r="K856" s="5" t="s">
        <v>28</v>
      </c>
      <c r="L856">
        <f>YEAR(Table1[[#This Row],[Last_Restock_Date]])</f>
        <v>2023</v>
      </c>
      <c r="M856" t="str">
        <f>_xlfn.CONCAT(TEXT(Table1[[#This Row],[Last_Restock_Date]],"mmm"), "-", YEAR(Table1[[#This Row],[Last_Restock_Date]]))</f>
        <v>Jul-2023</v>
      </c>
      <c r="N856">
        <f>MONTH(Table1[[#This Row],[Last_Restock_Date]])</f>
        <v>7</v>
      </c>
      <c r="O856" t="str" cm="1">
        <f t="array" ref="O856">_xlfn.SWITCH(Table1[[#This Row],[Month_Number]],
    1,"Q1",2,"Q1",3,"Q1",
    4,"Q2",5,"Q2",6,"Q2",
    7,"Q3",8,"Q3",9,"Q3",
    10,"Q4",11,"Q4",12,"Q4",
    "Invalid Month"
)</f>
        <v>Q3</v>
      </c>
      <c r="P856" t="str">
        <f>TEXT(Table1[[#This Row],[Last_Restock_Date]],"mmm")</f>
        <v>Jul</v>
      </c>
    </row>
    <row r="857" spans="1:16" x14ac:dyDescent="0.25">
      <c r="A857">
        <v>856</v>
      </c>
      <c r="B857" s="5" t="s">
        <v>15</v>
      </c>
      <c r="C857" s="5" t="s">
        <v>16</v>
      </c>
      <c r="D857" s="5" t="s">
        <v>12</v>
      </c>
      <c r="E857" s="5" t="s">
        <v>32</v>
      </c>
      <c r="F857" s="2">
        <v>440</v>
      </c>
      <c r="G857" s="3">
        <v>151</v>
      </c>
      <c r="H857">
        <v>88</v>
      </c>
      <c r="I857">
        <f>IF(Table1[[#This Row],[Status]]= "Sufficient",
     Table1[[#This Row],[Stock_Quantity]] - Table1[[#This Row],[Reorder_Level]],
     0)</f>
        <v>352</v>
      </c>
      <c r="J857" s="4">
        <v>45747</v>
      </c>
      <c r="K857" s="5" t="s">
        <v>14</v>
      </c>
      <c r="L857">
        <f>YEAR(Table1[[#This Row],[Last_Restock_Date]])</f>
        <v>2025</v>
      </c>
      <c r="M857" t="str">
        <f>_xlfn.CONCAT(TEXT(Table1[[#This Row],[Last_Restock_Date]],"mmm"), "-", YEAR(Table1[[#This Row],[Last_Restock_Date]]))</f>
        <v>Mar-2025</v>
      </c>
      <c r="N857">
        <f>MONTH(Table1[[#This Row],[Last_Restock_Date]])</f>
        <v>3</v>
      </c>
      <c r="O857" t="str" cm="1">
        <f t="array" ref="O857">_xlfn.SWITCH(Table1[[#This Row],[Month_Number]],
    1,"Q1",2,"Q1",3,"Q1",
    4,"Q2",5,"Q2",6,"Q2",
    7,"Q3",8,"Q3",9,"Q3",
    10,"Q4",11,"Q4",12,"Q4",
    "Invalid Month"
)</f>
        <v>Q1</v>
      </c>
      <c r="P857" t="str">
        <f>TEXT(Table1[[#This Row],[Last_Restock_Date]],"mmm")</f>
        <v>Mar</v>
      </c>
    </row>
    <row r="858" spans="1:16" x14ac:dyDescent="0.25">
      <c r="A858">
        <v>857</v>
      </c>
      <c r="B858" s="5" t="s">
        <v>35</v>
      </c>
      <c r="C858" s="5" t="s">
        <v>11</v>
      </c>
      <c r="D858" s="5" t="s">
        <v>17</v>
      </c>
      <c r="E858" s="5" t="s">
        <v>27</v>
      </c>
      <c r="F858" s="2">
        <v>267</v>
      </c>
      <c r="G858" s="3">
        <v>146.25</v>
      </c>
      <c r="H858">
        <v>83</v>
      </c>
      <c r="I858">
        <f>IF(Table1[[#This Row],[Status]]= "Sufficient",
     Table1[[#This Row],[Stock_Quantity]] - Table1[[#This Row],[Reorder_Level]],
     0)</f>
        <v>184</v>
      </c>
      <c r="J858" s="4">
        <v>45105</v>
      </c>
      <c r="K858" s="5" t="s">
        <v>14</v>
      </c>
      <c r="L858">
        <f>YEAR(Table1[[#This Row],[Last_Restock_Date]])</f>
        <v>2023</v>
      </c>
      <c r="M858" t="str">
        <f>_xlfn.CONCAT(TEXT(Table1[[#This Row],[Last_Restock_Date]],"mmm"), "-", YEAR(Table1[[#This Row],[Last_Restock_Date]]))</f>
        <v>Jun-2023</v>
      </c>
      <c r="N858">
        <f>MONTH(Table1[[#This Row],[Last_Restock_Date]])</f>
        <v>6</v>
      </c>
      <c r="O858" t="str" cm="1">
        <f t="array" ref="O858">_xlfn.SWITCH(Table1[[#This Row],[Month_Number]],
    1,"Q1",2,"Q1",3,"Q1",
    4,"Q2",5,"Q2",6,"Q2",
    7,"Q3",8,"Q3",9,"Q3",
    10,"Q4",11,"Q4",12,"Q4",
    "Invalid Month"
)</f>
        <v>Q2</v>
      </c>
      <c r="P858" t="str">
        <f>TEXT(Table1[[#This Row],[Last_Restock_Date]],"mmm")</f>
        <v>Jun</v>
      </c>
    </row>
    <row r="859" spans="1:16" x14ac:dyDescent="0.25">
      <c r="A859">
        <v>858</v>
      </c>
      <c r="B859" s="5" t="s">
        <v>53</v>
      </c>
      <c r="C859" s="5" t="s">
        <v>26</v>
      </c>
      <c r="D859" s="5" t="s">
        <v>17</v>
      </c>
      <c r="E859" s="5" t="s">
        <v>27</v>
      </c>
      <c r="F859" s="2">
        <v>483</v>
      </c>
      <c r="G859" s="3">
        <v>530.02</v>
      </c>
      <c r="H859">
        <v>67</v>
      </c>
      <c r="I859">
        <f>IF(Table1[[#This Row],[Status]]= "Sufficient",
     Table1[[#This Row],[Stock_Quantity]] - Table1[[#This Row],[Reorder_Level]],
     0)</f>
        <v>416</v>
      </c>
      <c r="J859" s="4">
        <v>45103</v>
      </c>
      <c r="K859" s="5" t="s">
        <v>14</v>
      </c>
      <c r="L859">
        <f>YEAR(Table1[[#This Row],[Last_Restock_Date]])</f>
        <v>2023</v>
      </c>
      <c r="M859" t="str">
        <f>_xlfn.CONCAT(TEXT(Table1[[#This Row],[Last_Restock_Date]],"mmm"), "-", YEAR(Table1[[#This Row],[Last_Restock_Date]]))</f>
        <v>Jun-2023</v>
      </c>
      <c r="N859">
        <f>MONTH(Table1[[#This Row],[Last_Restock_Date]])</f>
        <v>6</v>
      </c>
      <c r="O859" t="str" cm="1">
        <f t="array" ref="O859">_xlfn.SWITCH(Table1[[#This Row],[Month_Number]],
    1,"Q1",2,"Q1",3,"Q1",
    4,"Q2",5,"Q2",6,"Q2",
    7,"Q3",8,"Q3",9,"Q3",
    10,"Q4",11,"Q4",12,"Q4",
    "Invalid Month"
)</f>
        <v>Q2</v>
      </c>
      <c r="P859" t="str">
        <f>TEXT(Table1[[#This Row],[Last_Restock_Date]],"mmm")</f>
        <v>Jun</v>
      </c>
    </row>
    <row r="860" spans="1:16" x14ac:dyDescent="0.25">
      <c r="A860">
        <v>859</v>
      </c>
      <c r="B860" s="5" t="s">
        <v>40</v>
      </c>
      <c r="C860" s="5" t="s">
        <v>34</v>
      </c>
      <c r="D860" s="5" t="s">
        <v>17</v>
      </c>
      <c r="E860" s="5" t="s">
        <v>13</v>
      </c>
      <c r="F860" s="2">
        <v>60</v>
      </c>
      <c r="G860" s="3">
        <v>222.46</v>
      </c>
      <c r="H860">
        <v>136</v>
      </c>
      <c r="I860">
        <f>IF(Table1[[#This Row],[Status]]= "Sufficient",
     Table1[[#This Row],[Stock_Quantity]] - Table1[[#This Row],[Reorder_Level]],
     0)</f>
        <v>0</v>
      </c>
      <c r="J860" s="4">
        <v>45848</v>
      </c>
      <c r="K860" s="5" t="s">
        <v>28</v>
      </c>
      <c r="L860">
        <f>YEAR(Table1[[#This Row],[Last_Restock_Date]])</f>
        <v>2025</v>
      </c>
      <c r="M860" t="str">
        <f>_xlfn.CONCAT(TEXT(Table1[[#This Row],[Last_Restock_Date]],"mmm"), "-", YEAR(Table1[[#This Row],[Last_Restock_Date]]))</f>
        <v>Jul-2025</v>
      </c>
      <c r="N860">
        <f>MONTH(Table1[[#This Row],[Last_Restock_Date]])</f>
        <v>7</v>
      </c>
      <c r="O860" t="str" cm="1">
        <f t="array" ref="O860">_xlfn.SWITCH(Table1[[#This Row],[Month_Number]],
    1,"Q1",2,"Q1",3,"Q1",
    4,"Q2",5,"Q2",6,"Q2",
    7,"Q3",8,"Q3",9,"Q3",
    10,"Q4",11,"Q4",12,"Q4",
    "Invalid Month"
)</f>
        <v>Q3</v>
      </c>
      <c r="P860" t="str">
        <f>TEXT(Table1[[#This Row],[Last_Restock_Date]],"mmm")</f>
        <v>Jul</v>
      </c>
    </row>
    <row r="861" spans="1:16" x14ac:dyDescent="0.25">
      <c r="A861">
        <v>860</v>
      </c>
      <c r="B861" s="5" t="s">
        <v>47</v>
      </c>
      <c r="C861" s="5" t="s">
        <v>20</v>
      </c>
      <c r="D861" s="5" t="s">
        <v>24</v>
      </c>
      <c r="E861" s="5" t="s">
        <v>37</v>
      </c>
      <c r="F861" s="2">
        <v>165</v>
      </c>
      <c r="G861" s="3">
        <v>586.28</v>
      </c>
      <c r="H861">
        <v>74</v>
      </c>
      <c r="I861">
        <f>IF(Table1[[#This Row],[Status]]= "Sufficient",
     Table1[[#This Row],[Stock_Quantity]] - Table1[[#This Row],[Reorder_Level]],
     0)</f>
        <v>91</v>
      </c>
      <c r="J861" s="4">
        <v>45994</v>
      </c>
      <c r="K861" s="5" t="s">
        <v>14</v>
      </c>
      <c r="L861">
        <f>YEAR(Table1[[#This Row],[Last_Restock_Date]])</f>
        <v>2025</v>
      </c>
      <c r="M861" t="str">
        <f>_xlfn.CONCAT(TEXT(Table1[[#This Row],[Last_Restock_Date]],"mmm"), "-", YEAR(Table1[[#This Row],[Last_Restock_Date]]))</f>
        <v>Dec-2025</v>
      </c>
      <c r="N861">
        <f>MONTH(Table1[[#This Row],[Last_Restock_Date]])</f>
        <v>12</v>
      </c>
      <c r="O861" t="str" cm="1">
        <f t="array" ref="O861">_xlfn.SWITCH(Table1[[#This Row],[Month_Number]],
    1,"Q1",2,"Q1",3,"Q1",
    4,"Q2",5,"Q2",6,"Q2",
    7,"Q3",8,"Q3",9,"Q3",
    10,"Q4",11,"Q4",12,"Q4",
    "Invalid Month"
)</f>
        <v>Q4</v>
      </c>
      <c r="P861" t="str">
        <f>TEXT(Table1[[#This Row],[Last_Restock_Date]],"mmm")</f>
        <v>Dec</v>
      </c>
    </row>
    <row r="862" spans="1:16" x14ac:dyDescent="0.25">
      <c r="A862">
        <v>861</v>
      </c>
      <c r="B862" s="5" t="s">
        <v>22</v>
      </c>
      <c r="C862" s="5" t="s">
        <v>11</v>
      </c>
      <c r="D862" s="5" t="s">
        <v>17</v>
      </c>
      <c r="E862" s="5" t="s">
        <v>32</v>
      </c>
      <c r="F862" s="2">
        <v>239</v>
      </c>
      <c r="G862" s="3">
        <v>162.72</v>
      </c>
      <c r="H862">
        <v>52</v>
      </c>
      <c r="I862">
        <f>IF(Table1[[#This Row],[Status]]= "Sufficient",
     Table1[[#This Row],[Stock_Quantity]] - Table1[[#This Row],[Reorder_Level]],
     0)</f>
        <v>187</v>
      </c>
      <c r="J862" s="4">
        <v>45817</v>
      </c>
      <c r="K862" s="5" t="s">
        <v>14</v>
      </c>
      <c r="L862">
        <f>YEAR(Table1[[#This Row],[Last_Restock_Date]])</f>
        <v>2025</v>
      </c>
      <c r="M862" t="str">
        <f>_xlfn.CONCAT(TEXT(Table1[[#This Row],[Last_Restock_Date]],"mmm"), "-", YEAR(Table1[[#This Row],[Last_Restock_Date]]))</f>
        <v>Jun-2025</v>
      </c>
      <c r="N862">
        <f>MONTH(Table1[[#This Row],[Last_Restock_Date]])</f>
        <v>6</v>
      </c>
      <c r="O862" t="str" cm="1">
        <f t="array" ref="O862">_xlfn.SWITCH(Table1[[#This Row],[Month_Number]],
    1,"Q1",2,"Q1",3,"Q1",
    4,"Q2",5,"Q2",6,"Q2",
    7,"Q3",8,"Q3",9,"Q3",
    10,"Q4",11,"Q4",12,"Q4",
    "Invalid Month"
)</f>
        <v>Q2</v>
      </c>
      <c r="P862" t="str">
        <f>TEXT(Table1[[#This Row],[Last_Restock_Date]],"mmm")</f>
        <v>Jun</v>
      </c>
    </row>
    <row r="863" spans="1:16" x14ac:dyDescent="0.25">
      <c r="A863">
        <v>862</v>
      </c>
      <c r="B863" s="5" t="s">
        <v>10</v>
      </c>
      <c r="C863" s="5" t="s">
        <v>11</v>
      </c>
      <c r="D863" s="5" t="s">
        <v>21</v>
      </c>
      <c r="E863" s="5" t="s">
        <v>13</v>
      </c>
      <c r="F863" s="2">
        <v>141</v>
      </c>
      <c r="G863" s="3">
        <v>575.83000000000004</v>
      </c>
      <c r="H863">
        <v>53</v>
      </c>
      <c r="I863">
        <f>IF(Table1[[#This Row],[Status]]= "Sufficient",
     Table1[[#This Row],[Stock_Quantity]] - Table1[[#This Row],[Reorder_Level]],
     0)</f>
        <v>88</v>
      </c>
      <c r="J863" s="4">
        <v>45078</v>
      </c>
      <c r="K863" s="5" t="s">
        <v>14</v>
      </c>
      <c r="L863">
        <f>YEAR(Table1[[#This Row],[Last_Restock_Date]])</f>
        <v>2023</v>
      </c>
      <c r="M863" t="str">
        <f>_xlfn.CONCAT(TEXT(Table1[[#This Row],[Last_Restock_Date]],"mmm"), "-", YEAR(Table1[[#This Row],[Last_Restock_Date]]))</f>
        <v>Jun-2023</v>
      </c>
      <c r="N863">
        <f>MONTH(Table1[[#This Row],[Last_Restock_Date]])</f>
        <v>6</v>
      </c>
      <c r="O863" t="str" cm="1">
        <f t="array" ref="O863">_xlfn.SWITCH(Table1[[#This Row],[Month_Number]],
    1,"Q1",2,"Q1",3,"Q1",
    4,"Q2",5,"Q2",6,"Q2",
    7,"Q3",8,"Q3",9,"Q3",
    10,"Q4",11,"Q4",12,"Q4",
    "Invalid Month"
)</f>
        <v>Q2</v>
      </c>
      <c r="P863" t="str">
        <f>TEXT(Table1[[#This Row],[Last_Restock_Date]],"mmm")</f>
        <v>Jun</v>
      </c>
    </row>
    <row r="864" spans="1:16" x14ac:dyDescent="0.25">
      <c r="A864">
        <v>863</v>
      </c>
      <c r="B864" s="5" t="s">
        <v>38</v>
      </c>
      <c r="C864" s="5" t="s">
        <v>26</v>
      </c>
      <c r="D864" s="5" t="s">
        <v>21</v>
      </c>
      <c r="E864" s="5" t="s">
        <v>39</v>
      </c>
      <c r="F864" s="2">
        <v>127</v>
      </c>
      <c r="G864" s="3">
        <v>144.19</v>
      </c>
      <c r="H864">
        <v>93</v>
      </c>
      <c r="I864">
        <f>IF(Table1[[#This Row],[Status]]= "Sufficient",
     Table1[[#This Row],[Stock_Quantity]] - Table1[[#This Row],[Reorder_Level]],
     0)</f>
        <v>34</v>
      </c>
      <c r="J864" s="4">
        <v>45953</v>
      </c>
      <c r="K864" s="5" t="s">
        <v>14</v>
      </c>
      <c r="L864">
        <f>YEAR(Table1[[#This Row],[Last_Restock_Date]])</f>
        <v>2025</v>
      </c>
      <c r="M864" t="str">
        <f>_xlfn.CONCAT(TEXT(Table1[[#This Row],[Last_Restock_Date]],"mmm"), "-", YEAR(Table1[[#This Row],[Last_Restock_Date]]))</f>
        <v>Oct-2025</v>
      </c>
      <c r="N864">
        <f>MONTH(Table1[[#This Row],[Last_Restock_Date]])</f>
        <v>10</v>
      </c>
      <c r="O864" t="str" cm="1">
        <f t="array" ref="O864">_xlfn.SWITCH(Table1[[#This Row],[Month_Number]],
    1,"Q1",2,"Q1",3,"Q1",
    4,"Q2",5,"Q2",6,"Q2",
    7,"Q3",8,"Q3",9,"Q3",
    10,"Q4",11,"Q4",12,"Q4",
    "Invalid Month"
)</f>
        <v>Q4</v>
      </c>
      <c r="P864" t="str">
        <f>TEXT(Table1[[#This Row],[Last_Restock_Date]],"mmm")</f>
        <v>Oct</v>
      </c>
    </row>
    <row r="865" spans="1:16" x14ac:dyDescent="0.25">
      <c r="A865">
        <v>864</v>
      </c>
      <c r="B865" s="5" t="s">
        <v>25</v>
      </c>
      <c r="C865" s="5" t="s">
        <v>26</v>
      </c>
      <c r="D865" s="5" t="s">
        <v>12</v>
      </c>
      <c r="E865" s="5" t="s">
        <v>13</v>
      </c>
      <c r="F865" s="2">
        <v>320</v>
      </c>
      <c r="G865" s="3">
        <v>48.57</v>
      </c>
      <c r="H865">
        <v>76</v>
      </c>
      <c r="I865">
        <f>IF(Table1[[#This Row],[Status]]= "Sufficient",
     Table1[[#This Row],[Stock_Quantity]] - Table1[[#This Row],[Reorder_Level]],
     0)</f>
        <v>244</v>
      </c>
      <c r="J865" s="4">
        <v>44997</v>
      </c>
      <c r="K865" s="5" t="s">
        <v>14</v>
      </c>
      <c r="L865">
        <f>YEAR(Table1[[#This Row],[Last_Restock_Date]])</f>
        <v>2023</v>
      </c>
      <c r="M865" t="str">
        <f>_xlfn.CONCAT(TEXT(Table1[[#This Row],[Last_Restock_Date]],"mmm"), "-", YEAR(Table1[[#This Row],[Last_Restock_Date]]))</f>
        <v>Mar-2023</v>
      </c>
      <c r="N865">
        <f>MONTH(Table1[[#This Row],[Last_Restock_Date]])</f>
        <v>3</v>
      </c>
      <c r="O865" t="str" cm="1">
        <f t="array" ref="O865">_xlfn.SWITCH(Table1[[#This Row],[Month_Number]],
    1,"Q1",2,"Q1",3,"Q1",
    4,"Q2",5,"Q2",6,"Q2",
    7,"Q3",8,"Q3",9,"Q3",
    10,"Q4",11,"Q4",12,"Q4",
    "Invalid Month"
)</f>
        <v>Q1</v>
      </c>
      <c r="P865" t="str">
        <f>TEXT(Table1[[#This Row],[Last_Restock_Date]],"mmm")</f>
        <v>Mar</v>
      </c>
    </row>
    <row r="866" spans="1:16" x14ac:dyDescent="0.25">
      <c r="A866">
        <v>865</v>
      </c>
      <c r="B866" s="5" t="s">
        <v>52</v>
      </c>
      <c r="C866" s="5" t="s">
        <v>16</v>
      </c>
      <c r="D866" s="5" t="s">
        <v>12</v>
      </c>
      <c r="E866" s="5" t="s">
        <v>32</v>
      </c>
      <c r="F866" s="2">
        <v>308</v>
      </c>
      <c r="G866" s="3">
        <v>160.74</v>
      </c>
      <c r="H866">
        <v>140</v>
      </c>
      <c r="I866">
        <f>IF(Table1[[#This Row],[Status]]= "Sufficient",
     Table1[[#This Row],[Stock_Quantity]] - Table1[[#This Row],[Reorder_Level]],
     0)</f>
        <v>168</v>
      </c>
      <c r="J866" s="4">
        <v>45375</v>
      </c>
      <c r="K866" s="5" t="s">
        <v>14</v>
      </c>
      <c r="L866">
        <f>YEAR(Table1[[#This Row],[Last_Restock_Date]])</f>
        <v>2024</v>
      </c>
      <c r="M866" t="str">
        <f>_xlfn.CONCAT(TEXT(Table1[[#This Row],[Last_Restock_Date]],"mmm"), "-", YEAR(Table1[[#This Row],[Last_Restock_Date]]))</f>
        <v>Mar-2024</v>
      </c>
      <c r="N866">
        <f>MONTH(Table1[[#This Row],[Last_Restock_Date]])</f>
        <v>3</v>
      </c>
      <c r="O866" t="str" cm="1">
        <f t="array" ref="O866">_xlfn.SWITCH(Table1[[#This Row],[Month_Number]],
    1,"Q1",2,"Q1",3,"Q1",
    4,"Q2",5,"Q2",6,"Q2",
    7,"Q3",8,"Q3",9,"Q3",
    10,"Q4",11,"Q4",12,"Q4",
    "Invalid Month"
)</f>
        <v>Q1</v>
      </c>
      <c r="P866" t="str">
        <f>TEXT(Table1[[#This Row],[Last_Restock_Date]],"mmm")</f>
        <v>Mar</v>
      </c>
    </row>
    <row r="867" spans="1:16" x14ac:dyDescent="0.25">
      <c r="A867">
        <v>866</v>
      </c>
      <c r="B867" s="5" t="s">
        <v>44</v>
      </c>
      <c r="C867" s="5" t="s">
        <v>34</v>
      </c>
      <c r="D867" s="5" t="s">
        <v>21</v>
      </c>
      <c r="E867" s="5" t="s">
        <v>18</v>
      </c>
      <c r="F867" s="2">
        <v>88</v>
      </c>
      <c r="G867" s="3">
        <v>19.920000000000002</v>
      </c>
      <c r="H867">
        <v>73</v>
      </c>
      <c r="I867">
        <f>IF(Table1[[#This Row],[Status]]= "Sufficient",
     Table1[[#This Row],[Stock_Quantity]] - Table1[[#This Row],[Reorder_Level]],
     0)</f>
        <v>15</v>
      </c>
      <c r="J867" s="4">
        <v>44944</v>
      </c>
      <c r="K867" s="5" t="s">
        <v>14</v>
      </c>
      <c r="L867">
        <f>YEAR(Table1[[#This Row],[Last_Restock_Date]])</f>
        <v>2023</v>
      </c>
      <c r="M867" t="str">
        <f>_xlfn.CONCAT(TEXT(Table1[[#This Row],[Last_Restock_Date]],"mmm"), "-", YEAR(Table1[[#This Row],[Last_Restock_Date]]))</f>
        <v>Jan-2023</v>
      </c>
      <c r="N867">
        <f>MONTH(Table1[[#This Row],[Last_Restock_Date]])</f>
        <v>1</v>
      </c>
      <c r="O867" t="str" cm="1">
        <f t="array" ref="O867">_xlfn.SWITCH(Table1[[#This Row],[Month_Number]],
    1,"Q1",2,"Q1",3,"Q1",
    4,"Q2",5,"Q2",6,"Q2",
    7,"Q3",8,"Q3",9,"Q3",
    10,"Q4",11,"Q4",12,"Q4",
    "Invalid Month"
)</f>
        <v>Q1</v>
      </c>
      <c r="P867" t="str">
        <f>TEXT(Table1[[#This Row],[Last_Restock_Date]],"mmm")</f>
        <v>Jan</v>
      </c>
    </row>
    <row r="868" spans="1:16" x14ac:dyDescent="0.25">
      <c r="A868">
        <v>867</v>
      </c>
      <c r="B868" s="5" t="s">
        <v>23</v>
      </c>
      <c r="C868" s="5" t="s">
        <v>20</v>
      </c>
      <c r="D868" s="5" t="s">
        <v>12</v>
      </c>
      <c r="E868" s="5" t="s">
        <v>39</v>
      </c>
      <c r="F868" s="2">
        <v>416</v>
      </c>
      <c r="G868" s="3">
        <v>110.67</v>
      </c>
      <c r="H868">
        <v>125</v>
      </c>
      <c r="I868">
        <f>IF(Table1[[#This Row],[Status]]= "Sufficient",
     Table1[[#This Row],[Stock_Quantity]] - Table1[[#This Row],[Reorder_Level]],
     0)</f>
        <v>291</v>
      </c>
      <c r="J868" s="4">
        <v>45484</v>
      </c>
      <c r="K868" s="5" t="s">
        <v>14</v>
      </c>
      <c r="L868">
        <f>YEAR(Table1[[#This Row],[Last_Restock_Date]])</f>
        <v>2024</v>
      </c>
      <c r="M868" t="str">
        <f>_xlfn.CONCAT(TEXT(Table1[[#This Row],[Last_Restock_Date]],"mmm"), "-", YEAR(Table1[[#This Row],[Last_Restock_Date]]))</f>
        <v>Jul-2024</v>
      </c>
      <c r="N868">
        <f>MONTH(Table1[[#This Row],[Last_Restock_Date]])</f>
        <v>7</v>
      </c>
      <c r="O868" t="str" cm="1">
        <f t="array" ref="O868">_xlfn.SWITCH(Table1[[#This Row],[Month_Number]],
    1,"Q1",2,"Q1",3,"Q1",
    4,"Q2",5,"Q2",6,"Q2",
    7,"Q3",8,"Q3",9,"Q3",
    10,"Q4",11,"Q4",12,"Q4",
    "Invalid Month"
)</f>
        <v>Q3</v>
      </c>
      <c r="P868" t="str">
        <f>TEXT(Table1[[#This Row],[Last_Restock_Date]],"mmm")</f>
        <v>Jul</v>
      </c>
    </row>
    <row r="869" spans="1:16" x14ac:dyDescent="0.25">
      <c r="A869">
        <v>868</v>
      </c>
      <c r="B869" s="5" t="s">
        <v>25</v>
      </c>
      <c r="C869" s="5" t="s">
        <v>26</v>
      </c>
      <c r="D869" s="5" t="s">
        <v>24</v>
      </c>
      <c r="E869" s="5" t="s">
        <v>27</v>
      </c>
      <c r="F869" s="2">
        <v>126</v>
      </c>
      <c r="G869" s="3">
        <v>664.76</v>
      </c>
      <c r="H869">
        <v>123</v>
      </c>
      <c r="I869">
        <f>IF(Table1[[#This Row],[Status]]= "Sufficient",
     Table1[[#This Row],[Stock_Quantity]] - Table1[[#This Row],[Reorder_Level]],
     0)</f>
        <v>3</v>
      </c>
      <c r="J869" s="4">
        <v>45270</v>
      </c>
      <c r="K869" s="5" t="s">
        <v>14</v>
      </c>
      <c r="L869">
        <f>YEAR(Table1[[#This Row],[Last_Restock_Date]])</f>
        <v>2023</v>
      </c>
      <c r="M869" t="str">
        <f>_xlfn.CONCAT(TEXT(Table1[[#This Row],[Last_Restock_Date]],"mmm"), "-", YEAR(Table1[[#This Row],[Last_Restock_Date]]))</f>
        <v>Dec-2023</v>
      </c>
      <c r="N869">
        <f>MONTH(Table1[[#This Row],[Last_Restock_Date]])</f>
        <v>12</v>
      </c>
      <c r="O869" t="str" cm="1">
        <f t="array" ref="O869">_xlfn.SWITCH(Table1[[#This Row],[Month_Number]],
    1,"Q1",2,"Q1",3,"Q1",
    4,"Q2",5,"Q2",6,"Q2",
    7,"Q3",8,"Q3",9,"Q3",
    10,"Q4",11,"Q4",12,"Q4",
    "Invalid Month"
)</f>
        <v>Q4</v>
      </c>
      <c r="P869" t="str">
        <f>TEXT(Table1[[#This Row],[Last_Restock_Date]],"mmm")</f>
        <v>Dec</v>
      </c>
    </row>
    <row r="870" spans="1:16" x14ac:dyDescent="0.25">
      <c r="A870">
        <v>869</v>
      </c>
      <c r="B870" s="5" t="s">
        <v>36</v>
      </c>
      <c r="C870" s="5" t="s">
        <v>11</v>
      </c>
      <c r="D870" s="5" t="s">
        <v>24</v>
      </c>
      <c r="E870" s="5" t="s">
        <v>32</v>
      </c>
      <c r="F870" s="2">
        <v>35</v>
      </c>
      <c r="G870" s="3">
        <v>567.74</v>
      </c>
      <c r="H870">
        <v>96</v>
      </c>
      <c r="I870">
        <f>IF(Table1[[#This Row],[Status]]= "Sufficient",
     Table1[[#This Row],[Stock_Quantity]] - Table1[[#This Row],[Reorder_Level]],
     0)</f>
        <v>0</v>
      </c>
      <c r="J870" s="4">
        <v>45298</v>
      </c>
      <c r="K870" s="5" t="s">
        <v>28</v>
      </c>
      <c r="L870">
        <f>YEAR(Table1[[#This Row],[Last_Restock_Date]])</f>
        <v>2024</v>
      </c>
      <c r="M870" t="str">
        <f>_xlfn.CONCAT(TEXT(Table1[[#This Row],[Last_Restock_Date]],"mmm"), "-", YEAR(Table1[[#This Row],[Last_Restock_Date]]))</f>
        <v>Jan-2024</v>
      </c>
      <c r="N870">
        <f>MONTH(Table1[[#This Row],[Last_Restock_Date]])</f>
        <v>1</v>
      </c>
      <c r="O870" t="str" cm="1">
        <f t="array" ref="O870">_xlfn.SWITCH(Table1[[#This Row],[Month_Number]],
    1,"Q1",2,"Q1",3,"Q1",
    4,"Q2",5,"Q2",6,"Q2",
    7,"Q3",8,"Q3",9,"Q3",
    10,"Q4",11,"Q4",12,"Q4",
    "Invalid Month"
)</f>
        <v>Q1</v>
      </c>
      <c r="P870" t="str">
        <f>TEXT(Table1[[#This Row],[Last_Restock_Date]],"mmm")</f>
        <v>Jan</v>
      </c>
    </row>
    <row r="871" spans="1:16" x14ac:dyDescent="0.25">
      <c r="A871">
        <v>870</v>
      </c>
      <c r="B871" s="5" t="s">
        <v>22</v>
      </c>
      <c r="C871" s="5" t="s">
        <v>11</v>
      </c>
      <c r="D871" s="5" t="s">
        <v>17</v>
      </c>
      <c r="E871" s="5" t="s">
        <v>32</v>
      </c>
      <c r="F871" s="2">
        <v>0</v>
      </c>
      <c r="G871" s="3">
        <v>720.97</v>
      </c>
      <c r="H871">
        <v>64</v>
      </c>
      <c r="I871">
        <f>IF(Table1[[#This Row],[Status]]= "Sufficient",
     Table1[[#This Row],[Stock_Quantity]] - Table1[[#This Row],[Reorder_Level]],
     0)</f>
        <v>0</v>
      </c>
      <c r="J871" s="4">
        <v>45424</v>
      </c>
      <c r="K871" s="5" t="s">
        <v>28</v>
      </c>
      <c r="L871">
        <f>YEAR(Table1[[#This Row],[Last_Restock_Date]])</f>
        <v>2024</v>
      </c>
      <c r="M871" t="str">
        <f>_xlfn.CONCAT(TEXT(Table1[[#This Row],[Last_Restock_Date]],"mmm"), "-", YEAR(Table1[[#This Row],[Last_Restock_Date]]))</f>
        <v>May-2024</v>
      </c>
      <c r="N871">
        <f>MONTH(Table1[[#This Row],[Last_Restock_Date]])</f>
        <v>5</v>
      </c>
      <c r="O871" t="str" cm="1">
        <f t="array" ref="O871">_xlfn.SWITCH(Table1[[#This Row],[Month_Number]],
    1,"Q1",2,"Q1",3,"Q1",
    4,"Q2",5,"Q2",6,"Q2",
    7,"Q3",8,"Q3",9,"Q3",
    10,"Q4",11,"Q4",12,"Q4",
    "Invalid Month"
)</f>
        <v>Q2</v>
      </c>
      <c r="P871" t="str">
        <f>TEXT(Table1[[#This Row],[Last_Restock_Date]],"mmm")</f>
        <v>May</v>
      </c>
    </row>
    <row r="872" spans="1:16" x14ac:dyDescent="0.25">
      <c r="A872">
        <v>871</v>
      </c>
      <c r="B872" s="5" t="s">
        <v>52</v>
      </c>
      <c r="C872" s="5" t="s">
        <v>16</v>
      </c>
      <c r="D872" s="5" t="s">
        <v>30</v>
      </c>
      <c r="E872" s="5" t="s">
        <v>37</v>
      </c>
      <c r="F872" s="2">
        <v>170</v>
      </c>
      <c r="G872" s="3">
        <v>320.62</v>
      </c>
      <c r="H872">
        <v>113</v>
      </c>
      <c r="I872">
        <f>IF(Table1[[#This Row],[Status]]= "Sufficient",
     Table1[[#This Row],[Stock_Quantity]] - Table1[[#This Row],[Reorder_Level]],
     0)</f>
        <v>57</v>
      </c>
      <c r="J872" s="4">
        <v>45739</v>
      </c>
      <c r="K872" s="5" t="s">
        <v>14</v>
      </c>
      <c r="L872">
        <f>YEAR(Table1[[#This Row],[Last_Restock_Date]])</f>
        <v>2025</v>
      </c>
      <c r="M872" t="str">
        <f>_xlfn.CONCAT(TEXT(Table1[[#This Row],[Last_Restock_Date]],"mmm"), "-", YEAR(Table1[[#This Row],[Last_Restock_Date]]))</f>
        <v>Mar-2025</v>
      </c>
      <c r="N872">
        <f>MONTH(Table1[[#This Row],[Last_Restock_Date]])</f>
        <v>3</v>
      </c>
      <c r="O872" t="str" cm="1">
        <f t="array" ref="O872">_xlfn.SWITCH(Table1[[#This Row],[Month_Number]],
    1,"Q1",2,"Q1",3,"Q1",
    4,"Q2",5,"Q2",6,"Q2",
    7,"Q3",8,"Q3",9,"Q3",
    10,"Q4",11,"Q4",12,"Q4",
    "Invalid Month"
)</f>
        <v>Q1</v>
      </c>
      <c r="P872" t="str">
        <f>TEXT(Table1[[#This Row],[Last_Restock_Date]],"mmm")</f>
        <v>Mar</v>
      </c>
    </row>
    <row r="873" spans="1:16" x14ac:dyDescent="0.25">
      <c r="A873">
        <v>872</v>
      </c>
      <c r="B873" s="5" t="s">
        <v>51</v>
      </c>
      <c r="C873" s="5" t="s">
        <v>11</v>
      </c>
      <c r="D873" s="5" t="s">
        <v>12</v>
      </c>
      <c r="E873" s="5" t="s">
        <v>39</v>
      </c>
      <c r="F873" s="2">
        <v>428</v>
      </c>
      <c r="G873" s="3">
        <v>731.98</v>
      </c>
      <c r="H873">
        <v>69</v>
      </c>
      <c r="I873">
        <f>IF(Table1[[#This Row],[Status]]= "Sufficient",
     Table1[[#This Row],[Stock_Quantity]] - Table1[[#This Row],[Reorder_Level]],
     0)</f>
        <v>359</v>
      </c>
      <c r="J873" s="4">
        <v>45257</v>
      </c>
      <c r="K873" s="5" t="s">
        <v>14</v>
      </c>
      <c r="L873">
        <f>YEAR(Table1[[#This Row],[Last_Restock_Date]])</f>
        <v>2023</v>
      </c>
      <c r="M873" t="str">
        <f>_xlfn.CONCAT(TEXT(Table1[[#This Row],[Last_Restock_Date]],"mmm"), "-", YEAR(Table1[[#This Row],[Last_Restock_Date]]))</f>
        <v>Nov-2023</v>
      </c>
      <c r="N873">
        <f>MONTH(Table1[[#This Row],[Last_Restock_Date]])</f>
        <v>11</v>
      </c>
      <c r="O873" t="str" cm="1">
        <f t="array" ref="O873">_xlfn.SWITCH(Table1[[#This Row],[Month_Number]],
    1,"Q1",2,"Q1",3,"Q1",
    4,"Q2",5,"Q2",6,"Q2",
    7,"Q3",8,"Q3",9,"Q3",
    10,"Q4",11,"Q4",12,"Q4",
    "Invalid Month"
)</f>
        <v>Q4</v>
      </c>
      <c r="P873" t="str">
        <f>TEXT(Table1[[#This Row],[Last_Restock_Date]],"mmm")</f>
        <v>Nov</v>
      </c>
    </row>
    <row r="874" spans="1:16" x14ac:dyDescent="0.25">
      <c r="A874">
        <v>873</v>
      </c>
      <c r="B874" s="5" t="s">
        <v>41</v>
      </c>
      <c r="C874" s="5" t="s">
        <v>16</v>
      </c>
      <c r="D874" s="5" t="s">
        <v>21</v>
      </c>
      <c r="E874" s="5" t="s">
        <v>39</v>
      </c>
      <c r="F874" s="2">
        <v>462</v>
      </c>
      <c r="G874" s="3">
        <v>47.56</v>
      </c>
      <c r="H874">
        <v>140</v>
      </c>
      <c r="I874">
        <f>IF(Table1[[#This Row],[Status]]= "Sufficient",
     Table1[[#This Row],[Stock_Quantity]] - Table1[[#This Row],[Reorder_Level]],
     0)</f>
        <v>322</v>
      </c>
      <c r="J874" s="4">
        <v>45469</v>
      </c>
      <c r="K874" s="5" t="s">
        <v>14</v>
      </c>
      <c r="L874">
        <f>YEAR(Table1[[#This Row],[Last_Restock_Date]])</f>
        <v>2024</v>
      </c>
      <c r="M874" t="str">
        <f>_xlfn.CONCAT(TEXT(Table1[[#This Row],[Last_Restock_Date]],"mmm"), "-", YEAR(Table1[[#This Row],[Last_Restock_Date]]))</f>
        <v>Jun-2024</v>
      </c>
      <c r="N874">
        <f>MONTH(Table1[[#This Row],[Last_Restock_Date]])</f>
        <v>6</v>
      </c>
      <c r="O874" t="str" cm="1">
        <f t="array" ref="O874">_xlfn.SWITCH(Table1[[#This Row],[Month_Number]],
    1,"Q1",2,"Q1",3,"Q1",
    4,"Q2",5,"Q2",6,"Q2",
    7,"Q3",8,"Q3",9,"Q3",
    10,"Q4",11,"Q4",12,"Q4",
    "Invalid Month"
)</f>
        <v>Q2</v>
      </c>
      <c r="P874" t="str">
        <f>TEXT(Table1[[#This Row],[Last_Restock_Date]],"mmm")</f>
        <v>Jun</v>
      </c>
    </row>
    <row r="875" spans="1:16" x14ac:dyDescent="0.25">
      <c r="A875">
        <v>874</v>
      </c>
      <c r="B875" s="5" t="s">
        <v>38</v>
      </c>
      <c r="C875" s="5" t="s">
        <v>26</v>
      </c>
      <c r="D875" s="5" t="s">
        <v>21</v>
      </c>
      <c r="E875" s="5" t="s">
        <v>37</v>
      </c>
      <c r="F875" s="2">
        <v>225</v>
      </c>
      <c r="G875" s="3">
        <v>260.68</v>
      </c>
      <c r="H875">
        <v>77</v>
      </c>
      <c r="I875">
        <f>IF(Table1[[#This Row],[Status]]= "Sufficient",
     Table1[[#This Row],[Stock_Quantity]] - Table1[[#This Row],[Reorder_Level]],
     0)</f>
        <v>148</v>
      </c>
      <c r="J875" s="4">
        <v>45982</v>
      </c>
      <c r="K875" s="5" t="s">
        <v>14</v>
      </c>
      <c r="L875">
        <f>YEAR(Table1[[#This Row],[Last_Restock_Date]])</f>
        <v>2025</v>
      </c>
      <c r="M875" t="str">
        <f>_xlfn.CONCAT(TEXT(Table1[[#This Row],[Last_Restock_Date]],"mmm"), "-", YEAR(Table1[[#This Row],[Last_Restock_Date]]))</f>
        <v>Nov-2025</v>
      </c>
      <c r="N875">
        <f>MONTH(Table1[[#This Row],[Last_Restock_Date]])</f>
        <v>11</v>
      </c>
      <c r="O875" t="str" cm="1">
        <f t="array" ref="O875">_xlfn.SWITCH(Table1[[#This Row],[Month_Number]],
    1,"Q1",2,"Q1",3,"Q1",
    4,"Q2",5,"Q2",6,"Q2",
    7,"Q3",8,"Q3",9,"Q3",
    10,"Q4",11,"Q4",12,"Q4",
    "Invalid Month"
)</f>
        <v>Q4</v>
      </c>
      <c r="P875" t="str">
        <f>TEXT(Table1[[#This Row],[Last_Restock_Date]],"mmm")</f>
        <v>Nov</v>
      </c>
    </row>
    <row r="876" spans="1:16" x14ac:dyDescent="0.25">
      <c r="A876">
        <v>875</v>
      </c>
      <c r="B876" s="5" t="s">
        <v>44</v>
      </c>
      <c r="C876" s="5" t="s">
        <v>34</v>
      </c>
      <c r="D876" s="5" t="s">
        <v>30</v>
      </c>
      <c r="E876" s="5" t="s">
        <v>39</v>
      </c>
      <c r="F876" s="2">
        <v>319</v>
      </c>
      <c r="G876" s="3">
        <v>138.85</v>
      </c>
      <c r="H876">
        <v>101</v>
      </c>
      <c r="I876">
        <f>IF(Table1[[#This Row],[Status]]= "Sufficient",
     Table1[[#This Row],[Stock_Quantity]] - Table1[[#This Row],[Reorder_Level]],
     0)</f>
        <v>218</v>
      </c>
      <c r="J876" s="4">
        <v>45854</v>
      </c>
      <c r="K876" s="5" t="s">
        <v>14</v>
      </c>
      <c r="L876">
        <f>YEAR(Table1[[#This Row],[Last_Restock_Date]])</f>
        <v>2025</v>
      </c>
      <c r="M876" t="str">
        <f>_xlfn.CONCAT(TEXT(Table1[[#This Row],[Last_Restock_Date]],"mmm"), "-", YEAR(Table1[[#This Row],[Last_Restock_Date]]))</f>
        <v>Jul-2025</v>
      </c>
      <c r="N876">
        <f>MONTH(Table1[[#This Row],[Last_Restock_Date]])</f>
        <v>7</v>
      </c>
      <c r="O876" t="str" cm="1">
        <f t="array" ref="O876">_xlfn.SWITCH(Table1[[#This Row],[Month_Number]],
    1,"Q1",2,"Q1",3,"Q1",
    4,"Q2",5,"Q2",6,"Q2",
    7,"Q3",8,"Q3",9,"Q3",
    10,"Q4",11,"Q4",12,"Q4",
    "Invalid Month"
)</f>
        <v>Q3</v>
      </c>
      <c r="P876" t="str">
        <f>TEXT(Table1[[#This Row],[Last_Restock_Date]],"mmm")</f>
        <v>Jul</v>
      </c>
    </row>
    <row r="877" spans="1:16" x14ac:dyDescent="0.25">
      <c r="A877">
        <v>876</v>
      </c>
      <c r="B877" s="5" t="s">
        <v>31</v>
      </c>
      <c r="C877" s="5" t="s">
        <v>20</v>
      </c>
      <c r="D877" s="5" t="s">
        <v>30</v>
      </c>
      <c r="E877" s="5" t="s">
        <v>18</v>
      </c>
      <c r="F877" s="2">
        <v>386</v>
      </c>
      <c r="G877" s="3">
        <v>271.14</v>
      </c>
      <c r="H877">
        <v>128</v>
      </c>
      <c r="I877">
        <f>IF(Table1[[#This Row],[Status]]= "Sufficient",
     Table1[[#This Row],[Stock_Quantity]] - Table1[[#This Row],[Reorder_Level]],
     0)</f>
        <v>258</v>
      </c>
      <c r="J877" s="4">
        <v>45206</v>
      </c>
      <c r="K877" s="5" t="s">
        <v>14</v>
      </c>
      <c r="L877">
        <f>YEAR(Table1[[#This Row],[Last_Restock_Date]])</f>
        <v>2023</v>
      </c>
      <c r="M877" t="str">
        <f>_xlfn.CONCAT(TEXT(Table1[[#This Row],[Last_Restock_Date]],"mmm"), "-", YEAR(Table1[[#This Row],[Last_Restock_Date]]))</f>
        <v>Oct-2023</v>
      </c>
      <c r="N877">
        <f>MONTH(Table1[[#This Row],[Last_Restock_Date]])</f>
        <v>10</v>
      </c>
      <c r="O877" t="str" cm="1">
        <f t="array" ref="O877">_xlfn.SWITCH(Table1[[#This Row],[Month_Number]],
    1,"Q1",2,"Q1",3,"Q1",
    4,"Q2",5,"Q2",6,"Q2",
    7,"Q3",8,"Q3",9,"Q3",
    10,"Q4",11,"Q4",12,"Q4",
    "Invalid Month"
)</f>
        <v>Q4</v>
      </c>
      <c r="P877" t="str">
        <f>TEXT(Table1[[#This Row],[Last_Restock_Date]],"mmm")</f>
        <v>Oct</v>
      </c>
    </row>
    <row r="878" spans="1:16" x14ac:dyDescent="0.25">
      <c r="A878">
        <v>877</v>
      </c>
      <c r="B878" s="5" t="s">
        <v>44</v>
      </c>
      <c r="C878" s="5" t="s">
        <v>34</v>
      </c>
      <c r="D878" s="5" t="s">
        <v>21</v>
      </c>
      <c r="E878" s="5" t="s">
        <v>39</v>
      </c>
      <c r="F878" s="2">
        <v>351</v>
      </c>
      <c r="G878" s="3">
        <v>581.20000000000005</v>
      </c>
      <c r="H878">
        <v>149</v>
      </c>
      <c r="I878">
        <f>IF(Table1[[#This Row],[Status]]= "Sufficient",
     Table1[[#This Row],[Stock_Quantity]] - Table1[[#This Row],[Reorder_Level]],
     0)</f>
        <v>202</v>
      </c>
      <c r="J878" s="4">
        <v>45327</v>
      </c>
      <c r="K878" s="5" t="s">
        <v>14</v>
      </c>
      <c r="L878">
        <f>YEAR(Table1[[#This Row],[Last_Restock_Date]])</f>
        <v>2024</v>
      </c>
      <c r="M878" t="str">
        <f>_xlfn.CONCAT(TEXT(Table1[[#This Row],[Last_Restock_Date]],"mmm"), "-", YEAR(Table1[[#This Row],[Last_Restock_Date]]))</f>
        <v>Feb-2024</v>
      </c>
      <c r="N878">
        <f>MONTH(Table1[[#This Row],[Last_Restock_Date]])</f>
        <v>2</v>
      </c>
      <c r="O878" t="str" cm="1">
        <f t="array" ref="O878">_xlfn.SWITCH(Table1[[#This Row],[Month_Number]],
    1,"Q1",2,"Q1",3,"Q1",
    4,"Q2",5,"Q2",6,"Q2",
    7,"Q3",8,"Q3",9,"Q3",
    10,"Q4",11,"Q4",12,"Q4",
    "Invalid Month"
)</f>
        <v>Q1</v>
      </c>
      <c r="P878" t="str">
        <f>TEXT(Table1[[#This Row],[Last_Restock_Date]],"mmm")</f>
        <v>Feb</v>
      </c>
    </row>
    <row r="879" spans="1:16" x14ac:dyDescent="0.25">
      <c r="A879">
        <v>878</v>
      </c>
      <c r="B879" s="5" t="s">
        <v>22</v>
      </c>
      <c r="C879" s="5" t="s">
        <v>11</v>
      </c>
      <c r="D879" s="5" t="s">
        <v>12</v>
      </c>
      <c r="E879" s="5" t="s">
        <v>39</v>
      </c>
      <c r="F879" s="2">
        <v>444</v>
      </c>
      <c r="G879" s="3">
        <v>763.87</v>
      </c>
      <c r="H879">
        <v>120</v>
      </c>
      <c r="I879">
        <f>IF(Table1[[#This Row],[Status]]= "Sufficient",
     Table1[[#This Row],[Stock_Quantity]] - Table1[[#This Row],[Reorder_Level]],
     0)</f>
        <v>324</v>
      </c>
      <c r="J879" s="4">
        <v>45900</v>
      </c>
      <c r="K879" s="5" t="s">
        <v>14</v>
      </c>
      <c r="L879">
        <f>YEAR(Table1[[#This Row],[Last_Restock_Date]])</f>
        <v>2025</v>
      </c>
      <c r="M879" t="str">
        <f>_xlfn.CONCAT(TEXT(Table1[[#This Row],[Last_Restock_Date]],"mmm"), "-", YEAR(Table1[[#This Row],[Last_Restock_Date]]))</f>
        <v>Aug-2025</v>
      </c>
      <c r="N879">
        <f>MONTH(Table1[[#This Row],[Last_Restock_Date]])</f>
        <v>8</v>
      </c>
      <c r="O879" t="str" cm="1">
        <f t="array" ref="O879">_xlfn.SWITCH(Table1[[#This Row],[Month_Number]],
    1,"Q1",2,"Q1",3,"Q1",
    4,"Q2",5,"Q2",6,"Q2",
    7,"Q3",8,"Q3",9,"Q3",
    10,"Q4",11,"Q4",12,"Q4",
    "Invalid Month"
)</f>
        <v>Q3</v>
      </c>
      <c r="P879" t="str">
        <f>TEXT(Table1[[#This Row],[Last_Restock_Date]],"mmm")</f>
        <v>Aug</v>
      </c>
    </row>
    <row r="880" spans="1:16" x14ac:dyDescent="0.25">
      <c r="A880">
        <v>879</v>
      </c>
      <c r="B880" s="5" t="s">
        <v>31</v>
      </c>
      <c r="C880" s="5" t="s">
        <v>20</v>
      </c>
      <c r="D880" s="5" t="s">
        <v>17</v>
      </c>
      <c r="E880" s="5" t="s">
        <v>27</v>
      </c>
      <c r="F880" s="2">
        <v>242</v>
      </c>
      <c r="G880" s="3">
        <v>133.9</v>
      </c>
      <c r="H880">
        <v>62</v>
      </c>
      <c r="I880">
        <f>IF(Table1[[#This Row],[Status]]= "Sufficient",
     Table1[[#This Row],[Stock_Quantity]] - Table1[[#This Row],[Reorder_Level]],
     0)</f>
        <v>180</v>
      </c>
      <c r="J880" s="4">
        <v>45210</v>
      </c>
      <c r="K880" s="5" t="s">
        <v>14</v>
      </c>
      <c r="L880">
        <f>YEAR(Table1[[#This Row],[Last_Restock_Date]])</f>
        <v>2023</v>
      </c>
      <c r="M880" t="str">
        <f>_xlfn.CONCAT(TEXT(Table1[[#This Row],[Last_Restock_Date]],"mmm"), "-", YEAR(Table1[[#This Row],[Last_Restock_Date]]))</f>
        <v>Oct-2023</v>
      </c>
      <c r="N880">
        <f>MONTH(Table1[[#This Row],[Last_Restock_Date]])</f>
        <v>10</v>
      </c>
      <c r="O880" t="str" cm="1">
        <f t="array" ref="O880">_xlfn.SWITCH(Table1[[#This Row],[Month_Number]],
    1,"Q1",2,"Q1",3,"Q1",
    4,"Q2",5,"Q2",6,"Q2",
    7,"Q3",8,"Q3",9,"Q3",
    10,"Q4",11,"Q4",12,"Q4",
    "Invalid Month"
)</f>
        <v>Q4</v>
      </c>
      <c r="P880" t="str">
        <f>TEXT(Table1[[#This Row],[Last_Restock_Date]],"mmm")</f>
        <v>Oct</v>
      </c>
    </row>
    <row r="881" spans="1:16" x14ac:dyDescent="0.25">
      <c r="A881">
        <v>880</v>
      </c>
      <c r="B881" s="5" t="s">
        <v>40</v>
      </c>
      <c r="C881" s="5" t="s">
        <v>34</v>
      </c>
      <c r="D881" s="5" t="s">
        <v>21</v>
      </c>
      <c r="E881" s="5" t="s">
        <v>37</v>
      </c>
      <c r="F881" s="2">
        <v>146</v>
      </c>
      <c r="G881" s="3">
        <v>61.89</v>
      </c>
      <c r="H881">
        <v>61</v>
      </c>
      <c r="I881">
        <f>IF(Table1[[#This Row],[Status]]= "Sufficient",
     Table1[[#This Row],[Stock_Quantity]] - Table1[[#This Row],[Reorder_Level]],
     0)</f>
        <v>85</v>
      </c>
      <c r="J881" s="4">
        <v>45541</v>
      </c>
      <c r="K881" s="5" t="s">
        <v>14</v>
      </c>
      <c r="L881">
        <f>YEAR(Table1[[#This Row],[Last_Restock_Date]])</f>
        <v>2024</v>
      </c>
      <c r="M881" t="str">
        <f>_xlfn.CONCAT(TEXT(Table1[[#This Row],[Last_Restock_Date]],"mmm"), "-", YEAR(Table1[[#This Row],[Last_Restock_Date]]))</f>
        <v>Sep-2024</v>
      </c>
      <c r="N881">
        <f>MONTH(Table1[[#This Row],[Last_Restock_Date]])</f>
        <v>9</v>
      </c>
      <c r="O881" t="str" cm="1">
        <f t="array" ref="O881">_xlfn.SWITCH(Table1[[#This Row],[Month_Number]],
    1,"Q1",2,"Q1",3,"Q1",
    4,"Q2",5,"Q2",6,"Q2",
    7,"Q3",8,"Q3",9,"Q3",
    10,"Q4",11,"Q4",12,"Q4",
    "Invalid Month"
)</f>
        <v>Q3</v>
      </c>
      <c r="P881" t="str">
        <f>TEXT(Table1[[#This Row],[Last_Restock_Date]],"mmm")</f>
        <v>Sep</v>
      </c>
    </row>
    <row r="882" spans="1:16" x14ac:dyDescent="0.25">
      <c r="A882">
        <v>881</v>
      </c>
      <c r="B882" s="5" t="s">
        <v>53</v>
      </c>
      <c r="C882" s="5" t="s">
        <v>26</v>
      </c>
      <c r="D882" s="5" t="s">
        <v>30</v>
      </c>
      <c r="E882" s="5" t="s">
        <v>18</v>
      </c>
      <c r="F882" s="2">
        <v>90</v>
      </c>
      <c r="G882" s="3">
        <v>59.74</v>
      </c>
      <c r="H882">
        <v>72</v>
      </c>
      <c r="I882">
        <f>IF(Table1[[#This Row],[Status]]= "Sufficient",
     Table1[[#This Row],[Stock_Quantity]] - Table1[[#This Row],[Reorder_Level]],
     0)</f>
        <v>18</v>
      </c>
      <c r="J882" s="4">
        <v>45407</v>
      </c>
      <c r="K882" s="5" t="s">
        <v>14</v>
      </c>
      <c r="L882">
        <f>YEAR(Table1[[#This Row],[Last_Restock_Date]])</f>
        <v>2024</v>
      </c>
      <c r="M882" t="str">
        <f>_xlfn.CONCAT(TEXT(Table1[[#This Row],[Last_Restock_Date]],"mmm"), "-", YEAR(Table1[[#This Row],[Last_Restock_Date]]))</f>
        <v>Apr-2024</v>
      </c>
      <c r="N882">
        <f>MONTH(Table1[[#This Row],[Last_Restock_Date]])</f>
        <v>4</v>
      </c>
      <c r="O882" t="str" cm="1">
        <f t="array" ref="O882">_xlfn.SWITCH(Table1[[#This Row],[Month_Number]],
    1,"Q1",2,"Q1",3,"Q1",
    4,"Q2",5,"Q2",6,"Q2",
    7,"Q3",8,"Q3",9,"Q3",
    10,"Q4",11,"Q4",12,"Q4",
    "Invalid Month"
)</f>
        <v>Q2</v>
      </c>
      <c r="P882" t="str">
        <f>TEXT(Table1[[#This Row],[Last_Restock_Date]],"mmm")</f>
        <v>Apr</v>
      </c>
    </row>
    <row r="883" spans="1:16" x14ac:dyDescent="0.25">
      <c r="A883">
        <v>882</v>
      </c>
      <c r="B883" s="5" t="s">
        <v>44</v>
      </c>
      <c r="C883" s="5" t="s">
        <v>34</v>
      </c>
      <c r="D883" s="5" t="s">
        <v>21</v>
      </c>
      <c r="E883" s="5" t="s">
        <v>37</v>
      </c>
      <c r="F883" s="2">
        <v>147</v>
      </c>
      <c r="G883" s="3">
        <v>199.02</v>
      </c>
      <c r="H883">
        <v>70</v>
      </c>
      <c r="I883">
        <f>IF(Table1[[#This Row],[Status]]= "Sufficient",
     Table1[[#This Row],[Stock_Quantity]] - Table1[[#This Row],[Reorder_Level]],
     0)</f>
        <v>77</v>
      </c>
      <c r="J883" s="4">
        <v>45874</v>
      </c>
      <c r="K883" s="5" t="s">
        <v>14</v>
      </c>
      <c r="L883">
        <f>YEAR(Table1[[#This Row],[Last_Restock_Date]])</f>
        <v>2025</v>
      </c>
      <c r="M883" t="str">
        <f>_xlfn.CONCAT(TEXT(Table1[[#This Row],[Last_Restock_Date]],"mmm"), "-", YEAR(Table1[[#This Row],[Last_Restock_Date]]))</f>
        <v>Aug-2025</v>
      </c>
      <c r="N883">
        <f>MONTH(Table1[[#This Row],[Last_Restock_Date]])</f>
        <v>8</v>
      </c>
      <c r="O883" t="str" cm="1">
        <f t="array" ref="O883">_xlfn.SWITCH(Table1[[#This Row],[Month_Number]],
    1,"Q1",2,"Q1",3,"Q1",
    4,"Q2",5,"Q2",6,"Q2",
    7,"Q3",8,"Q3",9,"Q3",
    10,"Q4",11,"Q4",12,"Q4",
    "Invalid Month"
)</f>
        <v>Q3</v>
      </c>
      <c r="P883" t="str">
        <f>TEXT(Table1[[#This Row],[Last_Restock_Date]],"mmm")</f>
        <v>Aug</v>
      </c>
    </row>
    <row r="884" spans="1:16" x14ac:dyDescent="0.25">
      <c r="A884">
        <v>883</v>
      </c>
      <c r="B884" s="5" t="s">
        <v>45</v>
      </c>
      <c r="C884" s="5" t="s">
        <v>26</v>
      </c>
      <c r="D884" s="5" t="s">
        <v>21</v>
      </c>
      <c r="E884" s="5" t="s">
        <v>13</v>
      </c>
      <c r="F884" s="2">
        <v>59</v>
      </c>
      <c r="G884" s="3">
        <v>258.7</v>
      </c>
      <c r="H884">
        <v>100</v>
      </c>
      <c r="I884">
        <f>IF(Table1[[#This Row],[Status]]= "Sufficient",
     Table1[[#This Row],[Stock_Quantity]] - Table1[[#This Row],[Reorder_Level]],
     0)</f>
        <v>0</v>
      </c>
      <c r="J884" s="4">
        <v>45887</v>
      </c>
      <c r="K884" s="5" t="s">
        <v>28</v>
      </c>
      <c r="L884">
        <f>YEAR(Table1[[#This Row],[Last_Restock_Date]])</f>
        <v>2025</v>
      </c>
      <c r="M884" t="str">
        <f>_xlfn.CONCAT(TEXT(Table1[[#This Row],[Last_Restock_Date]],"mmm"), "-", YEAR(Table1[[#This Row],[Last_Restock_Date]]))</f>
        <v>Aug-2025</v>
      </c>
      <c r="N884">
        <f>MONTH(Table1[[#This Row],[Last_Restock_Date]])</f>
        <v>8</v>
      </c>
      <c r="O884" t="str" cm="1">
        <f t="array" ref="O884">_xlfn.SWITCH(Table1[[#This Row],[Month_Number]],
    1,"Q1",2,"Q1",3,"Q1",
    4,"Q2",5,"Q2",6,"Q2",
    7,"Q3",8,"Q3",9,"Q3",
    10,"Q4",11,"Q4",12,"Q4",
    "Invalid Month"
)</f>
        <v>Q3</v>
      </c>
      <c r="P884" t="str">
        <f>TEXT(Table1[[#This Row],[Last_Restock_Date]],"mmm")</f>
        <v>Aug</v>
      </c>
    </row>
    <row r="885" spans="1:16" x14ac:dyDescent="0.25">
      <c r="A885">
        <v>884</v>
      </c>
      <c r="B885" s="5" t="s">
        <v>49</v>
      </c>
      <c r="C885" s="5" t="s">
        <v>16</v>
      </c>
      <c r="D885" s="5" t="s">
        <v>17</v>
      </c>
      <c r="E885" s="5" t="s">
        <v>32</v>
      </c>
      <c r="F885" s="2">
        <v>417</v>
      </c>
      <c r="G885" s="3">
        <v>160.22</v>
      </c>
      <c r="H885">
        <v>147</v>
      </c>
      <c r="I885">
        <f>IF(Table1[[#This Row],[Status]]= "Sufficient",
     Table1[[#This Row],[Stock_Quantity]] - Table1[[#This Row],[Reorder_Level]],
     0)</f>
        <v>270</v>
      </c>
      <c r="J885" s="4">
        <v>46019</v>
      </c>
      <c r="K885" s="5" t="s">
        <v>14</v>
      </c>
      <c r="L885">
        <f>YEAR(Table1[[#This Row],[Last_Restock_Date]])</f>
        <v>2025</v>
      </c>
      <c r="M885" t="str">
        <f>_xlfn.CONCAT(TEXT(Table1[[#This Row],[Last_Restock_Date]],"mmm"), "-", YEAR(Table1[[#This Row],[Last_Restock_Date]]))</f>
        <v>Dec-2025</v>
      </c>
      <c r="N885">
        <f>MONTH(Table1[[#This Row],[Last_Restock_Date]])</f>
        <v>12</v>
      </c>
      <c r="O885" t="str" cm="1">
        <f t="array" ref="O885">_xlfn.SWITCH(Table1[[#This Row],[Month_Number]],
    1,"Q1",2,"Q1",3,"Q1",
    4,"Q2",5,"Q2",6,"Q2",
    7,"Q3",8,"Q3",9,"Q3",
    10,"Q4",11,"Q4",12,"Q4",
    "Invalid Month"
)</f>
        <v>Q4</v>
      </c>
      <c r="P885" t="str">
        <f>TEXT(Table1[[#This Row],[Last_Restock_Date]],"mmm")</f>
        <v>Dec</v>
      </c>
    </row>
    <row r="886" spans="1:16" x14ac:dyDescent="0.25">
      <c r="A886">
        <v>885</v>
      </c>
      <c r="B886" s="5" t="s">
        <v>23</v>
      </c>
      <c r="C886" s="5" t="s">
        <v>20</v>
      </c>
      <c r="D886" s="5" t="s">
        <v>24</v>
      </c>
      <c r="E886" s="5" t="s">
        <v>27</v>
      </c>
      <c r="F886" s="2">
        <v>415</v>
      </c>
      <c r="G886" s="3">
        <v>306.89</v>
      </c>
      <c r="H886">
        <v>97</v>
      </c>
      <c r="I886">
        <f>IF(Table1[[#This Row],[Status]]= "Sufficient",
     Table1[[#This Row],[Stock_Quantity]] - Table1[[#This Row],[Reorder_Level]],
     0)</f>
        <v>318</v>
      </c>
      <c r="J886" s="4">
        <v>45360</v>
      </c>
      <c r="K886" s="5" t="s">
        <v>14</v>
      </c>
      <c r="L886">
        <f>YEAR(Table1[[#This Row],[Last_Restock_Date]])</f>
        <v>2024</v>
      </c>
      <c r="M886" t="str">
        <f>_xlfn.CONCAT(TEXT(Table1[[#This Row],[Last_Restock_Date]],"mmm"), "-", YEAR(Table1[[#This Row],[Last_Restock_Date]]))</f>
        <v>Mar-2024</v>
      </c>
      <c r="N886">
        <f>MONTH(Table1[[#This Row],[Last_Restock_Date]])</f>
        <v>3</v>
      </c>
      <c r="O886" t="str" cm="1">
        <f t="array" ref="O886">_xlfn.SWITCH(Table1[[#This Row],[Month_Number]],
    1,"Q1",2,"Q1",3,"Q1",
    4,"Q2",5,"Q2",6,"Q2",
    7,"Q3",8,"Q3",9,"Q3",
    10,"Q4",11,"Q4",12,"Q4",
    "Invalid Month"
)</f>
        <v>Q1</v>
      </c>
      <c r="P886" t="str">
        <f>TEXT(Table1[[#This Row],[Last_Restock_Date]],"mmm")</f>
        <v>Mar</v>
      </c>
    </row>
    <row r="887" spans="1:16" x14ac:dyDescent="0.25">
      <c r="A887">
        <v>886</v>
      </c>
      <c r="B887" s="5" t="s">
        <v>31</v>
      </c>
      <c r="C887" s="5" t="s">
        <v>20</v>
      </c>
      <c r="D887" s="5" t="s">
        <v>30</v>
      </c>
      <c r="E887" s="5" t="s">
        <v>32</v>
      </c>
      <c r="F887" s="2">
        <v>437</v>
      </c>
      <c r="G887" s="3">
        <v>36.07</v>
      </c>
      <c r="H887">
        <v>72</v>
      </c>
      <c r="I887">
        <f>IF(Table1[[#This Row],[Status]]= "Sufficient",
     Table1[[#This Row],[Stock_Quantity]] - Table1[[#This Row],[Reorder_Level]],
     0)</f>
        <v>365</v>
      </c>
      <c r="J887" s="4">
        <v>45920</v>
      </c>
      <c r="K887" s="5" t="s">
        <v>14</v>
      </c>
      <c r="L887">
        <f>YEAR(Table1[[#This Row],[Last_Restock_Date]])</f>
        <v>2025</v>
      </c>
      <c r="M887" t="str">
        <f>_xlfn.CONCAT(TEXT(Table1[[#This Row],[Last_Restock_Date]],"mmm"), "-", YEAR(Table1[[#This Row],[Last_Restock_Date]]))</f>
        <v>Sep-2025</v>
      </c>
      <c r="N887">
        <f>MONTH(Table1[[#This Row],[Last_Restock_Date]])</f>
        <v>9</v>
      </c>
      <c r="O887" t="str" cm="1">
        <f t="array" ref="O887">_xlfn.SWITCH(Table1[[#This Row],[Month_Number]],
    1,"Q1",2,"Q1",3,"Q1",
    4,"Q2",5,"Q2",6,"Q2",
    7,"Q3",8,"Q3",9,"Q3",
    10,"Q4",11,"Q4",12,"Q4",
    "Invalid Month"
)</f>
        <v>Q3</v>
      </c>
      <c r="P887" t="str">
        <f>TEXT(Table1[[#This Row],[Last_Restock_Date]],"mmm")</f>
        <v>Sep</v>
      </c>
    </row>
    <row r="888" spans="1:16" x14ac:dyDescent="0.25">
      <c r="A888">
        <v>887</v>
      </c>
      <c r="B888" s="5" t="s">
        <v>48</v>
      </c>
      <c r="C888" s="5" t="s">
        <v>20</v>
      </c>
      <c r="D888" s="5" t="s">
        <v>30</v>
      </c>
      <c r="E888" s="5" t="s">
        <v>37</v>
      </c>
      <c r="F888" s="2">
        <v>56</v>
      </c>
      <c r="G888" s="3">
        <v>254.68</v>
      </c>
      <c r="H888">
        <v>51</v>
      </c>
      <c r="I888">
        <f>IF(Table1[[#This Row],[Status]]= "Sufficient",
     Table1[[#This Row],[Stock_Quantity]] - Table1[[#This Row],[Reorder_Level]],
     0)</f>
        <v>5</v>
      </c>
      <c r="J888" s="4">
        <v>45500</v>
      </c>
      <c r="K888" s="5" t="s">
        <v>14</v>
      </c>
      <c r="L888">
        <f>YEAR(Table1[[#This Row],[Last_Restock_Date]])</f>
        <v>2024</v>
      </c>
      <c r="M888" t="str">
        <f>_xlfn.CONCAT(TEXT(Table1[[#This Row],[Last_Restock_Date]],"mmm"), "-", YEAR(Table1[[#This Row],[Last_Restock_Date]]))</f>
        <v>Jul-2024</v>
      </c>
      <c r="N888">
        <f>MONTH(Table1[[#This Row],[Last_Restock_Date]])</f>
        <v>7</v>
      </c>
      <c r="O888" t="str" cm="1">
        <f t="array" ref="O888">_xlfn.SWITCH(Table1[[#This Row],[Month_Number]],
    1,"Q1",2,"Q1",3,"Q1",
    4,"Q2",5,"Q2",6,"Q2",
    7,"Q3",8,"Q3",9,"Q3",
    10,"Q4",11,"Q4",12,"Q4",
    "Invalid Month"
)</f>
        <v>Q3</v>
      </c>
      <c r="P888" t="str">
        <f>TEXT(Table1[[#This Row],[Last_Restock_Date]],"mmm")</f>
        <v>Jul</v>
      </c>
    </row>
    <row r="889" spans="1:16" x14ac:dyDescent="0.25">
      <c r="A889">
        <v>888</v>
      </c>
      <c r="B889" s="5" t="s">
        <v>22</v>
      </c>
      <c r="C889" s="5" t="s">
        <v>11</v>
      </c>
      <c r="D889" s="5" t="s">
        <v>24</v>
      </c>
      <c r="E889" s="5" t="s">
        <v>18</v>
      </c>
      <c r="F889" s="2">
        <v>408</v>
      </c>
      <c r="G889" s="3">
        <v>744.28</v>
      </c>
      <c r="H889">
        <v>82</v>
      </c>
      <c r="I889">
        <f>IF(Table1[[#This Row],[Status]]= "Sufficient",
     Table1[[#This Row],[Stock_Quantity]] - Table1[[#This Row],[Reorder_Level]],
     0)</f>
        <v>326</v>
      </c>
      <c r="J889" s="4">
        <v>45201</v>
      </c>
      <c r="K889" s="5" t="s">
        <v>14</v>
      </c>
      <c r="L889">
        <f>YEAR(Table1[[#This Row],[Last_Restock_Date]])</f>
        <v>2023</v>
      </c>
      <c r="M889" t="str">
        <f>_xlfn.CONCAT(TEXT(Table1[[#This Row],[Last_Restock_Date]],"mmm"), "-", YEAR(Table1[[#This Row],[Last_Restock_Date]]))</f>
        <v>Oct-2023</v>
      </c>
      <c r="N889">
        <f>MONTH(Table1[[#This Row],[Last_Restock_Date]])</f>
        <v>10</v>
      </c>
      <c r="O889" t="str" cm="1">
        <f t="array" ref="O889">_xlfn.SWITCH(Table1[[#This Row],[Month_Number]],
    1,"Q1",2,"Q1",3,"Q1",
    4,"Q2",5,"Q2",6,"Q2",
    7,"Q3",8,"Q3",9,"Q3",
    10,"Q4",11,"Q4",12,"Q4",
    "Invalid Month"
)</f>
        <v>Q4</v>
      </c>
      <c r="P889" t="str">
        <f>TEXT(Table1[[#This Row],[Last_Restock_Date]],"mmm")</f>
        <v>Oct</v>
      </c>
    </row>
    <row r="890" spans="1:16" x14ac:dyDescent="0.25">
      <c r="A890">
        <v>889</v>
      </c>
      <c r="B890" s="5" t="s">
        <v>19</v>
      </c>
      <c r="C890" s="5" t="s">
        <v>20</v>
      </c>
      <c r="D890" s="5" t="s">
        <v>21</v>
      </c>
      <c r="E890" s="5" t="s">
        <v>13</v>
      </c>
      <c r="F890" s="2">
        <v>176</v>
      </c>
      <c r="G890" s="3">
        <v>436.42</v>
      </c>
      <c r="H890">
        <v>94</v>
      </c>
      <c r="I890">
        <f>IF(Table1[[#This Row],[Status]]= "Sufficient",
     Table1[[#This Row],[Stock_Quantity]] - Table1[[#This Row],[Reorder_Level]],
     0)</f>
        <v>82</v>
      </c>
      <c r="J890" s="4">
        <v>45196</v>
      </c>
      <c r="K890" s="5" t="s">
        <v>14</v>
      </c>
      <c r="L890">
        <f>YEAR(Table1[[#This Row],[Last_Restock_Date]])</f>
        <v>2023</v>
      </c>
      <c r="M890" t="str">
        <f>_xlfn.CONCAT(TEXT(Table1[[#This Row],[Last_Restock_Date]],"mmm"), "-", YEAR(Table1[[#This Row],[Last_Restock_Date]]))</f>
        <v>Sep-2023</v>
      </c>
      <c r="N890">
        <f>MONTH(Table1[[#This Row],[Last_Restock_Date]])</f>
        <v>9</v>
      </c>
      <c r="O890" t="str" cm="1">
        <f t="array" ref="O890">_xlfn.SWITCH(Table1[[#This Row],[Month_Number]],
    1,"Q1",2,"Q1",3,"Q1",
    4,"Q2",5,"Q2",6,"Q2",
    7,"Q3",8,"Q3",9,"Q3",
    10,"Q4",11,"Q4",12,"Q4",
    "Invalid Month"
)</f>
        <v>Q3</v>
      </c>
      <c r="P890" t="str">
        <f>TEXT(Table1[[#This Row],[Last_Restock_Date]],"mmm")</f>
        <v>Sep</v>
      </c>
    </row>
    <row r="891" spans="1:16" x14ac:dyDescent="0.25">
      <c r="A891">
        <v>890</v>
      </c>
      <c r="B891" s="5" t="s">
        <v>35</v>
      </c>
      <c r="C891" s="5" t="s">
        <v>11</v>
      </c>
      <c r="D891" s="5" t="s">
        <v>24</v>
      </c>
      <c r="E891" s="5" t="s">
        <v>18</v>
      </c>
      <c r="F891" s="2">
        <v>261</v>
      </c>
      <c r="G891" s="3">
        <v>339.04</v>
      </c>
      <c r="H891">
        <v>68</v>
      </c>
      <c r="I891">
        <f>IF(Table1[[#This Row],[Status]]= "Sufficient",
     Table1[[#This Row],[Stock_Quantity]] - Table1[[#This Row],[Reorder_Level]],
     0)</f>
        <v>193</v>
      </c>
      <c r="J891" s="4">
        <v>45613</v>
      </c>
      <c r="K891" s="5" t="s">
        <v>14</v>
      </c>
      <c r="L891">
        <f>YEAR(Table1[[#This Row],[Last_Restock_Date]])</f>
        <v>2024</v>
      </c>
      <c r="M891" t="str">
        <f>_xlfn.CONCAT(TEXT(Table1[[#This Row],[Last_Restock_Date]],"mmm"), "-", YEAR(Table1[[#This Row],[Last_Restock_Date]]))</f>
        <v>Nov-2024</v>
      </c>
      <c r="N891">
        <f>MONTH(Table1[[#This Row],[Last_Restock_Date]])</f>
        <v>11</v>
      </c>
      <c r="O891" t="str" cm="1">
        <f t="array" ref="O891">_xlfn.SWITCH(Table1[[#This Row],[Month_Number]],
    1,"Q1",2,"Q1",3,"Q1",
    4,"Q2",5,"Q2",6,"Q2",
    7,"Q3",8,"Q3",9,"Q3",
    10,"Q4",11,"Q4",12,"Q4",
    "Invalid Month"
)</f>
        <v>Q4</v>
      </c>
      <c r="P891" t="str">
        <f>TEXT(Table1[[#This Row],[Last_Restock_Date]],"mmm")</f>
        <v>Nov</v>
      </c>
    </row>
    <row r="892" spans="1:16" x14ac:dyDescent="0.25">
      <c r="A892">
        <v>891</v>
      </c>
      <c r="B892" s="5" t="s">
        <v>29</v>
      </c>
      <c r="C892" s="5" t="s">
        <v>16</v>
      </c>
      <c r="D892" s="5" t="s">
        <v>17</v>
      </c>
      <c r="E892" s="5" t="s">
        <v>32</v>
      </c>
      <c r="F892" s="2">
        <v>436</v>
      </c>
      <c r="G892" s="3">
        <v>333.13</v>
      </c>
      <c r="H892">
        <v>130</v>
      </c>
      <c r="I892">
        <f>IF(Table1[[#This Row],[Status]]= "Sufficient",
     Table1[[#This Row],[Stock_Quantity]] - Table1[[#This Row],[Reorder_Level]],
     0)</f>
        <v>306</v>
      </c>
      <c r="J892" s="4">
        <v>45946</v>
      </c>
      <c r="K892" s="5" t="s">
        <v>14</v>
      </c>
      <c r="L892">
        <f>YEAR(Table1[[#This Row],[Last_Restock_Date]])</f>
        <v>2025</v>
      </c>
      <c r="M892" t="str">
        <f>_xlfn.CONCAT(TEXT(Table1[[#This Row],[Last_Restock_Date]],"mmm"), "-", YEAR(Table1[[#This Row],[Last_Restock_Date]]))</f>
        <v>Oct-2025</v>
      </c>
      <c r="N892">
        <f>MONTH(Table1[[#This Row],[Last_Restock_Date]])</f>
        <v>10</v>
      </c>
      <c r="O892" t="str" cm="1">
        <f t="array" ref="O892">_xlfn.SWITCH(Table1[[#This Row],[Month_Number]],
    1,"Q1",2,"Q1",3,"Q1",
    4,"Q2",5,"Q2",6,"Q2",
    7,"Q3",8,"Q3",9,"Q3",
    10,"Q4",11,"Q4",12,"Q4",
    "Invalid Month"
)</f>
        <v>Q4</v>
      </c>
      <c r="P892" t="str">
        <f>TEXT(Table1[[#This Row],[Last_Restock_Date]],"mmm")</f>
        <v>Oct</v>
      </c>
    </row>
    <row r="893" spans="1:16" x14ac:dyDescent="0.25">
      <c r="A893">
        <v>892</v>
      </c>
      <c r="B893" s="5" t="s">
        <v>50</v>
      </c>
      <c r="C893" s="5" t="s">
        <v>34</v>
      </c>
      <c r="D893" s="5" t="s">
        <v>21</v>
      </c>
      <c r="E893" s="5" t="s">
        <v>32</v>
      </c>
      <c r="F893" s="2">
        <v>206</v>
      </c>
      <c r="G893" s="3">
        <v>317.49</v>
      </c>
      <c r="H893">
        <v>54</v>
      </c>
      <c r="I893">
        <f>IF(Table1[[#This Row],[Status]]= "Sufficient",
     Table1[[#This Row],[Stock_Quantity]] - Table1[[#This Row],[Reorder_Level]],
     0)</f>
        <v>152</v>
      </c>
      <c r="J893" s="4">
        <v>45604</v>
      </c>
      <c r="K893" s="5" t="s">
        <v>14</v>
      </c>
      <c r="L893">
        <f>YEAR(Table1[[#This Row],[Last_Restock_Date]])</f>
        <v>2024</v>
      </c>
      <c r="M893" t="str">
        <f>_xlfn.CONCAT(TEXT(Table1[[#This Row],[Last_Restock_Date]],"mmm"), "-", YEAR(Table1[[#This Row],[Last_Restock_Date]]))</f>
        <v>Nov-2024</v>
      </c>
      <c r="N893">
        <f>MONTH(Table1[[#This Row],[Last_Restock_Date]])</f>
        <v>11</v>
      </c>
      <c r="O893" t="str" cm="1">
        <f t="array" ref="O893">_xlfn.SWITCH(Table1[[#This Row],[Month_Number]],
    1,"Q1",2,"Q1",3,"Q1",
    4,"Q2",5,"Q2",6,"Q2",
    7,"Q3",8,"Q3",9,"Q3",
    10,"Q4",11,"Q4",12,"Q4",
    "Invalid Month"
)</f>
        <v>Q4</v>
      </c>
      <c r="P893" t="str">
        <f>TEXT(Table1[[#This Row],[Last_Restock_Date]],"mmm")</f>
        <v>Nov</v>
      </c>
    </row>
    <row r="894" spans="1:16" x14ac:dyDescent="0.25">
      <c r="A894">
        <v>893</v>
      </c>
      <c r="B894" s="5" t="s">
        <v>54</v>
      </c>
      <c r="C894" s="5" t="s">
        <v>20</v>
      </c>
      <c r="D894" s="5" t="s">
        <v>21</v>
      </c>
      <c r="E894" s="5" t="s">
        <v>18</v>
      </c>
      <c r="F894" s="2">
        <v>475</v>
      </c>
      <c r="G894" s="3">
        <v>204.33</v>
      </c>
      <c r="H894">
        <v>140</v>
      </c>
      <c r="I894">
        <f>IF(Table1[[#This Row],[Status]]= "Sufficient",
     Table1[[#This Row],[Stock_Quantity]] - Table1[[#This Row],[Reorder_Level]],
     0)</f>
        <v>335</v>
      </c>
      <c r="J894" s="4">
        <v>45440</v>
      </c>
      <c r="K894" s="5" t="s">
        <v>14</v>
      </c>
      <c r="L894">
        <f>YEAR(Table1[[#This Row],[Last_Restock_Date]])</f>
        <v>2024</v>
      </c>
      <c r="M894" t="str">
        <f>_xlfn.CONCAT(TEXT(Table1[[#This Row],[Last_Restock_Date]],"mmm"), "-", YEAR(Table1[[#This Row],[Last_Restock_Date]]))</f>
        <v>May-2024</v>
      </c>
      <c r="N894">
        <f>MONTH(Table1[[#This Row],[Last_Restock_Date]])</f>
        <v>5</v>
      </c>
      <c r="O894" t="str" cm="1">
        <f t="array" ref="O894">_xlfn.SWITCH(Table1[[#This Row],[Month_Number]],
    1,"Q1",2,"Q1",3,"Q1",
    4,"Q2",5,"Q2",6,"Q2",
    7,"Q3",8,"Q3",9,"Q3",
    10,"Q4",11,"Q4",12,"Q4",
    "Invalid Month"
)</f>
        <v>Q2</v>
      </c>
      <c r="P894" t="str">
        <f>TEXT(Table1[[#This Row],[Last_Restock_Date]],"mmm")</f>
        <v>May</v>
      </c>
    </row>
    <row r="895" spans="1:16" x14ac:dyDescent="0.25">
      <c r="A895">
        <v>894</v>
      </c>
      <c r="B895" s="5" t="s">
        <v>50</v>
      </c>
      <c r="C895" s="5" t="s">
        <v>34</v>
      </c>
      <c r="D895" s="5" t="s">
        <v>30</v>
      </c>
      <c r="E895" s="5" t="s">
        <v>39</v>
      </c>
      <c r="F895" s="2">
        <v>90</v>
      </c>
      <c r="G895" s="3">
        <v>480.38</v>
      </c>
      <c r="H895">
        <v>102</v>
      </c>
      <c r="I895">
        <f>IF(Table1[[#This Row],[Status]]= "Sufficient",
     Table1[[#This Row],[Stock_Quantity]] - Table1[[#This Row],[Reorder_Level]],
     0)</f>
        <v>0</v>
      </c>
      <c r="J895" s="4">
        <v>45026</v>
      </c>
      <c r="K895" s="5" t="s">
        <v>28</v>
      </c>
      <c r="L895">
        <f>YEAR(Table1[[#This Row],[Last_Restock_Date]])</f>
        <v>2023</v>
      </c>
      <c r="M895" t="str">
        <f>_xlfn.CONCAT(TEXT(Table1[[#This Row],[Last_Restock_Date]],"mmm"), "-", YEAR(Table1[[#This Row],[Last_Restock_Date]]))</f>
        <v>Apr-2023</v>
      </c>
      <c r="N895">
        <f>MONTH(Table1[[#This Row],[Last_Restock_Date]])</f>
        <v>4</v>
      </c>
      <c r="O895" t="str" cm="1">
        <f t="array" ref="O895">_xlfn.SWITCH(Table1[[#This Row],[Month_Number]],
    1,"Q1",2,"Q1",3,"Q1",
    4,"Q2",5,"Q2",6,"Q2",
    7,"Q3",8,"Q3",9,"Q3",
    10,"Q4",11,"Q4",12,"Q4",
    "Invalid Month"
)</f>
        <v>Q2</v>
      </c>
      <c r="P895" t="str">
        <f>TEXT(Table1[[#This Row],[Last_Restock_Date]],"mmm")</f>
        <v>Apr</v>
      </c>
    </row>
    <row r="896" spans="1:16" x14ac:dyDescent="0.25">
      <c r="A896">
        <v>895</v>
      </c>
      <c r="B896" s="5" t="s">
        <v>44</v>
      </c>
      <c r="C896" s="5" t="s">
        <v>34</v>
      </c>
      <c r="D896" s="5" t="s">
        <v>24</v>
      </c>
      <c r="E896" s="5" t="s">
        <v>39</v>
      </c>
      <c r="F896" s="2">
        <v>226</v>
      </c>
      <c r="G896" s="3">
        <v>796.78</v>
      </c>
      <c r="H896">
        <v>51</v>
      </c>
      <c r="I896">
        <f>IF(Table1[[#This Row],[Status]]= "Sufficient",
     Table1[[#This Row],[Stock_Quantity]] - Table1[[#This Row],[Reorder_Level]],
     0)</f>
        <v>175</v>
      </c>
      <c r="J896" s="4">
        <v>45817</v>
      </c>
      <c r="K896" s="5" t="s">
        <v>14</v>
      </c>
      <c r="L896">
        <f>YEAR(Table1[[#This Row],[Last_Restock_Date]])</f>
        <v>2025</v>
      </c>
      <c r="M896" t="str">
        <f>_xlfn.CONCAT(TEXT(Table1[[#This Row],[Last_Restock_Date]],"mmm"), "-", YEAR(Table1[[#This Row],[Last_Restock_Date]]))</f>
        <v>Jun-2025</v>
      </c>
      <c r="N896">
        <f>MONTH(Table1[[#This Row],[Last_Restock_Date]])</f>
        <v>6</v>
      </c>
      <c r="O896" t="str" cm="1">
        <f t="array" ref="O896">_xlfn.SWITCH(Table1[[#This Row],[Month_Number]],
    1,"Q1",2,"Q1",3,"Q1",
    4,"Q2",5,"Q2",6,"Q2",
    7,"Q3",8,"Q3",9,"Q3",
    10,"Q4",11,"Q4",12,"Q4",
    "Invalid Month"
)</f>
        <v>Q2</v>
      </c>
      <c r="P896" t="str">
        <f>TEXT(Table1[[#This Row],[Last_Restock_Date]],"mmm")</f>
        <v>Jun</v>
      </c>
    </row>
    <row r="897" spans="1:16" x14ac:dyDescent="0.25">
      <c r="A897">
        <v>896</v>
      </c>
      <c r="B897" s="5" t="s">
        <v>36</v>
      </c>
      <c r="C897" s="5" t="s">
        <v>11</v>
      </c>
      <c r="D897" s="5" t="s">
        <v>21</v>
      </c>
      <c r="E897" s="5" t="s">
        <v>18</v>
      </c>
      <c r="F897" s="2">
        <v>179</v>
      </c>
      <c r="G897" s="3">
        <v>171.1</v>
      </c>
      <c r="H897">
        <v>72</v>
      </c>
      <c r="I897">
        <f>IF(Table1[[#This Row],[Status]]= "Sufficient",
     Table1[[#This Row],[Stock_Quantity]] - Table1[[#This Row],[Reorder_Level]],
     0)</f>
        <v>107</v>
      </c>
      <c r="J897" s="4">
        <v>44984</v>
      </c>
      <c r="K897" s="5" t="s">
        <v>14</v>
      </c>
      <c r="L897">
        <f>YEAR(Table1[[#This Row],[Last_Restock_Date]])</f>
        <v>2023</v>
      </c>
      <c r="M897" t="str">
        <f>_xlfn.CONCAT(TEXT(Table1[[#This Row],[Last_Restock_Date]],"mmm"), "-", YEAR(Table1[[#This Row],[Last_Restock_Date]]))</f>
        <v>Feb-2023</v>
      </c>
      <c r="N897">
        <f>MONTH(Table1[[#This Row],[Last_Restock_Date]])</f>
        <v>2</v>
      </c>
      <c r="O897" t="str" cm="1">
        <f t="array" ref="O897">_xlfn.SWITCH(Table1[[#This Row],[Month_Number]],
    1,"Q1",2,"Q1",3,"Q1",
    4,"Q2",5,"Q2",6,"Q2",
    7,"Q3",8,"Q3",9,"Q3",
    10,"Q4",11,"Q4",12,"Q4",
    "Invalid Month"
)</f>
        <v>Q1</v>
      </c>
      <c r="P897" t="str">
        <f>TEXT(Table1[[#This Row],[Last_Restock_Date]],"mmm")</f>
        <v>Feb</v>
      </c>
    </row>
    <row r="898" spans="1:16" x14ac:dyDescent="0.25">
      <c r="A898">
        <v>897</v>
      </c>
      <c r="B898" s="5" t="s">
        <v>53</v>
      </c>
      <c r="C898" s="5" t="s">
        <v>26</v>
      </c>
      <c r="D898" s="5" t="s">
        <v>30</v>
      </c>
      <c r="E898" s="5" t="s">
        <v>39</v>
      </c>
      <c r="F898" s="2">
        <v>489</v>
      </c>
      <c r="G898" s="3">
        <v>563.34</v>
      </c>
      <c r="H898">
        <v>94</v>
      </c>
      <c r="I898">
        <f>IF(Table1[[#This Row],[Status]]= "Sufficient",
     Table1[[#This Row],[Stock_Quantity]] - Table1[[#This Row],[Reorder_Level]],
     0)</f>
        <v>395</v>
      </c>
      <c r="J898" s="4">
        <v>45666</v>
      </c>
      <c r="K898" s="5" t="s">
        <v>14</v>
      </c>
      <c r="L898">
        <f>YEAR(Table1[[#This Row],[Last_Restock_Date]])</f>
        <v>2025</v>
      </c>
      <c r="M898" t="str">
        <f>_xlfn.CONCAT(TEXT(Table1[[#This Row],[Last_Restock_Date]],"mmm"), "-", YEAR(Table1[[#This Row],[Last_Restock_Date]]))</f>
        <v>Jan-2025</v>
      </c>
      <c r="N898">
        <f>MONTH(Table1[[#This Row],[Last_Restock_Date]])</f>
        <v>1</v>
      </c>
      <c r="O898" t="str" cm="1">
        <f t="array" ref="O898">_xlfn.SWITCH(Table1[[#This Row],[Month_Number]],
    1,"Q1",2,"Q1",3,"Q1",
    4,"Q2",5,"Q2",6,"Q2",
    7,"Q3",8,"Q3",9,"Q3",
    10,"Q4",11,"Q4",12,"Q4",
    "Invalid Month"
)</f>
        <v>Q1</v>
      </c>
      <c r="P898" t="str">
        <f>TEXT(Table1[[#This Row],[Last_Restock_Date]],"mmm")</f>
        <v>Jan</v>
      </c>
    </row>
    <row r="899" spans="1:16" x14ac:dyDescent="0.25">
      <c r="A899">
        <v>898</v>
      </c>
      <c r="B899" s="5" t="s">
        <v>41</v>
      </c>
      <c r="C899" s="5" t="s">
        <v>16</v>
      </c>
      <c r="D899" s="5" t="s">
        <v>17</v>
      </c>
      <c r="E899" s="5" t="s">
        <v>39</v>
      </c>
      <c r="F899" s="2">
        <v>107</v>
      </c>
      <c r="G899" s="3">
        <v>262.57</v>
      </c>
      <c r="H899">
        <v>119</v>
      </c>
      <c r="I899">
        <f>IF(Table1[[#This Row],[Status]]= "Sufficient",
     Table1[[#This Row],[Stock_Quantity]] - Table1[[#This Row],[Reorder_Level]],
     0)</f>
        <v>0</v>
      </c>
      <c r="J899" s="4">
        <v>45545</v>
      </c>
      <c r="K899" s="5" t="s">
        <v>28</v>
      </c>
      <c r="L899">
        <f>YEAR(Table1[[#This Row],[Last_Restock_Date]])</f>
        <v>2024</v>
      </c>
      <c r="M899" t="str">
        <f>_xlfn.CONCAT(TEXT(Table1[[#This Row],[Last_Restock_Date]],"mmm"), "-", YEAR(Table1[[#This Row],[Last_Restock_Date]]))</f>
        <v>Sep-2024</v>
      </c>
      <c r="N899">
        <f>MONTH(Table1[[#This Row],[Last_Restock_Date]])</f>
        <v>9</v>
      </c>
      <c r="O899" t="str" cm="1">
        <f t="array" ref="O899">_xlfn.SWITCH(Table1[[#This Row],[Month_Number]],
    1,"Q1",2,"Q1",3,"Q1",
    4,"Q2",5,"Q2",6,"Q2",
    7,"Q3",8,"Q3",9,"Q3",
    10,"Q4",11,"Q4",12,"Q4",
    "Invalid Month"
)</f>
        <v>Q3</v>
      </c>
      <c r="P899" t="str">
        <f>TEXT(Table1[[#This Row],[Last_Restock_Date]],"mmm")</f>
        <v>Sep</v>
      </c>
    </row>
    <row r="900" spans="1:16" x14ac:dyDescent="0.25">
      <c r="A900">
        <v>899</v>
      </c>
      <c r="B900" s="5" t="s">
        <v>36</v>
      </c>
      <c r="C900" s="5" t="s">
        <v>11</v>
      </c>
      <c r="D900" s="5" t="s">
        <v>30</v>
      </c>
      <c r="E900" s="5" t="s">
        <v>32</v>
      </c>
      <c r="F900" s="2">
        <v>160</v>
      </c>
      <c r="G900" s="3">
        <v>599.44000000000005</v>
      </c>
      <c r="H900">
        <v>102</v>
      </c>
      <c r="I900">
        <f>IF(Table1[[#This Row],[Status]]= "Sufficient",
     Table1[[#This Row],[Stock_Quantity]] - Table1[[#This Row],[Reorder_Level]],
     0)</f>
        <v>58</v>
      </c>
      <c r="J900" s="4">
        <v>45370</v>
      </c>
      <c r="K900" s="5" t="s">
        <v>14</v>
      </c>
      <c r="L900">
        <f>YEAR(Table1[[#This Row],[Last_Restock_Date]])</f>
        <v>2024</v>
      </c>
      <c r="M900" t="str">
        <f>_xlfn.CONCAT(TEXT(Table1[[#This Row],[Last_Restock_Date]],"mmm"), "-", YEAR(Table1[[#This Row],[Last_Restock_Date]]))</f>
        <v>Mar-2024</v>
      </c>
      <c r="N900">
        <f>MONTH(Table1[[#This Row],[Last_Restock_Date]])</f>
        <v>3</v>
      </c>
      <c r="O900" t="str" cm="1">
        <f t="array" ref="O900">_xlfn.SWITCH(Table1[[#This Row],[Month_Number]],
    1,"Q1",2,"Q1",3,"Q1",
    4,"Q2",5,"Q2",6,"Q2",
    7,"Q3",8,"Q3",9,"Q3",
    10,"Q4",11,"Q4",12,"Q4",
    "Invalid Month"
)</f>
        <v>Q1</v>
      </c>
      <c r="P900" t="str">
        <f>TEXT(Table1[[#This Row],[Last_Restock_Date]],"mmm")</f>
        <v>Mar</v>
      </c>
    </row>
    <row r="901" spans="1:16" x14ac:dyDescent="0.25">
      <c r="A901">
        <v>900</v>
      </c>
      <c r="B901" s="5" t="s">
        <v>25</v>
      </c>
      <c r="C901" s="5" t="s">
        <v>26</v>
      </c>
      <c r="D901" s="5" t="s">
        <v>17</v>
      </c>
      <c r="E901" s="5" t="s">
        <v>39</v>
      </c>
      <c r="F901" s="2">
        <v>421</v>
      </c>
      <c r="G901" s="3">
        <v>572.6</v>
      </c>
      <c r="H901">
        <v>59</v>
      </c>
      <c r="I901">
        <f>IF(Table1[[#This Row],[Status]]= "Sufficient",
     Table1[[#This Row],[Stock_Quantity]] - Table1[[#This Row],[Reorder_Level]],
     0)</f>
        <v>362</v>
      </c>
      <c r="J901" s="4">
        <v>45246</v>
      </c>
      <c r="K901" s="5" t="s">
        <v>14</v>
      </c>
      <c r="L901">
        <f>YEAR(Table1[[#This Row],[Last_Restock_Date]])</f>
        <v>2023</v>
      </c>
      <c r="M901" t="str">
        <f>_xlfn.CONCAT(TEXT(Table1[[#This Row],[Last_Restock_Date]],"mmm"), "-", YEAR(Table1[[#This Row],[Last_Restock_Date]]))</f>
        <v>Nov-2023</v>
      </c>
      <c r="N901">
        <f>MONTH(Table1[[#This Row],[Last_Restock_Date]])</f>
        <v>11</v>
      </c>
      <c r="O901" t="str" cm="1">
        <f t="array" ref="O901">_xlfn.SWITCH(Table1[[#This Row],[Month_Number]],
    1,"Q1",2,"Q1",3,"Q1",
    4,"Q2",5,"Q2",6,"Q2",
    7,"Q3",8,"Q3",9,"Q3",
    10,"Q4",11,"Q4",12,"Q4",
    "Invalid Month"
)</f>
        <v>Q4</v>
      </c>
      <c r="P901" t="str">
        <f>TEXT(Table1[[#This Row],[Last_Restock_Date]],"mmm")</f>
        <v>Nov</v>
      </c>
    </row>
    <row r="902" spans="1:16" x14ac:dyDescent="0.25">
      <c r="A902">
        <v>901</v>
      </c>
      <c r="B902" s="5" t="s">
        <v>49</v>
      </c>
      <c r="C902" s="5" t="s">
        <v>16</v>
      </c>
      <c r="D902" s="5" t="s">
        <v>17</v>
      </c>
      <c r="E902" s="5" t="s">
        <v>32</v>
      </c>
      <c r="F902" s="2">
        <v>308</v>
      </c>
      <c r="G902" s="3">
        <v>404.35</v>
      </c>
      <c r="H902">
        <v>52</v>
      </c>
      <c r="I902">
        <f>IF(Table1[[#This Row],[Status]]= "Sufficient",
     Table1[[#This Row],[Stock_Quantity]] - Table1[[#This Row],[Reorder_Level]],
     0)</f>
        <v>256</v>
      </c>
      <c r="J902" s="4">
        <v>45362</v>
      </c>
      <c r="K902" s="5" t="s">
        <v>14</v>
      </c>
      <c r="L902">
        <f>YEAR(Table1[[#This Row],[Last_Restock_Date]])</f>
        <v>2024</v>
      </c>
      <c r="M902" t="str">
        <f>_xlfn.CONCAT(TEXT(Table1[[#This Row],[Last_Restock_Date]],"mmm"), "-", YEAR(Table1[[#This Row],[Last_Restock_Date]]))</f>
        <v>Mar-2024</v>
      </c>
      <c r="N902">
        <f>MONTH(Table1[[#This Row],[Last_Restock_Date]])</f>
        <v>3</v>
      </c>
      <c r="O902" t="str" cm="1">
        <f t="array" ref="O902">_xlfn.SWITCH(Table1[[#This Row],[Month_Number]],
    1,"Q1",2,"Q1",3,"Q1",
    4,"Q2",5,"Q2",6,"Q2",
    7,"Q3",8,"Q3",9,"Q3",
    10,"Q4",11,"Q4",12,"Q4",
    "Invalid Month"
)</f>
        <v>Q1</v>
      </c>
      <c r="P902" t="str">
        <f>TEXT(Table1[[#This Row],[Last_Restock_Date]],"mmm")</f>
        <v>Mar</v>
      </c>
    </row>
    <row r="903" spans="1:16" x14ac:dyDescent="0.25">
      <c r="A903">
        <v>902</v>
      </c>
      <c r="B903" s="5" t="s">
        <v>46</v>
      </c>
      <c r="C903" s="5" t="s">
        <v>34</v>
      </c>
      <c r="D903" s="5" t="s">
        <v>12</v>
      </c>
      <c r="E903" s="5" t="s">
        <v>32</v>
      </c>
      <c r="F903" s="2">
        <v>103</v>
      </c>
      <c r="G903" s="3">
        <v>626.84</v>
      </c>
      <c r="H903">
        <v>141</v>
      </c>
      <c r="I903">
        <f>IF(Table1[[#This Row],[Status]]= "Sufficient",
     Table1[[#This Row],[Stock_Quantity]] - Table1[[#This Row],[Reorder_Level]],
     0)</f>
        <v>0</v>
      </c>
      <c r="J903" s="4">
        <v>45156</v>
      </c>
      <c r="K903" s="5" t="s">
        <v>28</v>
      </c>
      <c r="L903">
        <f>YEAR(Table1[[#This Row],[Last_Restock_Date]])</f>
        <v>2023</v>
      </c>
      <c r="M903" t="str">
        <f>_xlfn.CONCAT(TEXT(Table1[[#This Row],[Last_Restock_Date]],"mmm"), "-", YEAR(Table1[[#This Row],[Last_Restock_Date]]))</f>
        <v>Aug-2023</v>
      </c>
      <c r="N903">
        <f>MONTH(Table1[[#This Row],[Last_Restock_Date]])</f>
        <v>8</v>
      </c>
      <c r="O903" t="str" cm="1">
        <f t="array" ref="O903">_xlfn.SWITCH(Table1[[#This Row],[Month_Number]],
    1,"Q1",2,"Q1",3,"Q1",
    4,"Q2",5,"Q2",6,"Q2",
    7,"Q3",8,"Q3",9,"Q3",
    10,"Q4",11,"Q4",12,"Q4",
    "Invalid Month"
)</f>
        <v>Q3</v>
      </c>
      <c r="P903" t="str">
        <f>TEXT(Table1[[#This Row],[Last_Restock_Date]],"mmm")</f>
        <v>Aug</v>
      </c>
    </row>
    <row r="904" spans="1:16" x14ac:dyDescent="0.25">
      <c r="A904">
        <v>903</v>
      </c>
      <c r="B904" s="5" t="s">
        <v>50</v>
      </c>
      <c r="C904" s="5" t="s">
        <v>34</v>
      </c>
      <c r="D904" s="5" t="s">
        <v>24</v>
      </c>
      <c r="E904" s="5" t="s">
        <v>39</v>
      </c>
      <c r="F904" s="2">
        <v>33</v>
      </c>
      <c r="G904" s="3">
        <v>694.58</v>
      </c>
      <c r="H904">
        <v>107</v>
      </c>
      <c r="I904">
        <f>IF(Table1[[#This Row],[Status]]= "Sufficient",
     Table1[[#This Row],[Stock_Quantity]] - Table1[[#This Row],[Reorder_Level]],
     0)</f>
        <v>0</v>
      </c>
      <c r="J904" s="4">
        <v>45286</v>
      </c>
      <c r="K904" s="5" t="s">
        <v>28</v>
      </c>
      <c r="L904">
        <f>YEAR(Table1[[#This Row],[Last_Restock_Date]])</f>
        <v>2023</v>
      </c>
      <c r="M904" t="str">
        <f>_xlfn.CONCAT(TEXT(Table1[[#This Row],[Last_Restock_Date]],"mmm"), "-", YEAR(Table1[[#This Row],[Last_Restock_Date]]))</f>
        <v>Dec-2023</v>
      </c>
      <c r="N904">
        <f>MONTH(Table1[[#This Row],[Last_Restock_Date]])</f>
        <v>12</v>
      </c>
      <c r="O904" t="str" cm="1">
        <f t="array" ref="O904">_xlfn.SWITCH(Table1[[#This Row],[Month_Number]],
    1,"Q1",2,"Q1",3,"Q1",
    4,"Q2",5,"Q2",6,"Q2",
    7,"Q3",8,"Q3",9,"Q3",
    10,"Q4",11,"Q4",12,"Q4",
    "Invalid Month"
)</f>
        <v>Q4</v>
      </c>
      <c r="P904" t="str">
        <f>TEXT(Table1[[#This Row],[Last_Restock_Date]],"mmm")</f>
        <v>Dec</v>
      </c>
    </row>
    <row r="905" spans="1:16" x14ac:dyDescent="0.25">
      <c r="A905">
        <v>904</v>
      </c>
      <c r="B905" s="5" t="s">
        <v>43</v>
      </c>
      <c r="C905" s="5" t="s">
        <v>26</v>
      </c>
      <c r="D905" s="5" t="s">
        <v>24</v>
      </c>
      <c r="E905" s="5" t="s">
        <v>37</v>
      </c>
      <c r="F905" s="2">
        <v>71</v>
      </c>
      <c r="G905" s="3">
        <v>674.16</v>
      </c>
      <c r="H905">
        <v>105</v>
      </c>
      <c r="I905">
        <f>IF(Table1[[#This Row],[Status]]= "Sufficient",
     Table1[[#This Row],[Stock_Quantity]] - Table1[[#This Row],[Reorder_Level]],
     0)</f>
        <v>0</v>
      </c>
      <c r="J905" s="4">
        <v>45558</v>
      </c>
      <c r="K905" s="5" t="s">
        <v>28</v>
      </c>
      <c r="L905">
        <f>YEAR(Table1[[#This Row],[Last_Restock_Date]])</f>
        <v>2024</v>
      </c>
      <c r="M905" t="str">
        <f>_xlfn.CONCAT(TEXT(Table1[[#This Row],[Last_Restock_Date]],"mmm"), "-", YEAR(Table1[[#This Row],[Last_Restock_Date]]))</f>
        <v>Sep-2024</v>
      </c>
      <c r="N905">
        <f>MONTH(Table1[[#This Row],[Last_Restock_Date]])</f>
        <v>9</v>
      </c>
      <c r="O905" t="str" cm="1">
        <f t="array" ref="O905">_xlfn.SWITCH(Table1[[#This Row],[Month_Number]],
    1,"Q1",2,"Q1",3,"Q1",
    4,"Q2",5,"Q2",6,"Q2",
    7,"Q3",8,"Q3",9,"Q3",
    10,"Q4",11,"Q4",12,"Q4",
    "Invalid Month"
)</f>
        <v>Q3</v>
      </c>
      <c r="P905" t="str">
        <f>TEXT(Table1[[#This Row],[Last_Restock_Date]],"mmm")</f>
        <v>Sep</v>
      </c>
    </row>
    <row r="906" spans="1:16" x14ac:dyDescent="0.25">
      <c r="A906">
        <v>905</v>
      </c>
      <c r="B906" s="5" t="s">
        <v>51</v>
      </c>
      <c r="C906" s="5" t="s">
        <v>11</v>
      </c>
      <c r="D906" s="5" t="s">
        <v>24</v>
      </c>
      <c r="E906" s="5" t="s">
        <v>37</v>
      </c>
      <c r="F906" s="2">
        <v>476</v>
      </c>
      <c r="G906" s="3">
        <v>17.47</v>
      </c>
      <c r="H906">
        <v>131</v>
      </c>
      <c r="I906">
        <f>IF(Table1[[#This Row],[Status]]= "Sufficient",
     Table1[[#This Row],[Stock_Quantity]] - Table1[[#This Row],[Reorder_Level]],
     0)</f>
        <v>345</v>
      </c>
      <c r="J906" s="4">
        <v>45269</v>
      </c>
      <c r="K906" s="5" t="s">
        <v>14</v>
      </c>
      <c r="L906">
        <f>YEAR(Table1[[#This Row],[Last_Restock_Date]])</f>
        <v>2023</v>
      </c>
      <c r="M906" t="str">
        <f>_xlfn.CONCAT(TEXT(Table1[[#This Row],[Last_Restock_Date]],"mmm"), "-", YEAR(Table1[[#This Row],[Last_Restock_Date]]))</f>
        <v>Dec-2023</v>
      </c>
      <c r="N906">
        <f>MONTH(Table1[[#This Row],[Last_Restock_Date]])</f>
        <v>12</v>
      </c>
      <c r="O906" t="str" cm="1">
        <f t="array" ref="O906">_xlfn.SWITCH(Table1[[#This Row],[Month_Number]],
    1,"Q1",2,"Q1",3,"Q1",
    4,"Q2",5,"Q2",6,"Q2",
    7,"Q3",8,"Q3",9,"Q3",
    10,"Q4",11,"Q4",12,"Q4",
    "Invalid Month"
)</f>
        <v>Q4</v>
      </c>
      <c r="P906" t="str">
        <f>TEXT(Table1[[#This Row],[Last_Restock_Date]],"mmm")</f>
        <v>Dec</v>
      </c>
    </row>
    <row r="907" spans="1:16" x14ac:dyDescent="0.25">
      <c r="A907">
        <v>906</v>
      </c>
      <c r="B907" s="5" t="s">
        <v>25</v>
      </c>
      <c r="C907" s="5" t="s">
        <v>26</v>
      </c>
      <c r="D907" s="5" t="s">
        <v>12</v>
      </c>
      <c r="E907" s="5" t="s">
        <v>13</v>
      </c>
      <c r="F907" s="2">
        <v>64</v>
      </c>
      <c r="G907" s="3">
        <v>212.98</v>
      </c>
      <c r="H907">
        <v>81</v>
      </c>
      <c r="I907">
        <f>IF(Table1[[#This Row],[Status]]= "Sufficient",
     Table1[[#This Row],[Stock_Quantity]] - Table1[[#This Row],[Reorder_Level]],
     0)</f>
        <v>0</v>
      </c>
      <c r="J907" s="4">
        <v>45842</v>
      </c>
      <c r="K907" s="5" t="s">
        <v>28</v>
      </c>
      <c r="L907">
        <f>YEAR(Table1[[#This Row],[Last_Restock_Date]])</f>
        <v>2025</v>
      </c>
      <c r="M907" t="str">
        <f>_xlfn.CONCAT(TEXT(Table1[[#This Row],[Last_Restock_Date]],"mmm"), "-", YEAR(Table1[[#This Row],[Last_Restock_Date]]))</f>
        <v>Jul-2025</v>
      </c>
      <c r="N907">
        <f>MONTH(Table1[[#This Row],[Last_Restock_Date]])</f>
        <v>7</v>
      </c>
      <c r="O907" t="str" cm="1">
        <f t="array" ref="O907">_xlfn.SWITCH(Table1[[#This Row],[Month_Number]],
    1,"Q1",2,"Q1",3,"Q1",
    4,"Q2",5,"Q2",6,"Q2",
    7,"Q3",8,"Q3",9,"Q3",
    10,"Q4",11,"Q4",12,"Q4",
    "Invalid Month"
)</f>
        <v>Q3</v>
      </c>
      <c r="P907" t="str">
        <f>TEXT(Table1[[#This Row],[Last_Restock_Date]],"mmm")</f>
        <v>Jul</v>
      </c>
    </row>
    <row r="908" spans="1:16" x14ac:dyDescent="0.25">
      <c r="A908">
        <v>907</v>
      </c>
      <c r="B908" s="5" t="s">
        <v>33</v>
      </c>
      <c r="C908" s="5" t="s">
        <v>34</v>
      </c>
      <c r="D908" s="5" t="s">
        <v>21</v>
      </c>
      <c r="E908" s="5" t="s">
        <v>27</v>
      </c>
      <c r="F908" s="2">
        <v>453</v>
      </c>
      <c r="G908" s="3">
        <v>213.94</v>
      </c>
      <c r="H908">
        <v>137</v>
      </c>
      <c r="I908">
        <f>IF(Table1[[#This Row],[Status]]= "Sufficient",
     Table1[[#This Row],[Stock_Quantity]] - Table1[[#This Row],[Reorder_Level]],
     0)</f>
        <v>316</v>
      </c>
      <c r="J908" s="4">
        <v>45739</v>
      </c>
      <c r="K908" s="5" t="s">
        <v>14</v>
      </c>
      <c r="L908">
        <f>YEAR(Table1[[#This Row],[Last_Restock_Date]])</f>
        <v>2025</v>
      </c>
      <c r="M908" t="str">
        <f>_xlfn.CONCAT(TEXT(Table1[[#This Row],[Last_Restock_Date]],"mmm"), "-", YEAR(Table1[[#This Row],[Last_Restock_Date]]))</f>
        <v>Mar-2025</v>
      </c>
      <c r="N908">
        <f>MONTH(Table1[[#This Row],[Last_Restock_Date]])</f>
        <v>3</v>
      </c>
      <c r="O908" t="str" cm="1">
        <f t="array" ref="O908">_xlfn.SWITCH(Table1[[#This Row],[Month_Number]],
    1,"Q1",2,"Q1",3,"Q1",
    4,"Q2",5,"Q2",6,"Q2",
    7,"Q3",8,"Q3",9,"Q3",
    10,"Q4",11,"Q4",12,"Q4",
    "Invalid Month"
)</f>
        <v>Q1</v>
      </c>
      <c r="P908" t="str">
        <f>TEXT(Table1[[#This Row],[Last_Restock_Date]],"mmm")</f>
        <v>Mar</v>
      </c>
    </row>
    <row r="909" spans="1:16" x14ac:dyDescent="0.25">
      <c r="A909">
        <v>908</v>
      </c>
      <c r="B909" s="5" t="s">
        <v>31</v>
      </c>
      <c r="C909" s="5" t="s">
        <v>20</v>
      </c>
      <c r="D909" s="5" t="s">
        <v>30</v>
      </c>
      <c r="E909" s="5" t="s">
        <v>18</v>
      </c>
      <c r="F909" s="2">
        <v>380</v>
      </c>
      <c r="G909" s="3">
        <v>219.92</v>
      </c>
      <c r="H909">
        <v>91</v>
      </c>
      <c r="I909">
        <f>IF(Table1[[#This Row],[Status]]= "Sufficient",
     Table1[[#This Row],[Stock_Quantity]] - Table1[[#This Row],[Reorder_Level]],
     0)</f>
        <v>289</v>
      </c>
      <c r="J909" s="4">
        <v>45284</v>
      </c>
      <c r="K909" s="5" t="s">
        <v>14</v>
      </c>
      <c r="L909">
        <f>YEAR(Table1[[#This Row],[Last_Restock_Date]])</f>
        <v>2023</v>
      </c>
      <c r="M909" t="str">
        <f>_xlfn.CONCAT(TEXT(Table1[[#This Row],[Last_Restock_Date]],"mmm"), "-", YEAR(Table1[[#This Row],[Last_Restock_Date]]))</f>
        <v>Dec-2023</v>
      </c>
      <c r="N909">
        <f>MONTH(Table1[[#This Row],[Last_Restock_Date]])</f>
        <v>12</v>
      </c>
      <c r="O909" t="str" cm="1">
        <f t="array" ref="O909">_xlfn.SWITCH(Table1[[#This Row],[Month_Number]],
    1,"Q1",2,"Q1",3,"Q1",
    4,"Q2",5,"Q2",6,"Q2",
    7,"Q3",8,"Q3",9,"Q3",
    10,"Q4",11,"Q4",12,"Q4",
    "Invalid Month"
)</f>
        <v>Q4</v>
      </c>
      <c r="P909" t="str">
        <f>TEXT(Table1[[#This Row],[Last_Restock_Date]],"mmm")</f>
        <v>Dec</v>
      </c>
    </row>
    <row r="910" spans="1:16" x14ac:dyDescent="0.25">
      <c r="A910">
        <v>909</v>
      </c>
      <c r="B910" s="5" t="s">
        <v>53</v>
      </c>
      <c r="C910" s="5" t="s">
        <v>26</v>
      </c>
      <c r="D910" s="5" t="s">
        <v>17</v>
      </c>
      <c r="E910" s="5" t="s">
        <v>13</v>
      </c>
      <c r="F910" s="2">
        <v>50</v>
      </c>
      <c r="G910" s="3">
        <v>714.5</v>
      </c>
      <c r="H910">
        <v>135</v>
      </c>
      <c r="I910">
        <f>IF(Table1[[#This Row],[Status]]= "Sufficient",
     Table1[[#This Row],[Stock_Quantity]] - Table1[[#This Row],[Reorder_Level]],
     0)</f>
        <v>0</v>
      </c>
      <c r="J910" s="4">
        <v>45504</v>
      </c>
      <c r="K910" s="5" t="s">
        <v>28</v>
      </c>
      <c r="L910">
        <f>YEAR(Table1[[#This Row],[Last_Restock_Date]])</f>
        <v>2024</v>
      </c>
      <c r="M910" t="str">
        <f>_xlfn.CONCAT(TEXT(Table1[[#This Row],[Last_Restock_Date]],"mmm"), "-", YEAR(Table1[[#This Row],[Last_Restock_Date]]))</f>
        <v>Jul-2024</v>
      </c>
      <c r="N910">
        <f>MONTH(Table1[[#This Row],[Last_Restock_Date]])</f>
        <v>7</v>
      </c>
      <c r="O910" t="str" cm="1">
        <f t="array" ref="O910">_xlfn.SWITCH(Table1[[#This Row],[Month_Number]],
    1,"Q1",2,"Q1",3,"Q1",
    4,"Q2",5,"Q2",6,"Q2",
    7,"Q3",8,"Q3",9,"Q3",
    10,"Q4",11,"Q4",12,"Q4",
    "Invalid Month"
)</f>
        <v>Q3</v>
      </c>
      <c r="P910" t="str">
        <f>TEXT(Table1[[#This Row],[Last_Restock_Date]],"mmm")</f>
        <v>Jul</v>
      </c>
    </row>
    <row r="911" spans="1:16" x14ac:dyDescent="0.25">
      <c r="A911">
        <v>910</v>
      </c>
      <c r="B911" s="5" t="s">
        <v>10</v>
      </c>
      <c r="C911" s="5" t="s">
        <v>11</v>
      </c>
      <c r="D911" s="5" t="s">
        <v>24</v>
      </c>
      <c r="E911" s="5" t="s">
        <v>39</v>
      </c>
      <c r="F911" s="2">
        <v>135</v>
      </c>
      <c r="G911" s="3">
        <v>483.1</v>
      </c>
      <c r="H911">
        <v>143</v>
      </c>
      <c r="I911">
        <f>IF(Table1[[#This Row],[Status]]= "Sufficient",
     Table1[[#This Row],[Stock_Quantity]] - Table1[[#This Row],[Reorder_Level]],
     0)</f>
        <v>0</v>
      </c>
      <c r="J911" s="4">
        <v>45805</v>
      </c>
      <c r="K911" s="5" t="s">
        <v>28</v>
      </c>
      <c r="L911">
        <f>YEAR(Table1[[#This Row],[Last_Restock_Date]])</f>
        <v>2025</v>
      </c>
      <c r="M911" t="str">
        <f>_xlfn.CONCAT(TEXT(Table1[[#This Row],[Last_Restock_Date]],"mmm"), "-", YEAR(Table1[[#This Row],[Last_Restock_Date]]))</f>
        <v>May-2025</v>
      </c>
      <c r="N911">
        <f>MONTH(Table1[[#This Row],[Last_Restock_Date]])</f>
        <v>5</v>
      </c>
      <c r="O911" t="str" cm="1">
        <f t="array" ref="O911">_xlfn.SWITCH(Table1[[#This Row],[Month_Number]],
    1,"Q1",2,"Q1",3,"Q1",
    4,"Q2",5,"Q2",6,"Q2",
    7,"Q3",8,"Q3",9,"Q3",
    10,"Q4",11,"Q4",12,"Q4",
    "Invalid Month"
)</f>
        <v>Q2</v>
      </c>
      <c r="P911" t="str">
        <f>TEXT(Table1[[#This Row],[Last_Restock_Date]],"mmm")</f>
        <v>May</v>
      </c>
    </row>
    <row r="912" spans="1:16" x14ac:dyDescent="0.25">
      <c r="A912">
        <v>911</v>
      </c>
      <c r="B912" s="5" t="s">
        <v>48</v>
      </c>
      <c r="C912" s="5" t="s">
        <v>20</v>
      </c>
      <c r="D912" s="5" t="s">
        <v>21</v>
      </c>
      <c r="E912" s="5" t="s">
        <v>18</v>
      </c>
      <c r="F912" s="2">
        <v>67</v>
      </c>
      <c r="G912" s="3">
        <v>573.94000000000005</v>
      </c>
      <c r="H912">
        <v>93</v>
      </c>
      <c r="I912">
        <f>IF(Table1[[#This Row],[Status]]= "Sufficient",
     Table1[[#This Row],[Stock_Quantity]] - Table1[[#This Row],[Reorder_Level]],
     0)</f>
        <v>0</v>
      </c>
      <c r="J912" s="4">
        <v>45637</v>
      </c>
      <c r="K912" s="5" t="s">
        <v>28</v>
      </c>
      <c r="L912">
        <f>YEAR(Table1[[#This Row],[Last_Restock_Date]])</f>
        <v>2024</v>
      </c>
      <c r="M912" t="str">
        <f>_xlfn.CONCAT(TEXT(Table1[[#This Row],[Last_Restock_Date]],"mmm"), "-", YEAR(Table1[[#This Row],[Last_Restock_Date]]))</f>
        <v>Dec-2024</v>
      </c>
      <c r="N912">
        <f>MONTH(Table1[[#This Row],[Last_Restock_Date]])</f>
        <v>12</v>
      </c>
      <c r="O912" t="str" cm="1">
        <f t="array" ref="O912">_xlfn.SWITCH(Table1[[#This Row],[Month_Number]],
    1,"Q1",2,"Q1",3,"Q1",
    4,"Q2",5,"Q2",6,"Q2",
    7,"Q3",8,"Q3",9,"Q3",
    10,"Q4",11,"Q4",12,"Q4",
    "Invalid Month"
)</f>
        <v>Q4</v>
      </c>
      <c r="P912" t="str">
        <f>TEXT(Table1[[#This Row],[Last_Restock_Date]],"mmm")</f>
        <v>Dec</v>
      </c>
    </row>
    <row r="913" spans="1:16" x14ac:dyDescent="0.25">
      <c r="A913">
        <v>912</v>
      </c>
      <c r="B913" s="5" t="s">
        <v>33</v>
      </c>
      <c r="C913" s="5" t="s">
        <v>34</v>
      </c>
      <c r="D913" s="5" t="s">
        <v>21</v>
      </c>
      <c r="E913" s="5" t="s">
        <v>37</v>
      </c>
      <c r="F913" s="2">
        <v>388</v>
      </c>
      <c r="G913" s="3">
        <v>603.01</v>
      </c>
      <c r="H913">
        <v>149</v>
      </c>
      <c r="I913">
        <f>IF(Table1[[#This Row],[Status]]= "Sufficient",
     Table1[[#This Row],[Stock_Quantity]] - Table1[[#This Row],[Reorder_Level]],
     0)</f>
        <v>239</v>
      </c>
      <c r="J913" s="4">
        <v>45190</v>
      </c>
      <c r="K913" s="5" t="s">
        <v>14</v>
      </c>
      <c r="L913">
        <f>YEAR(Table1[[#This Row],[Last_Restock_Date]])</f>
        <v>2023</v>
      </c>
      <c r="M913" t="str">
        <f>_xlfn.CONCAT(TEXT(Table1[[#This Row],[Last_Restock_Date]],"mmm"), "-", YEAR(Table1[[#This Row],[Last_Restock_Date]]))</f>
        <v>Sep-2023</v>
      </c>
      <c r="N913">
        <f>MONTH(Table1[[#This Row],[Last_Restock_Date]])</f>
        <v>9</v>
      </c>
      <c r="O913" t="str" cm="1">
        <f t="array" ref="O913">_xlfn.SWITCH(Table1[[#This Row],[Month_Number]],
    1,"Q1",2,"Q1",3,"Q1",
    4,"Q2",5,"Q2",6,"Q2",
    7,"Q3",8,"Q3",9,"Q3",
    10,"Q4",11,"Q4",12,"Q4",
    "Invalid Month"
)</f>
        <v>Q3</v>
      </c>
      <c r="P913" t="str">
        <f>TEXT(Table1[[#This Row],[Last_Restock_Date]],"mmm")</f>
        <v>Sep</v>
      </c>
    </row>
    <row r="914" spans="1:16" x14ac:dyDescent="0.25">
      <c r="A914">
        <v>913</v>
      </c>
      <c r="B914" s="5" t="s">
        <v>42</v>
      </c>
      <c r="C914" s="5" t="s">
        <v>16</v>
      </c>
      <c r="D914" s="5" t="s">
        <v>12</v>
      </c>
      <c r="E914" s="5" t="s">
        <v>13</v>
      </c>
      <c r="F914" s="2">
        <v>33</v>
      </c>
      <c r="G914" s="3">
        <v>139.61000000000001</v>
      </c>
      <c r="H914">
        <v>108</v>
      </c>
      <c r="I914">
        <f>IF(Table1[[#This Row],[Status]]= "Sufficient",
     Table1[[#This Row],[Stock_Quantity]] - Table1[[#This Row],[Reorder_Level]],
     0)</f>
        <v>0</v>
      </c>
      <c r="J914" s="4">
        <v>45381</v>
      </c>
      <c r="K914" s="5" t="s">
        <v>28</v>
      </c>
      <c r="L914">
        <f>YEAR(Table1[[#This Row],[Last_Restock_Date]])</f>
        <v>2024</v>
      </c>
      <c r="M914" t="str">
        <f>_xlfn.CONCAT(TEXT(Table1[[#This Row],[Last_Restock_Date]],"mmm"), "-", YEAR(Table1[[#This Row],[Last_Restock_Date]]))</f>
        <v>Mar-2024</v>
      </c>
      <c r="N914">
        <f>MONTH(Table1[[#This Row],[Last_Restock_Date]])</f>
        <v>3</v>
      </c>
      <c r="O914" t="str" cm="1">
        <f t="array" ref="O914">_xlfn.SWITCH(Table1[[#This Row],[Month_Number]],
    1,"Q1",2,"Q1",3,"Q1",
    4,"Q2",5,"Q2",6,"Q2",
    7,"Q3",8,"Q3",9,"Q3",
    10,"Q4",11,"Q4",12,"Q4",
    "Invalid Month"
)</f>
        <v>Q1</v>
      </c>
      <c r="P914" t="str">
        <f>TEXT(Table1[[#This Row],[Last_Restock_Date]],"mmm")</f>
        <v>Mar</v>
      </c>
    </row>
    <row r="915" spans="1:16" x14ac:dyDescent="0.25">
      <c r="A915">
        <v>914</v>
      </c>
      <c r="B915" s="5" t="s">
        <v>19</v>
      </c>
      <c r="C915" s="5" t="s">
        <v>20</v>
      </c>
      <c r="D915" s="5" t="s">
        <v>12</v>
      </c>
      <c r="E915" s="5" t="s">
        <v>32</v>
      </c>
      <c r="F915" s="2">
        <v>131</v>
      </c>
      <c r="G915" s="3">
        <v>601.77</v>
      </c>
      <c r="H915">
        <v>118</v>
      </c>
      <c r="I915">
        <f>IF(Table1[[#This Row],[Status]]= "Sufficient",
     Table1[[#This Row],[Stock_Quantity]] - Table1[[#This Row],[Reorder_Level]],
     0)</f>
        <v>13</v>
      </c>
      <c r="J915" s="4">
        <v>45247</v>
      </c>
      <c r="K915" s="5" t="s">
        <v>14</v>
      </c>
      <c r="L915">
        <f>YEAR(Table1[[#This Row],[Last_Restock_Date]])</f>
        <v>2023</v>
      </c>
      <c r="M915" t="str">
        <f>_xlfn.CONCAT(TEXT(Table1[[#This Row],[Last_Restock_Date]],"mmm"), "-", YEAR(Table1[[#This Row],[Last_Restock_Date]]))</f>
        <v>Nov-2023</v>
      </c>
      <c r="N915">
        <f>MONTH(Table1[[#This Row],[Last_Restock_Date]])</f>
        <v>11</v>
      </c>
      <c r="O915" t="str" cm="1">
        <f t="array" ref="O915">_xlfn.SWITCH(Table1[[#This Row],[Month_Number]],
    1,"Q1",2,"Q1",3,"Q1",
    4,"Q2",5,"Q2",6,"Q2",
    7,"Q3",8,"Q3",9,"Q3",
    10,"Q4",11,"Q4",12,"Q4",
    "Invalid Month"
)</f>
        <v>Q4</v>
      </c>
      <c r="P915" t="str">
        <f>TEXT(Table1[[#This Row],[Last_Restock_Date]],"mmm")</f>
        <v>Nov</v>
      </c>
    </row>
    <row r="916" spans="1:16" x14ac:dyDescent="0.25">
      <c r="A916">
        <v>915</v>
      </c>
      <c r="B916" s="5" t="s">
        <v>36</v>
      </c>
      <c r="C916" s="5" t="s">
        <v>11</v>
      </c>
      <c r="D916" s="5" t="s">
        <v>24</v>
      </c>
      <c r="E916" s="5" t="s">
        <v>32</v>
      </c>
      <c r="F916" s="2">
        <v>368</v>
      </c>
      <c r="G916" s="3">
        <v>193.24</v>
      </c>
      <c r="H916">
        <v>58</v>
      </c>
      <c r="I916">
        <f>IF(Table1[[#This Row],[Status]]= "Sufficient",
     Table1[[#This Row],[Stock_Quantity]] - Table1[[#This Row],[Reorder_Level]],
     0)</f>
        <v>310</v>
      </c>
      <c r="J916" s="4">
        <v>45553</v>
      </c>
      <c r="K916" s="5" t="s">
        <v>14</v>
      </c>
      <c r="L916">
        <f>YEAR(Table1[[#This Row],[Last_Restock_Date]])</f>
        <v>2024</v>
      </c>
      <c r="M916" t="str">
        <f>_xlfn.CONCAT(TEXT(Table1[[#This Row],[Last_Restock_Date]],"mmm"), "-", YEAR(Table1[[#This Row],[Last_Restock_Date]]))</f>
        <v>Sep-2024</v>
      </c>
      <c r="N916">
        <f>MONTH(Table1[[#This Row],[Last_Restock_Date]])</f>
        <v>9</v>
      </c>
      <c r="O916" t="str" cm="1">
        <f t="array" ref="O916">_xlfn.SWITCH(Table1[[#This Row],[Month_Number]],
    1,"Q1",2,"Q1",3,"Q1",
    4,"Q2",5,"Q2",6,"Q2",
    7,"Q3",8,"Q3",9,"Q3",
    10,"Q4",11,"Q4",12,"Q4",
    "Invalid Month"
)</f>
        <v>Q3</v>
      </c>
      <c r="P916" t="str">
        <f>TEXT(Table1[[#This Row],[Last_Restock_Date]],"mmm")</f>
        <v>Sep</v>
      </c>
    </row>
    <row r="917" spans="1:16" x14ac:dyDescent="0.25">
      <c r="A917">
        <v>916</v>
      </c>
      <c r="B917" s="5" t="s">
        <v>31</v>
      </c>
      <c r="C917" s="5" t="s">
        <v>20</v>
      </c>
      <c r="D917" s="5" t="s">
        <v>21</v>
      </c>
      <c r="E917" s="5" t="s">
        <v>39</v>
      </c>
      <c r="F917" s="2">
        <v>310</v>
      </c>
      <c r="G917" s="3">
        <v>486.97</v>
      </c>
      <c r="H917">
        <v>68</v>
      </c>
      <c r="I917">
        <f>IF(Table1[[#This Row],[Status]]= "Sufficient",
     Table1[[#This Row],[Stock_Quantity]] - Table1[[#This Row],[Reorder_Level]],
     0)</f>
        <v>242</v>
      </c>
      <c r="J917" s="4">
        <v>45132</v>
      </c>
      <c r="K917" s="5" t="s">
        <v>14</v>
      </c>
      <c r="L917">
        <f>YEAR(Table1[[#This Row],[Last_Restock_Date]])</f>
        <v>2023</v>
      </c>
      <c r="M917" t="str">
        <f>_xlfn.CONCAT(TEXT(Table1[[#This Row],[Last_Restock_Date]],"mmm"), "-", YEAR(Table1[[#This Row],[Last_Restock_Date]]))</f>
        <v>Jul-2023</v>
      </c>
      <c r="N917">
        <f>MONTH(Table1[[#This Row],[Last_Restock_Date]])</f>
        <v>7</v>
      </c>
      <c r="O917" t="str" cm="1">
        <f t="array" ref="O917">_xlfn.SWITCH(Table1[[#This Row],[Month_Number]],
    1,"Q1",2,"Q1",3,"Q1",
    4,"Q2",5,"Q2",6,"Q2",
    7,"Q3",8,"Q3",9,"Q3",
    10,"Q4",11,"Q4",12,"Q4",
    "Invalid Month"
)</f>
        <v>Q3</v>
      </c>
      <c r="P917" t="str">
        <f>TEXT(Table1[[#This Row],[Last_Restock_Date]],"mmm")</f>
        <v>Jul</v>
      </c>
    </row>
    <row r="918" spans="1:16" x14ac:dyDescent="0.25">
      <c r="A918">
        <v>917</v>
      </c>
      <c r="B918" s="5" t="s">
        <v>31</v>
      </c>
      <c r="C918" s="5" t="s">
        <v>20</v>
      </c>
      <c r="D918" s="5" t="s">
        <v>12</v>
      </c>
      <c r="E918" s="5" t="s">
        <v>32</v>
      </c>
      <c r="F918" s="2">
        <v>124</v>
      </c>
      <c r="G918" s="3">
        <v>602.4</v>
      </c>
      <c r="H918">
        <v>125</v>
      </c>
      <c r="I918">
        <f>IF(Table1[[#This Row],[Status]]= "Sufficient",
     Table1[[#This Row],[Stock_Quantity]] - Table1[[#This Row],[Reorder_Level]],
     0)</f>
        <v>0</v>
      </c>
      <c r="J918" s="4">
        <v>45921</v>
      </c>
      <c r="K918" s="5" t="s">
        <v>28</v>
      </c>
      <c r="L918">
        <f>YEAR(Table1[[#This Row],[Last_Restock_Date]])</f>
        <v>2025</v>
      </c>
      <c r="M918" t="str">
        <f>_xlfn.CONCAT(TEXT(Table1[[#This Row],[Last_Restock_Date]],"mmm"), "-", YEAR(Table1[[#This Row],[Last_Restock_Date]]))</f>
        <v>Sep-2025</v>
      </c>
      <c r="N918">
        <f>MONTH(Table1[[#This Row],[Last_Restock_Date]])</f>
        <v>9</v>
      </c>
      <c r="O918" t="str" cm="1">
        <f t="array" ref="O918">_xlfn.SWITCH(Table1[[#This Row],[Month_Number]],
    1,"Q1",2,"Q1",3,"Q1",
    4,"Q2",5,"Q2",6,"Q2",
    7,"Q3",8,"Q3",9,"Q3",
    10,"Q4",11,"Q4",12,"Q4",
    "Invalid Month"
)</f>
        <v>Q3</v>
      </c>
      <c r="P918" t="str">
        <f>TEXT(Table1[[#This Row],[Last_Restock_Date]],"mmm")</f>
        <v>Sep</v>
      </c>
    </row>
    <row r="919" spans="1:16" x14ac:dyDescent="0.25">
      <c r="A919">
        <v>918</v>
      </c>
      <c r="B919" s="5" t="s">
        <v>45</v>
      </c>
      <c r="C919" s="5" t="s">
        <v>26</v>
      </c>
      <c r="D919" s="5" t="s">
        <v>24</v>
      </c>
      <c r="E919" s="5" t="s">
        <v>37</v>
      </c>
      <c r="F919" s="2">
        <v>385</v>
      </c>
      <c r="G919" s="3">
        <v>543.46</v>
      </c>
      <c r="H919">
        <v>116</v>
      </c>
      <c r="I919">
        <f>IF(Table1[[#This Row],[Status]]= "Sufficient",
     Table1[[#This Row],[Stock_Quantity]] - Table1[[#This Row],[Reorder_Level]],
     0)</f>
        <v>269</v>
      </c>
      <c r="J919" s="4">
        <v>45365</v>
      </c>
      <c r="K919" s="5" t="s">
        <v>14</v>
      </c>
      <c r="L919">
        <f>YEAR(Table1[[#This Row],[Last_Restock_Date]])</f>
        <v>2024</v>
      </c>
      <c r="M919" t="str">
        <f>_xlfn.CONCAT(TEXT(Table1[[#This Row],[Last_Restock_Date]],"mmm"), "-", YEAR(Table1[[#This Row],[Last_Restock_Date]]))</f>
        <v>Mar-2024</v>
      </c>
      <c r="N919">
        <f>MONTH(Table1[[#This Row],[Last_Restock_Date]])</f>
        <v>3</v>
      </c>
      <c r="O919" t="str" cm="1">
        <f t="array" ref="O919">_xlfn.SWITCH(Table1[[#This Row],[Month_Number]],
    1,"Q1",2,"Q1",3,"Q1",
    4,"Q2",5,"Q2",6,"Q2",
    7,"Q3",8,"Q3",9,"Q3",
    10,"Q4",11,"Q4",12,"Q4",
    "Invalid Month"
)</f>
        <v>Q1</v>
      </c>
      <c r="P919" t="str">
        <f>TEXT(Table1[[#This Row],[Last_Restock_Date]],"mmm")</f>
        <v>Mar</v>
      </c>
    </row>
    <row r="920" spans="1:16" x14ac:dyDescent="0.25">
      <c r="A920">
        <v>919</v>
      </c>
      <c r="B920" s="5" t="s">
        <v>54</v>
      </c>
      <c r="C920" s="5" t="s">
        <v>20</v>
      </c>
      <c r="D920" s="5" t="s">
        <v>17</v>
      </c>
      <c r="E920" s="5" t="s">
        <v>32</v>
      </c>
      <c r="F920" s="2">
        <v>68</v>
      </c>
      <c r="G920" s="3">
        <v>606.62</v>
      </c>
      <c r="H920">
        <v>144</v>
      </c>
      <c r="I920">
        <f>IF(Table1[[#This Row],[Status]]= "Sufficient",
     Table1[[#This Row],[Stock_Quantity]] - Table1[[#This Row],[Reorder_Level]],
     0)</f>
        <v>0</v>
      </c>
      <c r="J920" s="4">
        <v>45742</v>
      </c>
      <c r="K920" s="5" t="s">
        <v>28</v>
      </c>
      <c r="L920">
        <f>YEAR(Table1[[#This Row],[Last_Restock_Date]])</f>
        <v>2025</v>
      </c>
      <c r="M920" t="str">
        <f>_xlfn.CONCAT(TEXT(Table1[[#This Row],[Last_Restock_Date]],"mmm"), "-", YEAR(Table1[[#This Row],[Last_Restock_Date]]))</f>
        <v>Mar-2025</v>
      </c>
      <c r="N920">
        <f>MONTH(Table1[[#This Row],[Last_Restock_Date]])</f>
        <v>3</v>
      </c>
      <c r="O920" t="str" cm="1">
        <f t="array" ref="O920">_xlfn.SWITCH(Table1[[#This Row],[Month_Number]],
    1,"Q1",2,"Q1",3,"Q1",
    4,"Q2",5,"Q2",6,"Q2",
    7,"Q3",8,"Q3",9,"Q3",
    10,"Q4",11,"Q4",12,"Q4",
    "Invalid Month"
)</f>
        <v>Q1</v>
      </c>
      <c r="P920" t="str">
        <f>TEXT(Table1[[#This Row],[Last_Restock_Date]],"mmm")</f>
        <v>Mar</v>
      </c>
    </row>
    <row r="921" spans="1:16" x14ac:dyDescent="0.25">
      <c r="A921">
        <v>920</v>
      </c>
      <c r="B921" s="5" t="s">
        <v>51</v>
      </c>
      <c r="C921" s="5" t="s">
        <v>11</v>
      </c>
      <c r="D921" s="5" t="s">
        <v>17</v>
      </c>
      <c r="E921" s="5" t="s">
        <v>13</v>
      </c>
      <c r="F921" s="2">
        <v>443</v>
      </c>
      <c r="G921" s="3">
        <v>603.14</v>
      </c>
      <c r="H921">
        <v>73</v>
      </c>
      <c r="I921">
        <f>IF(Table1[[#This Row],[Status]]= "Sufficient",
     Table1[[#This Row],[Stock_Quantity]] - Table1[[#This Row],[Reorder_Level]],
     0)</f>
        <v>370</v>
      </c>
      <c r="J921" s="4">
        <v>45163</v>
      </c>
      <c r="K921" s="5" t="s">
        <v>14</v>
      </c>
      <c r="L921">
        <f>YEAR(Table1[[#This Row],[Last_Restock_Date]])</f>
        <v>2023</v>
      </c>
      <c r="M921" t="str">
        <f>_xlfn.CONCAT(TEXT(Table1[[#This Row],[Last_Restock_Date]],"mmm"), "-", YEAR(Table1[[#This Row],[Last_Restock_Date]]))</f>
        <v>Aug-2023</v>
      </c>
      <c r="N921">
        <f>MONTH(Table1[[#This Row],[Last_Restock_Date]])</f>
        <v>8</v>
      </c>
      <c r="O921" t="str" cm="1">
        <f t="array" ref="O921">_xlfn.SWITCH(Table1[[#This Row],[Month_Number]],
    1,"Q1",2,"Q1",3,"Q1",
    4,"Q2",5,"Q2",6,"Q2",
    7,"Q3",8,"Q3",9,"Q3",
    10,"Q4",11,"Q4",12,"Q4",
    "Invalid Month"
)</f>
        <v>Q3</v>
      </c>
      <c r="P921" t="str">
        <f>TEXT(Table1[[#This Row],[Last_Restock_Date]],"mmm")</f>
        <v>Aug</v>
      </c>
    </row>
    <row r="922" spans="1:16" x14ac:dyDescent="0.25">
      <c r="A922">
        <v>921</v>
      </c>
      <c r="B922" s="5" t="s">
        <v>40</v>
      </c>
      <c r="C922" s="5" t="s">
        <v>34</v>
      </c>
      <c r="D922" s="5" t="s">
        <v>30</v>
      </c>
      <c r="E922" s="5" t="s">
        <v>18</v>
      </c>
      <c r="F922" s="2">
        <v>323</v>
      </c>
      <c r="G922" s="3">
        <v>588.35</v>
      </c>
      <c r="H922">
        <v>64</v>
      </c>
      <c r="I922">
        <f>IF(Table1[[#This Row],[Status]]= "Sufficient",
     Table1[[#This Row],[Stock_Quantity]] - Table1[[#This Row],[Reorder_Level]],
     0)</f>
        <v>259</v>
      </c>
      <c r="J922" s="4">
        <v>45533</v>
      </c>
      <c r="K922" s="5" t="s">
        <v>14</v>
      </c>
      <c r="L922">
        <f>YEAR(Table1[[#This Row],[Last_Restock_Date]])</f>
        <v>2024</v>
      </c>
      <c r="M922" t="str">
        <f>_xlfn.CONCAT(TEXT(Table1[[#This Row],[Last_Restock_Date]],"mmm"), "-", YEAR(Table1[[#This Row],[Last_Restock_Date]]))</f>
        <v>Aug-2024</v>
      </c>
      <c r="N922">
        <f>MONTH(Table1[[#This Row],[Last_Restock_Date]])</f>
        <v>8</v>
      </c>
      <c r="O922" t="str" cm="1">
        <f t="array" ref="O922">_xlfn.SWITCH(Table1[[#This Row],[Month_Number]],
    1,"Q1",2,"Q1",3,"Q1",
    4,"Q2",5,"Q2",6,"Q2",
    7,"Q3",8,"Q3",9,"Q3",
    10,"Q4",11,"Q4",12,"Q4",
    "Invalid Month"
)</f>
        <v>Q3</v>
      </c>
      <c r="P922" t="str">
        <f>TEXT(Table1[[#This Row],[Last_Restock_Date]],"mmm")</f>
        <v>Aug</v>
      </c>
    </row>
    <row r="923" spans="1:16" x14ac:dyDescent="0.25">
      <c r="A923">
        <v>922</v>
      </c>
      <c r="B923" s="5" t="s">
        <v>35</v>
      </c>
      <c r="C923" s="5" t="s">
        <v>11</v>
      </c>
      <c r="D923" s="5" t="s">
        <v>17</v>
      </c>
      <c r="E923" s="5" t="s">
        <v>13</v>
      </c>
      <c r="F923" s="2">
        <v>424</v>
      </c>
      <c r="G923" s="3">
        <v>490.44</v>
      </c>
      <c r="H923">
        <v>88</v>
      </c>
      <c r="I923">
        <f>IF(Table1[[#This Row],[Status]]= "Sufficient",
     Table1[[#This Row],[Stock_Quantity]] - Table1[[#This Row],[Reorder_Level]],
     0)</f>
        <v>336</v>
      </c>
      <c r="J923" s="4">
        <v>45618</v>
      </c>
      <c r="K923" s="5" t="s">
        <v>14</v>
      </c>
      <c r="L923">
        <f>YEAR(Table1[[#This Row],[Last_Restock_Date]])</f>
        <v>2024</v>
      </c>
      <c r="M923" t="str">
        <f>_xlfn.CONCAT(TEXT(Table1[[#This Row],[Last_Restock_Date]],"mmm"), "-", YEAR(Table1[[#This Row],[Last_Restock_Date]]))</f>
        <v>Nov-2024</v>
      </c>
      <c r="N923">
        <f>MONTH(Table1[[#This Row],[Last_Restock_Date]])</f>
        <v>11</v>
      </c>
      <c r="O923" t="str" cm="1">
        <f t="array" ref="O923">_xlfn.SWITCH(Table1[[#This Row],[Month_Number]],
    1,"Q1",2,"Q1",3,"Q1",
    4,"Q2",5,"Q2",6,"Q2",
    7,"Q3",8,"Q3",9,"Q3",
    10,"Q4",11,"Q4",12,"Q4",
    "Invalid Month"
)</f>
        <v>Q4</v>
      </c>
      <c r="P923" t="str">
        <f>TEXT(Table1[[#This Row],[Last_Restock_Date]],"mmm")</f>
        <v>Nov</v>
      </c>
    </row>
    <row r="924" spans="1:16" x14ac:dyDescent="0.25">
      <c r="A924">
        <v>923</v>
      </c>
      <c r="B924" s="5" t="s">
        <v>35</v>
      </c>
      <c r="C924" s="5" t="s">
        <v>11</v>
      </c>
      <c r="D924" s="5" t="s">
        <v>30</v>
      </c>
      <c r="E924" s="5" t="s">
        <v>39</v>
      </c>
      <c r="F924" s="2">
        <v>32</v>
      </c>
      <c r="G924" s="3">
        <v>279.42</v>
      </c>
      <c r="H924">
        <v>71</v>
      </c>
      <c r="I924">
        <f>IF(Table1[[#This Row],[Status]]= "Sufficient",
     Table1[[#This Row],[Stock_Quantity]] - Table1[[#This Row],[Reorder_Level]],
     0)</f>
        <v>0</v>
      </c>
      <c r="J924" s="4">
        <v>45703</v>
      </c>
      <c r="K924" s="5" t="s">
        <v>28</v>
      </c>
      <c r="L924">
        <f>YEAR(Table1[[#This Row],[Last_Restock_Date]])</f>
        <v>2025</v>
      </c>
      <c r="M924" t="str">
        <f>_xlfn.CONCAT(TEXT(Table1[[#This Row],[Last_Restock_Date]],"mmm"), "-", YEAR(Table1[[#This Row],[Last_Restock_Date]]))</f>
        <v>Feb-2025</v>
      </c>
      <c r="N924">
        <f>MONTH(Table1[[#This Row],[Last_Restock_Date]])</f>
        <v>2</v>
      </c>
      <c r="O924" t="str" cm="1">
        <f t="array" ref="O924">_xlfn.SWITCH(Table1[[#This Row],[Month_Number]],
    1,"Q1",2,"Q1",3,"Q1",
    4,"Q2",5,"Q2",6,"Q2",
    7,"Q3",8,"Q3",9,"Q3",
    10,"Q4",11,"Q4",12,"Q4",
    "Invalid Month"
)</f>
        <v>Q1</v>
      </c>
      <c r="P924" t="str">
        <f>TEXT(Table1[[#This Row],[Last_Restock_Date]],"mmm")</f>
        <v>Feb</v>
      </c>
    </row>
    <row r="925" spans="1:16" x14ac:dyDescent="0.25">
      <c r="A925">
        <v>924</v>
      </c>
      <c r="B925" s="5" t="s">
        <v>29</v>
      </c>
      <c r="C925" s="5" t="s">
        <v>16</v>
      </c>
      <c r="D925" s="5" t="s">
        <v>30</v>
      </c>
      <c r="E925" s="5" t="s">
        <v>13</v>
      </c>
      <c r="F925" s="2">
        <v>195</v>
      </c>
      <c r="G925" s="3">
        <v>536.48</v>
      </c>
      <c r="H925">
        <v>126</v>
      </c>
      <c r="I925">
        <f>IF(Table1[[#This Row],[Status]]= "Sufficient",
     Table1[[#This Row],[Stock_Quantity]] - Table1[[#This Row],[Reorder_Level]],
     0)</f>
        <v>69</v>
      </c>
      <c r="J925" s="4">
        <v>45288</v>
      </c>
      <c r="K925" s="5" t="s">
        <v>14</v>
      </c>
      <c r="L925">
        <f>YEAR(Table1[[#This Row],[Last_Restock_Date]])</f>
        <v>2023</v>
      </c>
      <c r="M925" t="str">
        <f>_xlfn.CONCAT(TEXT(Table1[[#This Row],[Last_Restock_Date]],"mmm"), "-", YEAR(Table1[[#This Row],[Last_Restock_Date]]))</f>
        <v>Dec-2023</v>
      </c>
      <c r="N925">
        <f>MONTH(Table1[[#This Row],[Last_Restock_Date]])</f>
        <v>12</v>
      </c>
      <c r="O925" t="str" cm="1">
        <f t="array" ref="O925">_xlfn.SWITCH(Table1[[#This Row],[Month_Number]],
    1,"Q1",2,"Q1",3,"Q1",
    4,"Q2",5,"Q2",6,"Q2",
    7,"Q3",8,"Q3",9,"Q3",
    10,"Q4",11,"Q4",12,"Q4",
    "Invalid Month"
)</f>
        <v>Q4</v>
      </c>
      <c r="P925" t="str">
        <f>TEXT(Table1[[#This Row],[Last_Restock_Date]],"mmm")</f>
        <v>Dec</v>
      </c>
    </row>
    <row r="926" spans="1:16" x14ac:dyDescent="0.25">
      <c r="A926">
        <v>925</v>
      </c>
      <c r="B926" s="5" t="s">
        <v>40</v>
      </c>
      <c r="C926" s="5" t="s">
        <v>34</v>
      </c>
      <c r="D926" s="5" t="s">
        <v>12</v>
      </c>
      <c r="E926" s="5" t="s">
        <v>37</v>
      </c>
      <c r="F926" s="2">
        <v>419</v>
      </c>
      <c r="G926" s="3">
        <v>494.25</v>
      </c>
      <c r="H926">
        <v>62</v>
      </c>
      <c r="I926">
        <f>IF(Table1[[#This Row],[Status]]= "Sufficient",
     Table1[[#This Row],[Stock_Quantity]] - Table1[[#This Row],[Reorder_Level]],
     0)</f>
        <v>357</v>
      </c>
      <c r="J926" s="4">
        <v>45171</v>
      </c>
      <c r="K926" s="5" t="s">
        <v>14</v>
      </c>
      <c r="L926">
        <f>YEAR(Table1[[#This Row],[Last_Restock_Date]])</f>
        <v>2023</v>
      </c>
      <c r="M926" t="str">
        <f>_xlfn.CONCAT(TEXT(Table1[[#This Row],[Last_Restock_Date]],"mmm"), "-", YEAR(Table1[[#This Row],[Last_Restock_Date]]))</f>
        <v>Sep-2023</v>
      </c>
      <c r="N926">
        <f>MONTH(Table1[[#This Row],[Last_Restock_Date]])</f>
        <v>9</v>
      </c>
      <c r="O926" t="str" cm="1">
        <f t="array" ref="O926">_xlfn.SWITCH(Table1[[#This Row],[Month_Number]],
    1,"Q1",2,"Q1",3,"Q1",
    4,"Q2",5,"Q2",6,"Q2",
    7,"Q3",8,"Q3",9,"Q3",
    10,"Q4",11,"Q4",12,"Q4",
    "Invalid Month"
)</f>
        <v>Q3</v>
      </c>
      <c r="P926" t="str">
        <f>TEXT(Table1[[#This Row],[Last_Restock_Date]],"mmm")</f>
        <v>Sep</v>
      </c>
    </row>
    <row r="927" spans="1:16" x14ac:dyDescent="0.25">
      <c r="A927">
        <v>926</v>
      </c>
      <c r="B927" s="5" t="s">
        <v>15</v>
      </c>
      <c r="C927" s="5" t="s">
        <v>16</v>
      </c>
      <c r="D927" s="5" t="s">
        <v>24</v>
      </c>
      <c r="E927" s="5" t="s">
        <v>37</v>
      </c>
      <c r="F927" s="2">
        <v>23</v>
      </c>
      <c r="G927" s="3">
        <v>689.19</v>
      </c>
      <c r="H927">
        <v>81</v>
      </c>
      <c r="I927">
        <f>IF(Table1[[#This Row],[Status]]= "Sufficient",
     Table1[[#This Row],[Stock_Quantity]] - Table1[[#This Row],[Reorder_Level]],
     0)</f>
        <v>0</v>
      </c>
      <c r="J927" s="4">
        <v>45668</v>
      </c>
      <c r="K927" s="5" t="s">
        <v>28</v>
      </c>
      <c r="L927">
        <f>YEAR(Table1[[#This Row],[Last_Restock_Date]])</f>
        <v>2025</v>
      </c>
      <c r="M927" t="str">
        <f>_xlfn.CONCAT(TEXT(Table1[[#This Row],[Last_Restock_Date]],"mmm"), "-", YEAR(Table1[[#This Row],[Last_Restock_Date]]))</f>
        <v>Jan-2025</v>
      </c>
      <c r="N927">
        <f>MONTH(Table1[[#This Row],[Last_Restock_Date]])</f>
        <v>1</v>
      </c>
      <c r="O927" t="str" cm="1">
        <f t="array" ref="O927">_xlfn.SWITCH(Table1[[#This Row],[Month_Number]],
    1,"Q1",2,"Q1",3,"Q1",
    4,"Q2",5,"Q2",6,"Q2",
    7,"Q3",8,"Q3",9,"Q3",
    10,"Q4",11,"Q4",12,"Q4",
    "Invalid Month"
)</f>
        <v>Q1</v>
      </c>
      <c r="P927" t="str">
        <f>TEXT(Table1[[#This Row],[Last_Restock_Date]],"mmm")</f>
        <v>Jan</v>
      </c>
    </row>
    <row r="928" spans="1:16" x14ac:dyDescent="0.25">
      <c r="A928">
        <v>927</v>
      </c>
      <c r="B928" s="5" t="s">
        <v>35</v>
      </c>
      <c r="C928" s="5" t="s">
        <v>11</v>
      </c>
      <c r="D928" s="5" t="s">
        <v>30</v>
      </c>
      <c r="E928" s="5" t="s">
        <v>27</v>
      </c>
      <c r="F928" s="2">
        <v>344</v>
      </c>
      <c r="G928" s="3">
        <v>590.16999999999996</v>
      </c>
      <c r="H928">
        <v>109</v>
      </c>
      <c r="I928">
        <f>IF(Table1[[#This Row],[Status]]= "Sufficient",
     Table1[[#This Row],[Stock_Quantity]] - Table1[[#This Row],[Reorder_Level]],
     0)</f>
        <v>235</v>
      </c>
      <c r="J928" s="4">
        <v>45013</v>
      </c>
      <c r="K928" s="5" t="s">
        <v>14</v>
      </c>
      <c r="L928">
        <f>YEAR(Table1[[#This Row],[Last_Restock_Date]])</f>
        <v>2023</v>
      </c>
      <c r="M928" t="str">
        <f>_xlfn.CONCAT(TEXT(Table1[[#This Row],[Last_Restock_Date]],"mmm"), "-", YEAR(Table1[[#This Row],[Last_Restock_Date]]))</f>
        <v>Mar-2023</v>
      </c>
      <c r="N928">
        <f>MONTH(Table1[[#This Row],[Last_Restock_Date]])</f>
        <v>3</v>
      </c>
      <c r="O928" t="str" cm="1">
        <f t="array" ref="O928">_xlfn.SWITCH(Table1[[#This Row],[Month_Number]],
    1,"Q1",2,"Q1",3,"Q1",
    4,"Q2",5,"Q2",6,"Q2",
    7,"Q3",8,"Q3",9,"Q3",
    10,"Q4",11,"Q4",12,"Q4",
    "Invalid Month"
)</f>
        <v>Q1</v>
      </c>
      <c r="P928" t="str">
        <f>TEXT(Table1[[#This Row],[Last_Restock_Date]],"mmm")</f>
        <v>Mar</v>
      </c>
    </row>
    <row r="929" spans="1:16" x14ac:dyDescent="0.25">
      <c r="A929">
        <v>928</v>
      </c>
      <c r="B929" s="5" t="s">
        <v>31</v>
      </c>
      <c r="C929" s="5" t="s">
        <v>20</v>
      </c>
      <c r="D929" s="5" t="s">
        <v>24</v>
      </c>
      <c r="E929" s="5" t="s">
        <v>32</v>
      </c>
      <c r="F929" s="2">
        <v>61</v>
      </c>
      <c r="G929" s="3">
        <v>370.85</v>
      </c>
      <c r="H929">
        <v>135</v>
      </c>
      <c r="I929">
        <f>IF(Table1[[#This Row],[Status]]= "Sufficient",
     Table1[[#This Row],[Stock_Quantity]] - Table1[[#This Row],[Reorder_Level]],
     0)</f>
        <v>0</v>
      </c>
      <c r="J929" s="4">
        <v>44955</v>
      </c>
      <c r="K929" s="5" t="s">
        <v>28</v>
      </c>
      <c r="L929">
        <f>YEAR(Table1[[#This Row],[Last_Restock_Date]])</f>
        <v>2023</v>
      </c>
      <c r="M929" t="str">
        <f>_xlfn.CONCAT(TEXT(Table1[[#This Row],[Last_Restock_Date]],"mmm"), "-", YEAR(Table1[[#This Row],[Last_Restock_Date]]))</f>
        <v>Jan-2023</v>
      </c>
      <c r="N929">
        <f>MONTH(Table1[[#This Row],[Last_Restock_Date]])</f>
        <v>1</v>
      </c>
      <c r="O929" t="str" cm="1">
        <f t="array" ref="O929">_xlfn.SWITCH(Table1[[#This Row],[Month_Number]],
    1,"Q1",2,"Q1",3,"Q1",
    4,"Q2",5,"Q2",6,"Q2",
    7,"Q3",8,"Q3",9,"Q3",
    10,"Q4",11,"Q4",12,"Q4",
    "Invalid Month"
)</f>
        <v>Q1</v>
      </c>
      <c r="P929" t="str">
        <f>TEXT(Table1[[#This Row],[Last_Restock_Date]],"mmm")</f>
        <v>Jan</v>
      </c>
    </row>
    <row r="930" spans="1:16" x14ac:dyDescent="0.25">
      <c r="A930">
        <v>929</v>
      </c>
      <c r="B930" s="5" t="s">
        <v>38</v>
      </c>
      <c r="C930" s="5" t="s">
        <v>26</v>
      </c>
      <c r="D930" s="5" t="s">
        <v>24</v>
      </c>
      <c r="E930" s="5" t="s">
        <v>37</v>
      </c>
      <c r="F930" s="2">
        <v>404</v>
      </c>
      <c r="G930" s="3">
        <v>588.14</v>
      </c>
      <c r="H930">
        <v>58</v>
      </c>
      <c r="I930">
        <f>IF(Table1[[#This Row],[Status]]= "Sufficient",
     Table1[[#This Row],[Stock_Quantity]] - Table1[[#This Row],[Reorder_Level]],
     0)</f>
        <v>346</v>
      </c>
      <c r="J930" s="4">
        <v>45901</v>
      </c>
      <c r="K930" s="5" t="s">
        <v>14</v>
      </c>
      <c r="L930">
        <f>YEAR(Table1[[#This Row],[Last_Restock_Date]])</f>
        <v>2025</v>
      </c>
      <c r="M930" t="str">
        <f>_xlfn.CONCAT(TEXT(Table1[[#This Row],[Last_Restock_Date]],"mmm"), "-", YEAR(Table1[[#This Row],[Last_Restock_Date]]))</f>
        <v>Sep-2025</v>
      </c>
      <c r="N930">
        <f>MONTH(Table1[[#This Row],[Last_Restock_Date]])</f>
        <v>9</v>
      </c>
      <c r="O930" t="str" cm="1">
        <f t="array" ref="O930">_xlfn.SWITCH(Table1[[#This Row],[Month_Number]],
    1,"Q1",2,"Q1",3,"Q1",
    4,"Q2",5,"Q2",6,"Q2",
    7,"Q3",8,"Q3",9,"Q3",
    10,"Q4",11,"Q4",12,"Q4",
    "Invalid Month"
)</f>
        <v>Q3</v>
      </c>
      <c r="P930" t="str">
        <f>TEXT(Table1[[#This Row],[Last_Restock_Date]],"mmm")</f>
        <v>Sep</v>
      </c>
    </row>
    <row r="931" spans="1:16" x14ac:dyDescent="0.25">
      <c r="A931">
        <v>930</v>
      </c>
      <c r="B931" s="5" t="s">
        <v>40</v>
      </c>
      <c r="C931" s="5" t="s">
        <v>34</v>
      </c>
      <c r="D931" s="5" t="s">
        <v>30</v>
      </c>
      <c r="E931" s="5" t="s">
        <v>39</v>
      </c>
      <c r="F931" s="2">
        <v>464</v>
      </c>
      <c r="G931" s="3">
        <v>38.909999999999997</v>
      </c>
      <c r="H931">
        <v>121</v>
      </c>
      <c r="I931">
        <f>IF(Table1[[#This Row],[Status]]= "Sufficient",
     Table1[[#This Row],[Stock_Quantity]] - Table1[[#This Row],[Reorder_Level]],
     0)</f>
        <v>343</v>
      </c>
      <c r="J931" s="4">
        <v>45334</v>
      </c>
      <c r="K931" s="5" t="s">
        <v>14</v>
      </c>
      <c r="L931">
        <f>YEAR(Table1[[#This Row],[Last_Restock_Date]])</f>
        <v>2024</v>
      </c>
      <c r="M931" t="str">
        <f>_xlfn.CONCAT(TEXT(Table1[[#This Row],[Last_Restock_Date]],"mmm"), "-", YEAR(Table1[[#This Row],[Last_Restock_Date]]))</f>
        <v>Feb-2024</v>
      </c>
      <c r="N931">
        <f>MONTH(Table1[[#This Row],[Last_Restock_Date]])</f>
        <v>2</v>
      </c>
      <c r="O931" t="str" cm="1">
        <f t="array" ref="O931">_xlfn.SWITCH(Table1[[#This Row],[Month_Number]],
    1,"Q1",2,"Q1",3,"Q1",
    4,"Q2",5,"Q2",6,"Q2",
    7,"Q3",8,"Q3",9,"Q3",
    10,"Q4",11,"Q4",12,"Q4",
    "Invalid Month"
)</f>
        <v>Q1</v>
      </c>
      <c r="P931" t="str">
        <f>TEXT(Table1[[#This Row],[Last_Restock_Date]],"mmm")</f>
        <v>Feb</v>
      </c>
    </row>
    <row r="932" spans="1:16" x14ac:dyDescent="0.25">
      <c r="A932">
        <v>931</v>
      </c>
      <c r="B932" s="5" t="s">
        <v>40</v>
      </c>
      <c r="C932" s="5" t="s">
        <v>34</v>
      </c>
      <c r="D932" s="5" t="s">
        <v>24</v>
      </c>
      <c r="E932" s="5" t="s">
        <v>18</v>
      </c>
      <c r="F932" s="2">
        <v>59</v>
      </c>
      <c r="G932" s="3">
        <v>311.83</v>
      </c>
      <c r="H932">
        <v>54</v>
      </c>
      <c r="I932">
        <f>IF(Table1[[#This Row],[Status]]= "Sufficient",
     Table1[[#This Row],[Stock_Quantity]] - Table1[[#This Row],[Reorder_Level]],
     0)</f>
        <v>5</v>
      </c>
      <c r="J932" s="4">
        <v>45340</v>
      </c>
      <c r="K932" s="5" t="s">
        <v>14</v>
      </c>
      <c r="L932">
        <f>YEAR(Table1[[#This Row],[Last_Restock_Date]])</f>
        <v>2024</v>
      </c>
      <c r="M932" t="str">
        <f>_xlfn.CONCAT(TEXT(Table1[[#This Row],[Last_Restock_Date]],"mmm"), "-", YEAR(Table1[[#This Row],[Last_Restock_Date]]))</f>
        <v>Feb-2024</v>
      </c>
      <c r="N932">
        <f>MONTH(Table1[[#This Row],[Last_Restock_Date]])</f>
        <v>2</v>
      </c>
      <c r="O932" t="str" cm="1">
        <f t="array" ref="O932">_xlfn.SWITCH(Table1[[#This Row],[Month_Number]],
    1,"Q1",2,"Q1",3,"Q1",
    4,"Q2",5,"Q2",6,"Q2",
    7,"Q3",8,"Q3",9,"Q3",
    10,"Q4",11,"Q4",12,"Q4",
    "Invalid Month"
)</f>
        <v>Q1</v>
      </c>
      <c r="P932" t="str">
        <f>TEXT(Table1[[#This Row],[Last_Restock_Date]],"mmm")</f>
        <v>Feb</v>
      </c>
    </row>
    <row r="933" spans="1:16" x14ac:dyDescent="0.25">
      <c r="A933">
        <v>932</v>
      </c>
      <c r="B933" s="5" t="s">
        <v>25</v>
      </c>
      <c r="C933" s="5" t="s">
        <v>26</v>
      </c>
      <c r="D933" s="5" t="s">
        <v>17</v>
      </c>
      <c r="E933" s="5" t="s">
        <v>27</v>
      </c>
      <c r="F933" s="2">
        <v>401</v>
      </c>
      <c r="G933" s="3">
        <v>726.68</v>
      </c>
      <c r="H933">
        <v>124</v>
      </c>
      <c r="I933">
        <f>IF(Table1[[#This Row],[Status]]= "Sufficient",
     Table1[[#This Row],[Stock_Quantity]] - Table1[[#This Row],[Reorder_Level]],
     0)</f>
        <v>277</v>
      </c>
      <c r="J933" s="4">
        <v>45073</v>
      </c>
      <c r="K933" s="5" t="s">
        <v>14</v>
      </c>
      <c r="L933">
        <f>YEAR(Table1[[#This Row],[Last_Restock_Date]])</f>
        <v>2023</v>
      </c>
      <c r="M933" t="str">
        <f>_xlfn.CONCAT(TEXT(Table1[[#This Row],[Last_Restock_Date]],"mmm"), "-", YEAR(Table1[[#This Row],[Last_Restock_Date]]))</f>
        <v>May-2023</v>
      </c>
      <c r="N933">
        <f>MONTH(Table1[[#This Row],[Last_Restock_Date]])</f>
        <v>5</v>
      </c>
      <c r="O933" t="str" cm="1">
        <f t="array" ref="O933">_xlfn.SWITCH(Table1[[#This Row],[Month_Number]],
    1,"Q1",2,"Q1",3,"Q1",
    4,"Q2",5,"Q2",6,"Q2",
    7,"Q3",8,"Q3",9,"Q3",
    10,"Q4",11,"Q4",12,"Q4",
    "Invalid Month"
)</f>
        <v>Q2</v>
      </c>
      <c r="P933" t="str">
        <f>TEXT(Table1[[#This Row],[Last_Restock_Date]],"mmm")</f>
        <v>May</v>
      </c>
    </row>
    <row r="934" spans="1:16" x14ac:dyDescent="0.25">
      <c r="A934">
        <v>933</v>
      </c>
      <c r="B934" s="5" t="s">
        <v>54</v>
      </c>
      <c r="C934" s="5" t="s">
        <v>20</v>
      </c>
      <c r="D934" s="5" t="s">
        <v>30</v>
      </c>
      <c r="E934" s="5" t="s">
        <v>13</v>
      </c>
      <c r="F934" s="2">
        <v>347</v>
      </c>
      <c r="G934" s="3">
        <v>276.02999999999997</v>
      </c>
      <c r="H934">
        <v>127</v>
      </c>
      <c r="I934">
        <f>IF(Table1[[#This Row],[Status]]= "Sufficient",
     Table1[[#This Row],[Stock_Quantity]] - Table1[[#This Row],[Reorder_Level]],
     0)</f>
        <v>220</v>
      </c>
      <c r="J934" s="4">
        <v>44960</v>
      </c>
      <c r="K934" s="5" t="s">
        <v>14</v>
      </c>
      <c r="L934">
        <f>YEAR(Table1[[#This Row],[Last_Restock_Date]])</f>
        <v>2023</v>
      </c>
      <c r="M934" t="str">
        <f>_xlfn.CONCAT(TEXT(Table1[[#This Row],[Last_Restock_Date]],"mmm"), "-", YEAR(Table1[[#This Row],[Last_Restock_Date]]))</f>
        <v>Feb-2023</v>
      </c>
      <c r="N934">
        <f>MONTH(Table1[[#This Row],[Last_Restock_Date]])</f>
        <v>2</v>
      </c>
      <c r="O934" t="str" cm="1">
        <f t="array" ref="O934">_xlfn.SWITCH(Table1[[#This Row],[Month_Number]],
    1,"Q1",2,"Q1",3,"Q1",
    4,"Q2",5,"Q2",6,"Q2",
    7,"Q3",8,"Q3",9,"Q3",
    10,"Q4",11,"Q4",12,"Q4",
    "Invalid Month"
)</f>
        <v>Q1</v>
      </c>
      <c r="P934" t="str">
        <f>TEXT(Table1[[#This Row],[Last_Restock_Date]],"mmm")</f>
        <v>Feb</v>
      </c>
    </row>
    <row r="935" spans="1:16" x14ac:dyDescent="0.25">
      <c r="A935">
        <v>934</v>
      </c>
      <c r="B935" s="5" t="s">
        <v>44</v>
      </c>
      <c r="C935" s="5" t="s">
        <v>34</v>
      </c>
      <c r="D935" s="5" t="s">
        <v>30</v>
      </c>
      <c r="E935" s="5" t="s">
        <v>37</v>
      </c>
      <c r="F935" s="2">
        <v>263</v>
      </c>
      <c r="G935" s="3">
        <v>439.35</v>
      </c>
      <c r="H935">
        <v>117</v>
      </c>
      <c r="I935">
        <f>IF(Table1[[#This Row],[Status]]= "Sufficient",
     Table1[[#This Row],[Stock_Quantity]] - Table1[[#This Row],[Reorder_Level]],
     0)</f>
        <v>146</v>
      </c>
      <c r="J935" s="4">
        <v>45554</v>
      </c>
      <c r="K935" s="5" t="s">
        <v>14</v>
      </c>
      <c r="L935">
        <f>YEAR(Table1[[#This Row],[Last_Restock_Date]])</f>
        <v>2024</v>
      </c>
      <c r="M935" t="str">
        <f>_xlfn.CONCAT(TEXT(Table1[[#This Row],[Last_Restock_Date]],"mmm"), "-", YEAR(Table1[[#This Row],[Last_Restock_Date]]))</f>
        <v>Sep-2024</v>
      </c>
      <c r="N935">
        <f>MONTH(Table1[[#This Row],[Last_Restock_Date]])</f>
        <v>9</v>
      </c>
      <c r="O935" t="str" cm="1">
        <f t="array" ref="O935">_xlfn.SWITCH(Table1[[#This Row],[Month_Number]],
    1,"Q1",2,"Q1",3,"Q1",
    4,"Q2",5,"Q2",6,"Q2",
    7,"Q3",8,"Q3",9,"Q3",
    10,"Q4",11,"Q4",12,"Q4",
    "Invalid Month"
)</f>
        <v>Q3</v>
      </c>
      <c r="P935" t="str">
        <f>TEXT(Table1[[#This Row],[Last_Restock_Date]],"mmm")</f>
        <v>Sep</v>
      </c>
    </row>
    <row r="936" spans="1:16" x14ac:dyDescent="0.25">
      <c r="A936">
        <v>935</v>
      </c>
      <c r="B936" s="5" t="s">
        <v>15</v>
      </c>
      <c r="C936" s="5" t="s">
        <v>16</v>
      </c>
      <c r="D936" s="5" t="s">
        <v>30</v>
      </c>
      <c r="E936" s="5" t="s">
        <v>32</v>
      </c>
      <c r="F936" s="2">
        <v>467</v>
      </c>
      <c r="G936" s="3">
        <v>480.1</v>
      </c>
      <c r="H936">
        <v>70</v>
      </c>
      <c r="I936">
        <f>IF(Table1[[#This Row],[Status]]= "Sufficient",
     Table1[[#This Row],[Stock_Quantity]] - Table1[[#This Row],[Reorder_Level]],
     0)</f>
        <v>397</v>
      </c>
      <c r="J936" s="4">
        <v>45472</v>
      </c>
      <c r="K936" s="5" t="s">
        <v>14</v>
      </c>
      <c r="L936">
        <f>YEAR(Table1[[#This Row],[Last_Restock_Date]])</f>
        <v>2024</v>
      </c>
      <c r="M936" t="str">
        <f>_xlfn.CONCAT(TEXT(Table1[[#This Row],[Last_Restock_Date]],"mmm"), "-", YEAR(Table1[[#This Row],[Last_Restock_Date]]))</f>
        <v>Jun-2024</v>
      </c>
      <c r="N936">
        <f>MONTH(Table1[[#This Row],[Last_Restock_Date]])</f>
        <v>6</v>
      </c>
      <c r="O936" t="str" cm="1">
        <f t="array" ref="O936">_xlfn.SWITCH(Table1[[#This Row],[Month_Number]],
    1,"Q1",2,"Q1",3,"Q1",
    4,"Q2",5,"Q2",6,"Q2",
    7,"Q3",8,"Q3",9,"Q3",
    10,"Q4",11,"Q4",12,"Q4",
    "Invalid Month"
)</f>
        <v>Q2</v>
      </c>
      <c r="P936" t="str">
        <f>TEXT(Table1[[#This Row],[Last_Restock_Date]],"mmm")</f>
        <v>Jun</v>
      </c>
    </row>
    <row r="937" spans="1:16" x14ac:dyDescent="0.25">
      <c r="A937">
        <v>936</v>
      </c>
      <c r="B937" s="5" t="s">
        <v>38</v>
      </c>
      <c r="C937" s="5" t="s">
        <v>26</v>
      </c>
      <c r="D937" s="5" t="s">
        <v>30</v>
      </c>
      <c r="E937" s="5" t="s">
        <v>37</v>
      </c>
      <c r="F937" s="2">
        <v>433</v>
      </c>
      <c r="G937" s="3">
        <v>136.78</v>
      </c>
      <c r="H937">
        <v>113</v>
      </c>
      <c r="I937">
        <f>IF(Table1[[#This Row],[Status]]= "Sufficient",
     Table1[[#This Row],[Stock_Quantity]] - Table1[[#This Row],[Reorder_Level]],
     0)</f>
        <v>320</v>
      </c>
      <c r="J937" s="4">
        <v>45714</v>
      </c>
      <c r="K937" s="5" t="s">
        <v>14</v>
      </c>
      <c r="L937">
        <f>YEAR(Table1[[#This Row],[Last_Restock_Date]])</f>
        <v>2025</v>
      </c>
      <c r="M937" t="str">
        <f>_xlfn.CONCAT(TEXT(Table1[[#This Row],[Last_Restock_Date]],"mmm"), "-", YEAR(Table1[[#This Row],[Last_Restock_Date]]))</f>
        <v>Feb-2025</v>
      </c>
      <c r="N937">
        <f>MONTH(Table1[[#This Row],[Last_Restock_Date]])</f>
        <v>2</v>
      </c>
      <c r="O937" t="str" cm="1">
        <f t="array" ref="O937">_xlfn.SWITCH(Table1[[#This Row],[Month_Number]],
    1,"Q1",2,"Q1",3,"Q1",
    4,"Q2",5,"Q2",6,"Q2",
    7,"Q3",8,"Q3",9,"Q3",
    10,"Q4",11,"Q4",12,"Q4",
    "Invalid Month"
)</f>
        <v>Q1</v>
      </c>
      <c r="P937" t="str">
        <f>TEXT(Table1[[#This Row],[Last_Restock_Date]],"mmm")</f>
        <v>Feb</v>
      </c>
    </row>
    <row r="938" spans="1:16" x14ac:dyDescent="0.25">
      <c r="A938">
        <v>937</v>
      </c>
      <c r="B938" s="5" t="s">
        <v>46</v>
      </c>
      <c r="C938" s="5" t="s">
        <v>34</v>
      </c>
      <c r="D938" s="5" t="s">
        <v>17</v>
      </c>
      <c r="E938" s="5" t="s">
        <v>32</v>
      </c>
      <c r="F938" s="2">
        <v>99</v>
      </c>
      <c r="G938" s="3">
        <v>302.39</v>
      </c>
      <c r="H938">
        <v>67</v>
      </c>
      <c r="I938">
        <f>IF(Table1[[#This Row],[Status]]= "Sufficient",
     Table1[[#This Row],[Stock_Quantity]] - Table1[[#This Row],[Reorder_Level]],
     0)</f>
        <v>32</v>
      </c>
      <c r="J938" s="4">
        <v>45067</v>
      </c>
      <c r="K938" s="5" t="s">
        <v>14</v>
      </c>
      <c r="L938">
        <f>YEAR(Table1[[#This Row],[Last_Restock_Date]])</f>
        <v>2023</v>
      </c>
      <c r="M938" t="str">
        <f>_xlfn.CONCAT(TEXT(Table1[[#This Row],[Last_Restock_Date]],"mmm"), "-", YEAR(Table1[[#This Row],[Last_Restock_Date]]))</f>
        <v>May-2023</v>
      </c>
      <c r="N938">
        <f>MONTH(Table1[[#This Row],[Last_Restock_Date]])</f>
        <v>5</v>
      </c>
      <c r="O938" t="str" cm="1">
        <f t="array" ref="O938">_xlfn.SWITCH(Table1[[#This Row],[Month_Number]],
    1,"Q1",2,"Q1",3,"Q1",
    4,"Q2",5,"Q2",6,"Q2",
    7,"Q3",8,"Q3",9,"Q3",
    10,"Q4",11,"Q4",12,"Q4",
    "Invalid Month"
)</f>
        <v>Q2</v>
      </c>
      <c r="P938" t="str">
        <f>TEXT(Table1[[#This Row],[Last_Restock_Date]],"mmm")</f>
        <v>May</v>
      </c>
    </row>
    <row r="939" spans="1:16" x14ac:dyDescent="0.25">
      <c r="A939">
        <v>938</v>
      </c>
      <c r="B939" s="5" t="s">
        <v>44</v>
      </c>
      <c r="C939" s="5" t="s">
        <v>34</v>
      </c>
      <c r="D939" s="5" t="s">
        <v>30</v>
      </c>
      <c r="E939" s="5" t="s">
        <v>13</v>
      </c>
      <c r="F939" s="2">
        <v>455</v>
      </c>
      <c r="G939" s="3">
        <v>603.76</v>
      </c>
      <c r="H939">
        <v>109</v>
      </c>
      <c r="I939">
        <f>IF(Table1[[#This Row],[Status]]= "Sufficient",
     Table1[[#This Row],[Stock_Quantity]] - Table1[[#This Row],[Reorder_Level]],
     0)</f>
        <v>346</v>
      </c>
      <c r="J939" s="4">
        <v>45587</v>
      </c>
      <c r="K939" s="5" t="s">
        <v>14</v>
      </c>
      <c r="L939">
        <f>YEAR(Table1[[#This Row],[Last_Restock_Date]])</f>
        <v>2024</v>
      </c>
      <c r="M939" t="str">
        <f>_xlfn.CONCAT(TEXT(Table1[[#This Row],[Last_Restock_Date]],"mmm"), "-", YEAR(Table1[[#This Row],[Last_Restock_Date]]))</f>
        <v>Oct-2024</v>
      </c>
      <c r="N939">
        <f>MONTH(Table1[[#This Row],[Last_Restock_Date]])</f>
        <v>10</v>
      </c>
      <c r="O939" t="str" cm="1">
        <f t="array" ref="O939">_xlfn.SWITCH(Table1[[#This Row],[Month_Number]],
    1,"Q1",2,"Q1",3,"Q1",
    4,"Q2",5,"Q2",6,"Q2",
    7,"Q3",8,"Q3",9,"Q3",
    10,"Q4",11,"Q4",12,"Q4",
    "Invalid Month"
)</f>
        <v>Q4</v>
      </c>
      <c r="P939" t="str">
        <f>TEXT(Table1[[#This Row],[Last_Restock_Date]],"mmm")</f>
        <v>Oct</v>
      </c>
    </row>
    <row r="940" spans="1:16" x14ac:dyDescent="0.25">
      <c r="A940">
        <v>939</v>
      </c>
      <c r="B940" s="5" t="s">
        <v>29</v>
      </c>
      <c r="C940" s="5" t="s">
        <v>16</v>
      </c>
      <c r="D940" s="5" t="s">
        <v>24</v>
      </c>
      <c r="E940" s="5" t="s">
        <v>37</v>
      </c>
      <c r="F940" s="2">
        <v>4</v>
      </c>
      <c r="G940" s="3">
        <v>603.9</v>
      </c>
      <c r="H940">
        <v>81</v>
      </c>
      <c r="I940">
        <f>IF(Table1[[#This Row],[Status]]= "Sufficient",
     Table1[[#This Row],[Stock_Quantity]] - Table1[[#This Row],[Reorder_Level]],
     0)</f>
        <v>0</v>
      </c>
      <c r="J940" s="4">
        <v>45000</v>
      </c>
      <c r="K940" s="5" t="s">
        <v>28</v>
      </c>
      <c r="L940">
        <f>YEAR(Table1[[#This Row],[Last_Restock_Date]])</f>
        <v>2023</v>
      </c>
      <c r="M940" t="str">
        <f>_xlfn.CONCAT(TEXT(Table1[[#This Row],[Last_Restock_Date]],"mmm"), "-", YEAR(Table1[[#This Row],[Last_Restock_Date]]))</f>
        <v>Mar-2023</v>
      </c>
      <c r="N940">
        <f>MONTH(Table1[[#This Row],[Last_Restock_Date]])</f>
        <v>3</v>
      </c>
      <c r="O940" t="str" cm="1">
        <f t="array" ref="O940">_xlfn.SWITCH(Table1[[#This Row],[Month_Number]],
    1,"Q1",2,"Q1",3,"Q1",
    4,"Q2",5,"Q2",6,"Q2",
    7,"Q3",8,"Q3",9,"Q3",
    10,"Q4",11,"Q4",12,"Q4",
    "Invalid Month"
)</f>
        <v>Q1</v>
      </c>
      <c r="P940" t="str">
        <f>TEXT(Table1[[#This Row],[Last_Restock_Date]],"mmm")</f>
        <v>Mar</v>
      </c>
    </row>
    <row r="941" spans="1:16" x14ac:dyDescent="0.25">
      <c r="A941">
        <v>940</v>
      </c>
      <c r="B941" s="5" t="s">
        <v>40</v>
      </c>
      <c r="C941" s="5" t="s">
        <v>34</v>
      </c>
      <c r="D941" s="5" t="s">
        <v>17</v>
      </c>
      <c r="E941" s="5" t="s">
        <v>13</v>
      </c>
      <c r="F941" s="2">
        <v>385</v>
      </c>
      <c r="G941" s="3">
        <v>671.08</v>
      </c>
      <c r="H941">
        <v>84</v>
      </c>
      <c r="I941">
        <f>IF(Table1[[#This Row],[Status]]= "Sufficient",
     Table1[[#This Row],[Stock_Quantity]] - Table1[[#This Row],[Reorder_Level]],
     0)</f>
        <v>301</v>
      </c>
      <c r="J941" s="4">
        <v>45446</v>
      </c>
      <c r="K941" s="5" t="s">
        <v>14</v>
      </c>
      <c r="L941">
        <f>YEAR(Table1[[#This Row],[Last_Restock_Date]])</f>
        <v>2024</v>
      </c>
      <c r="M941" t="str">
        <f>_xlfn.CONCAT(TEXT(Table1[[#This Row],[Last_Restock_Date]],"mmm"), "-", YEAR(Table1[[#This Row],[Last_Restock_Date]]))</f>
        <v>Jun-2024</v>
      </c>
      <c r="N941">
        <f>MONTH(Table1[[#This Row],[Last_Restock_Date]])</f>
        <v>6</v>
      </c>
      <c r="O941" t="str" cm="1">
        <f t="array" ref="O941">_xlfn.SWITCH(Table1[[#This Row],[Month_Number]],
    1,"Q1",2,"Q1",3,"Q1",
    4,"Q2",5,"Q2",6,"Q2",
    7,"Q3",8,"Q3",9,"Q3",
    10,"Q4",11,"Q4",12,"Q4",
    "Invalid Month"
)</f>
        <v>Q2</v>
      </c>
      <c r="P941" t="str">
        <f>TEXT(Table1[[#This Row],[Last_Restock_Date]],"mmm")</f>
        <v>Jun</v>
      </c>
    </row>
    <row r="942" spans="1:16" x14ac:dyDescent="0.25">
      <c r="A942">
        <v>941</v>
      </c>
      <c r="B942" s="5" t="s">
        <v>43</v>
      </c>
      <c r="C942" s="5" t="s">
        <v>26</v>
      </c>
      <c r="D942" s="5" t="s">
        <v>12</v>
      </c>
      <c r="E942" s="5" t="s">
        <v>39</v>
      </c>
      <c r="F942" s="2">
        <v>321</v>
      </c>
      <c r="G942" s="3">
        <v>162.79</v>
      </c>
      <c r="H942">
        <v>132</v>
      </c>
      <c r="I942">
        <f>IF(Table1[[#This Row],[Status]]= "Sufficient",
     Table1[[#This Row],[Stock_Quantity]] - Table1[[#This Row],[Reorder_Level]],
     0)</f>
        <v>189</v>
      </c>
      <c r="J942" s="4">
        <v>45308</v>
      </c>
      <c r="K942" s="5" t="s">
        <v>14</v>
      </c>
      <c r="L942">
        <f>YEAR(Table1[[#This Row],[Last_Restock_Date]])</f>
        <v>2024</v>
      </c>
      <c r="M942" t="str">
        <f>_xlfn.CONCAT(TEXT(Table1[[#This Row],[Last_Restock_Date]],"mmm"), "-", YEAR(Table1[[#This Row],[Last_Restock_Date]]))</f>
        <v>Jan-2024</v>
      </c>
      <c r="N942">
        <f>MONTH(Table1[[#This Row],[Last_Restock_Date]])</f>
        <v>1</v>
      </c>
      <c r="O942" t="str" cm="1">
        <f t="array" ref="O942">_xlfn.SWITCH(Table1[[#This Row],[Month_Number]],
    1,"Q1",2,"Q1",3,"Q1",
    4,"Q2",5,"Q2",6,"Q2",
    7,"Q3",8,"Q3",9,"Q3",
    10,"Q4",11,"Q4",12,"Q4",
    "Invalid Month"
)</f>
        <v>Q1</v>
      </c>
      <c r="P942" t="str">
        <f>TEXT(Table1[[#This Row],[Last_Restock_Date]],"mmm")</f>
        <v>Jan</v>
      </c>
    </row>
    <row r="943" spans="1:16" x14ac:dyDescent="0.25">
      <c r="A943">
        <v>942</v>
      </c>
      <c r="B943" s="5" t="s">
        <v>35</v>
      </c>
      <c r="C943" s="5" t="s">
        <v>11</v>
      </c>
      <c r="D943" s="5" t="s">
        <v>30</v>
      </c>
      <c r="E943" s="5" t="s">
        <v>27</v>
      </c>
      <c r="F943" s="2">
        <v>179</v>
      </c>
      <c r="G943" s="3">
        <v>542.33000000000004</v>
      </c>
      <c r="H943">
        <v>66</v>
      </c>
      <c r="I943">
        <f>IF(Table1[[#This Row],[Status]]= "Sufficient",
     Table1[[#This Row],[Stock_Quantity]] - Table1[[#This Row],[Reorder_Level]],
     0)</f>
        <v>113</v>
      </c>
      <c r="J943" s="4">
        <v>45290</v>
      </c>
      <c r="K943" s="5" t="s">
        <v>14</v>
      </c>
      <c r="L943">
        <f>YEAR(Table1[[#This Row],[Last_Restock_Date]])</f>
        <v>2023</v>
      </c>
      <c r="M943" t="str">
        <f>_xlfn.CONCAT(TEXT(Table1[[#This Row],[Last_Restock_Date]],"mmm"), "-", YEAR(Table1[[#This Row],[Last_Restock_Date]]))</f>
        <v>Dec-2023</v>
      </c>
      <c r="N943">
        <f>MONTH(Table1[[#This Row],[Last_Restock_Date]])</f>
        <v>12</v>
      </c>
      <c r="O943" t="str" cm="1">
        <f t="array" ref="O943">_xlfn.SWITCH(Table1[[#This Row],[Month_Number]],
    1,"Q1",2,"Q1",3,"Q1",
    4,"Q2",5,"Q2",6,"Q2",
    7,"Q3",8,"Q3",9,"Q3",
    10,"Q4",11,"Q4",12,"Q4",
    "Invalid Month"
)</f>
        <v>Q4</v>
      </c>
      <c r="P943" t="str">
        <f>TEXT(Table1[[#This Row],[Last_Restock_Date]],"mmm")</f>
        <v>Dec</v>
      </c>
    </row>
    <row r="944" spans="1:16" x14ac:dyDescent="0.25">
      <c r="A944">
        <v>943</v>
      </c>
      <c r="B944" s="5" t="s">
        <v>42</v>
      </c>
      <c r="C944" s="5" t="s">
        <v>16</v>
      </c>
      <c r="D944" s="5" t="s">
        <v>21</v>
      </c>
      <c r="E944" s="5" t="s">
        <v>27</v>
      </c>
      <c r="F944" s="2">
        <v>327</v>
      </c>
      <c r="G944" s="3">
        <v>13.22</v>
      </c>
      <c r="H944">
        <v>56</v>
      </c>
      <c r="I944">
        <f>IF(Table1[[#This Row],[Status]]= "Sufficient",
     Table1[[#This Row],[Stock_Quantity]] - Table1[[#This Row],[Reorder_Level]],
     0)</f>
        <v>271</v>
      </c>
      <c r="J944" s="4">
        <v>45800</v>
      </c>
      <c r="K944" s="5" t="s">
        <v>14</v>
      </c>
      <c r="L944">
        <f>YEAR(Table1[[#This Row],[Last_Restock_Date]])</f>
        <v>2025</v>
      </c>
      <c r="M944" t="str">
        <f>_xlfn.CONCAT(TEXT(Table1[[#This Row],[Last_Restock_Date]],"mmm"), "-", YEAR(Table1[[#This Row],[Last_Restock_Date]]))</f>
        <v>May-2025</v>
      </c>
      <c r="N944">
        <f>MONTH(Table1[[#This Row],[Last_Restock_Date]])</f>
        <v>5</v>
      </c>
      <c r="O944" t="str" cm="1">
        <f t="array" ref="O944">_xlfn.SWITCH(Table1[[#This Row],[Month_Number]],
    1,"Q1",2,"Q1",3,"Q1",
    4,"Q2",5,"Q2",6,"Q2",
    7,"Q3",8,"Q3",9,"Q3",
    10,"Q4",11,"Q4",12,"Q4",
    "Invalid Month"
)</f>
        <v>Q2</v>
      </c>
      <c r="P944" t="str">
        <f>TEXT(Table1[[#This Row],[Last_Restock_Date]],"mmm")</f>
        <v>May</v>
      </c>
    </row>
    <row r="945" spans="1:16" x14ac:dyDescent="0.25">
      <c r="A945">
        <v>944</v>
      </c>
      <c r="B945" s="5" t="s">
        <v>38</v>
      </c>
      <c r="C945" s="5" t="s">
        <v>26</v>
      </c>
      <c r="D945" s="5" t="s">
        <v>24</v>
      </c>
      <c r="E945" s="5" t="s">
        <v>27</v>
      </c>
      <c r="F945" s="2">
        <v>484</v>
      </c>
      <c r="G945" s="3">
        <v>438.19</v>
      </c>
      <c r="H945">
        <v>122</v>
      </c>
      <c r="I945">
        <f>IF(Table1[[#This Row],[Status]]= "Sufficient",
     Table1[[#This Row],[Stock_Quantity]] - Table1[[#This Row],[Reorder_Level]],
     0)</f>
        <v>362</v>
      </c>
      <c r="J945" s="4">
        <v>45176</v>
      </c>
      <c r="K945" s="5" t="s">
        <v>14</v>
      </c>
      <c r="L945">
        <f>YEAR(Table1[[#This Row],[Last_Restock_Date]])</f>
        <v>2023</v>
      </c>
      <c r="M945" t="str">
        <f>_xlfn.CONCAT(TEXT(Table1[[#This Row],[Last_Restock_Date]],"mmm"), "-", YEAR(Table1[[#This Row],[Last_Restock_Date]]))</f>
        <v>Sep-2023</v>
      </c>
      <c r="N945">
        <f>MONTH(Table1[[#This Row],[Last_Restock_Date]])</f>
        <v>9</v>
      </c>
      <c r="O945" t="str" cm="1">
        <f t="array" ref="O945">_xlfn.SWITCH(Table1[[#This Row],[Month_Number]],
    1,"Q1",2,"Q1",3,"Q1",
    4,"Q2",5,"Q2",6,"Q2",
    7,"Q3",8,"Q3",9,"Q3",
    10,"Q4",11,"Q4",12,"Q4",
    "Invalid Month"
)</f>
        <v>Q3</v>
      </c>
      <c r="P945" t="str">
        <f>TEXT(Table1[[#This Row],[Last_Restock_Date]],"mmm")</f>
        <v>Sep</v>
      </c>
    </row>
    <row r="946" spans="1:16" x14ac:dyDescent="0.25">
      <c r="A946">
        <v>945</v>
      </c>
      <c r="B946" s="5" t="s">
        <v>44</v>
      </c>
      <c r="C946" s="5" t="s">
        <v>34</v>
      </c>
      <c r="D946" s="5" t="s">
        <v>21</v>
      </c>
      <c r="E946" s="5" t="s">
        <v>18</v>
      </c>
      <c r="F946" s="2">
        <v>93</v>
      </c>
      <c r="G946" s="3">
        <v>480.29</v>
      </c>
      <c r="H946">
        <v>131</v>
      </c>
      <c r="I946">
        <f>IF(Table1[[#This Row],[Status]]= "Sufficient",
     Table1[[#This Row],[Stock_Quantity]] - Table1[[#This Row],[Reorder_Level]],
     0)</f>
        <v>0</v>
      </c>
      <c r="J946" s="4">
        <v>45188</v>
      </c>
      <c r="K946" s="5" t="s">
        <v>28</v>
      </c>
      <c r="L946">
        <f>YEAR(Table1[[#This Row],[Last_Restock_Date]])</f>
        <v>2023</v>
      </c>
      <c r="M946" t="str">
        <f>_xlfn.CONCAT(TEXT(Table1[[#This Row],[Last_Restock_Date]],"mmm"), "-", YEAR(Table1[[#This Row],[Last_Restock_Date]]))</f>
        <v>Sep-2023</v>
      </c>
      <c r="N946">
        <f>MONTH(Table1[[#This Row],[Last_Restock_Date]])</f>
        <v>9</v>
      </c>
      <c r="O946" t="str" cm="1">
        <f t="array" ref="O946">_xlfn.SWITCH(Table1[[#This Row],[Month_Number]],
    1,"Q1",2,"Q1",3,"Q1",
    4,"Q2",5,"Q2",6,"Q2",
    7,"Q3",8,"Q3",9,"Q3",
    10,"Q4",11,"Q4",12,"Q4",
    "Invalid Month"
)</f>
        <v>Q3</v>
      </c>
      <c r="P946" t="str">
        <f>TEXT(Table1[[#This Row],[Last_Restock_Date]],"mmm")</f>
        <v>Sep</v>
      </c>
    </row>
    <row r="947" spans="1:16" x14ac:dyDescent="0.25">
      <c r="A947">
        <v>946</v>
      </c>
      <c r="B947" s="5" t="s">
        <v>36</v>
      </c>
      <c r="C947" s="5" t="s">
        <v>11</v>
      </c>
      <c r="D947" s="5" t="s">
        <v>12</v>
      </c>
      <c r="E947" s="5" t="s">
        <v>13</v>
      </c>
      <c r="F947" s="2">
        <v>402</v>
      </c>
      <c r="G947" s="3">
        <v>55.72</v>
      </c>
      <c r="H947">
        <v>136</v>
      </c>
      <c r="I947">
        <f>IF(Table1[[#This Row],[Status]]= "Sufficient",
     Table1[[#This Row],[Stock_Quantity]] - Table1[[#This Row],[Reorder_Level]],
     0)</f>
        <v>266</v>
      </c>
      <c r="J947" s="4">
        <v>46022</v>
      </c>
      <c r="K947" s="5" t="s">
        <v>14</v>
      </c>
      <c r="L947">
        <f>YEAR(Table1[[#This Row],[Last_Restock_Date]])</f>
        <v>2025</v>
      </c>
      <c r="M947" t="str">
        <f>_xlfn.CONCAT(TEXT(Table1[[#This Row],[Last_Restock_Date]],"mmm"), "-", YEAR(Table1[[#This Row],[Last_Restock_Date]]))</f>
        <v>Dec-2025</v>
      </c>
      <c r="N947">
        <f>MONTH(Table1[[#This Row],[Last_Restock_Date]])</f>
        <v>12</v>
      </c>
      <c r="O947" t="str" cm="1">
        <f t="array" ref="O947">_xlfn.SWITCH(Table1[[#This Row],[Month_Number]],
    1,"Q1",2,"Q1",3,"Q1",
    4,"Q2",5,"Q2",6,"Q2",
    7,"Q3",8,"Q3",9,"Q3",
    10,"Q4",11,"Q4",12,"Q4",
    "Invalid Month"
)</f>
        <v>Q4</v>
      </c>
      <c r="P947" t="str">
        <f>TEXT(Table1[[#This Row],[Last_Restock_Date]],"mmm")</f>
        <v>Dec</v>
      </c>
    </row>
    <row r="948" spans="1:16" x14ac:dyDescent="0.25">
      <c r="A948">
        <v>947</v>
      </c>
      <c r="B948" s="5" t="s">
        <v>48</v>
      </c>
      <c r="C948" s="5" t="s">
        <v>20</v>
      </c>
      <c r="D948" s="5" t="s">
        <v>24</v>
      </c>
      <c r="E948" s="5" t="s">
        <v>37</v>
      </c>
      <c r="F948" s="2">
        <v>389</v>
      </c>
      <c r="G948" s="3">
        <v>659.92</v>
      </c>
      <c r="H948">
        <v>59</v>
      </c>
      <c r="I948">
        <f>IF(Table1[[#This Row],[Status]]= "Sufficient",
     Table1[[#This Row],[Stock_Quantity]] - Table1[[#This Row],[Reorder_Level]],
     0)</f>
        <v>330</v>
      </c>
      <c r="J948" s="4">
        <v>45105</v>
      </c>
      <c r="K948" s="5" t="s">
        <v>14</v>
      </c>
      <c r="L948">
        <f>YEAR(Table1[[#This Row],[Last_Restock_Date]])</f>
        <v>2023</v>
      </c>
      <c r="M948" t="str">
        <f>_xlfn.CONCAT(TEXT(Table1[[#This Row],[Last_Restock_Date]],"mmm"), "-", YEAR(Table1[[#This Row],[Last_Restock_Date]]))</f>
        <v>Jun-2023</v>
      </c>
      <c r="N948">
        <f>MONTH(Table1[[#This Row],[Last_Restock_Date]])</f>
        <v>6</v>
      </c>
      <c r="O948" t="str" cm="1">
        <f t="array" ref="O948">_xlfn.SWITCH(Table1[[#This Row],[Month_Number]],
    1,"Q1",2,"Q1",3,"Q1",
    4,"Q2",5,"Q2",6,"Q2",
    7,"Q3",8,"Q3",9,"Q3",
    10,"Q4",11,"Q4",12,"Q4",
    "Invalid Month"
)</f>
        <v>Q2</v>
      </c>
      <c r="P948" t="str">
        <f>TEXT(Table1[[#This Row],[Last_Restock_Date]],"mmm")</f>
        <v>Jun</v>
      </c>
    </row>
    <row r="949" spans="1:16" x14ac:dyDescent="0.25">
      <c r="A949">
        <v>948</v>
      </c>
      <c r="B949" s="5" t="s">
        <v>52</v>
      </c>
      <c r="C949" s="5" t="s">
        <v>16</v>
      </c>
      <c r="D949" s="5" t="s">
        <v>17</v>
      </c>
      <c r="E949" s="5" t="s">
        <v>13</v>
      </c>
      <c r="F949" s="2">
        <v>55</v>
      </c>
      <c r="G949" s="3">
        <v>595.12</v>
      </c>
      <c r="H949">
        <v>114</v>
      </c>
      <c r="I949">
        <f>IF(Table1[[#This Row],[Status]]= "Sufficient",
     Table1[[#This Row],[Stock_Quantity]] - Table1[[#This Row],[Reorder_Level]],
     0)</f>
        <v>0</v>
      </c>
      <c r="J949" s="4">
        <v>45249</v>
      </c>
      <c r="K949" s="5" t="s">
        <v>28</v>
      </c>
      <c r="L949">
        <f>YEAR(Table1[[#This Row],[Last_Restock_Date]])</f>
        <v>2023</v>
      </c>
      <c r="M949" t="str">
        <f>_xlfn.CONCAT(TEXT(Table1[[#This Row],[Last_Restock_Date]],"mmm"), "-", YEAR(Table1[[#This Row],[Last_Restock_Date]]))</f>
        <v>Nov-2023</v>
      </c>
      <c r="N949">
        <f>MONTH(Table1[[#This Row],[Last_Restock_Date]])</f>
        <v>11</v>
      </c>
      <c r="O949" t="str" cm="1">
        <f t="array" ref="O949">_xlfn.SWITCH(Table1[[#This Row],[Month_Number]],
    1,"Q1",2,"Q1",3,"Q1",
    4,"Q2",5,"Q2",6,"Q2",
    7,"Q3",8,"Q3",9,"Q3",
    10,"Q4",11,"Q4",12,"Q4",
    "Invalid Month"
)</f>
        <v>Q4</v>
      </c>
      <c r="P949" t="str">
        <f>TEXT(Table1[[#This Row],[Last_Restock_Date]],"mmm")</f>
        <v>Nov</v>
      </c>
    </row>
    <row r="950" spans="1:16" x14ac:dyDescent="0.25">
      <c r="A950">
        <v>949</v>
      </c>
      <c r="B950" s="5" t="s">
        <v>25</v>
      </c>
      <c r="C950" s="5" t="s">
        <v>26</v>
      </c>
      <c r="D950" s="5" t="s">
        <v>30</v>
      </c>
      <c r="E950" s="5" t="s">
        <v>39</v>
      </c>
      <c r="F950" s="2">
        <v>442</v>
      </c>
      <c r="G950" s="3">
        <v>40.94</v>
      </c>
      <c r="H950">
        <v>107</v>
      </c>
      <c r="I950">
        <f>IF(Table1[[#This Row],[Status]]= "Sufficient",
     Table1[[#This Row],[Stock_Quantity]] - Table1[[#This Row],[Reorder_Level]],
     0)</f>
        <v>335</v>
      </c>
      <c r="J950" s="4">
        <v>45327</v>
      </c>
      <c r="K950" s="5" t="s">
        <v>14</v>
      </c>
      <c r="L950">
        <f>YEAR(Table1[[#This Row],[Last_Restock_Date]])</f>
        <v>2024</v>
      </c>
      <c r="M950" t="str">
        <f>_xlfn.CONCAT(TEXT(Table1[[#This Row],[Last_Restock_Date]],"mmm"), "-", YEAR(Table1[[#This Row],[Last_Restock_Date]]))</f>
        <v>Feb-2024</v>
      </c>
      <c r="N950">
        <f>MONTH(Table1[[#This Row],[Last_Restock_Date]])</f>
        <v>2</v>
      </c>
      <c r="O950" t="str" cm="1">
        <f t="array" ref="O950">_xlfn.SWITCH(Table1[[#This Row],[Month_Number]],
    1,"Q1",2,"Q1",3,"Q1",
    4,"Q2",5,"Q2",6,"Q2",
    7,"Q3",8,"Q3",9,"Q3",
    10,"Q4",11,"Q4",12,"Q4",
    "Invalid Month"
)</f>
        <v>Q1</v>
      </c>
      <c r="P950" t="str">
        <f>TEXT(Table1[[#This Row],[Last_Restock_Date]],"mmm")</f>
        <v>Feb</v>
      </c>
    </row>
    <row r="951" spans="1:16" x14ac:dyDescent="0.25">
      <c r="A951">
        <v>950</v>
      </c>
      <c r="B951" s="5" t="s">
        <v>15</v>
      </c>
      <c r="C951" s="5" t="s">
        <v>16</v>
      </c>
      <c r="D951" s="5" t="s">
        <v>17</v>
      </c>
      <c r="E951" s="5" t="s">
        <v>37</v>
      </c>
      <c r="F951" s="2">
        <v>105</v>
      </c>
      <c r="G951" s="3">
        <v>9.6199999999999992</v>
      </c>
      <c r="H951">
        <v>93</v>
      </c>
      <c r="I951">
        <f>IF(Table1[[#This Row],[Status]]= "Sufficient",
     Table1[[#This Row],[Stock_Quantity]] - Table1[[#This Row],[Reorder_Level]],
     0)</f>
        <v>12</v>
      </c>
      <c r="J951" s="4">
        <v>45487</v>
      </c>
      <c r="K951" s="5" t="s">
        <v>14</v>
      </c>
      <c r="L951">
        <f>YEAR(Table1[[#This Row],[Last_Restock_Date]])</f>
        <v>2024</v>
      </c>
      <c r="M951" t="str">
        <f>_xlfn.CONCAT(TEXT(Table1[[#This Row],[Last_Restock_Date]],"mmm"), "-", YEAR(Table1[[#This Row],[Last_Restock_Date]]))</f>
        <v>Jul-2024</v>
      </c>
      <c r="N951">
        <f>MONTH(Table1[[#This Row],[Last_Restock_Date]])</f>
        <v>7</v>
      </c>
      <c r="O951" t="str" cm="1">
        <f t="array" ref="O951">_xlfn.SWITCH(Table1[[#This Row],[Month_Number]],
    1,"Q1",2,"Q1",3,"Q1",
    4,"Q2",5,"Q2",6,"Q2",
    7,"Q3",8,"Q3",9,"Q3",
    10,"Q4",11,"Q4",12,"Q4",
    "Invalid Month"
)</f>
        <v>Q3</v>
      </c>
      <c r="P951" t="str">
        <f>TEXT(Table1[[#This Row],[Last_Restock_Date]],"mmm")</f>
        <v>Jul</v>
      </c>
    </row>
    <row r="952" spans="1:16" x14ac:dyDescent="0.25">
      <c r="A952">
        <v>951</v>
      </c>
      <c r="B952" s="5" t="s">
        <v>15</v>
      </c>
      <c r="C952" s="5" t="s">
        <v>16</v>
      </c>
      <c r="D952" s="5" t="s">
        <v>12</v>
      </c>
      <c r="E952" s="5" t="s">
        <v>27</v>
      </c>
      <c r="F952" s="2">
        <v>96</v>
      </c>
      <c r="G952" s="3">
        <v>230.24</v>
      </c>
      <c r="H952">
        <v>137</v>
      </c>
      <c r="I952">
        <f>IF(Table1[[#This Row],[Status]]= "Sufficient",
     Table1[[#This Row],[Stock_Quantity]] - Table1[[#This Row],[Reorder_Level]],
     0)</f>
        <v>0</v>
      </c>
      <c r="J952" s="4">
        <v>45453</v>
      </c>
      <c r="K952" s="5" t="s">
        <v>28</v>
      </c>
      <c r="L952">
        <f>YEAR(Table1[[#This Row],[Last_Restock_Date]])</f>
        <v>2024</v>
      </c>
      <c r="M952" t="str">
        <f>_xlfn.CONCAT(TEXT(Table1[[#This Row],[Last_Restock_Date]],"mmm"), "-", YEAR(Table1[[#This Row],[Last_Restock_Date]]))</f>
        <v>Jun-2024</v>
      </c>
      <c r="N952">
        <f>MONTH(Table1[[#This Row],[Last_Restock_Date]])</f>
        <v>6</v>
      </c>
      <c r="O952" t="str" cm="1">
        <f t="array" ref="O952">_xlfn.SWITCH(Table1[[#This Row],[Month_Number]],
    1,"Q1",2,"Q1",3,"Q1",
    4,"Q2",5,"Q2",6,"Q2",
    7,"Q3",8,"Q3",9,"Q3",
    10,"Q4",11,"Q4",12,"Q4",
    "Invalid Month"
)</f>
        <v>Q2</v>
      </c>
      <c r="P952" t="str">
        <f>TEXT(Table1[[#This Row],[Last_Restock_Date]],"mmm")</f>
        <v>Jun</v>
      </c>
    </row>
    <row r="953" spans="1:16" x14ac:dyDescent="0.25">
      <c r="A953">
        <v>952</v>
      </c>
      <c r="B953" s="5" t="s">
        <v>31</v>
      </c>
      <c r="C953" s="5" t="s">
        <v>20</v>
      </c>
      <c r="D953" s="5" t="s">
        <v>24</v>
      </c>
      <c r="E953" s="5" t="s">
        <v>37</v>
      </c>
      <c r="F953" s="2">
        <v>139</v>
      </c>
      <c r="G953" s="3">
        <v>485.61</v>
      </c>
      <c r="H953">
        <v>106</v>
      </c>
      <c r="I953">
        <f>IF(Table1[[#This Row],[Status]]= "Sufficient",
     Table1[[#This Row],[Stock_Quantity]] - Table1[[#This Row],[Reorder_Level]],
     0)</f>
        <v>33</v>
      </c>
      <c r="J953" s="4">
        <v>45516</v>
      </c>
      <c r="K953" s="5" t="s">
        <v>14</v>
      </c>
      <c r="L953">
        <f>YEAR(Table1[[#This Row],[Last_Restock_Date]])</f>
        <v>2024</v>
      </c>
      <c r="M953" t="str">
        <f>_xlfn.CONCAT(TEXT(Table1[[#This Row],[Last_Restock_Date]],"mmm"), "-", YEAR(Table1[[#This Row],[Last_Restock_Date]]))</f>
        <v>Aug-2024</v>
      </c>
      <c r="N953">
        <f>MONTH(Table1[[#This Row],[Last_Restock_Date]])</f>
        <v>8</v>
      </c>
      <c r="O953" t="str" cm="1">
        <f t="array" ref="O953">_xlfn.SWITCH(Table1[[#This Row],[Month_Number]],
    1,"Q1",2,"Q1",3,"Q1",
    4,"Q2",5,"Q2",6,"Q2",
    7,"Q3",8,"Q3",9,"Q3",
    10,"Q4",11,"Q4",12,"Q4",
    "Invalid Month"
)</f>
        <v>Q3</v>
      </c>
      <c r="P953" t="str">
        <f>TEXT(Table1[[#This Row],[Last_Restock_Date]],"mmm")</f>
        <v>Aug</v>
      </c>
    </row>
    <row r="954" spans="1:16" x14ac:dyDescent="0.25">
      <c r="A954">
        <v>953</v>
      </c>
      <c r="B954" s="5" t="s">
        <v>52</v>
      </c>
      <c r="C954" s="5" t="s">
        <v>16</v>
      </c>
      <c r="D954" s="5" t="s">
        <v>17</v>
      </c>
      <c r="E954" s="5" t="s">
        <v>32</v>
      </c>
      <c r="F954" s="2">
        <v>80</v>
      </c>
      <c r="G954" s="3">
        <v>112.57</v>
      </c>
      <c r="H954">
        <v>125</v>
      </c>
      <c r="I954">
        <f>IF(Table1[[#This Row],[Status]]= "Sufficient",
     Table1[[#This Row],[Stock_Quantity]] - Table1[[#This Row],[Reorder_Level]],
     0)</f>
        <v>0</v>
      </c>
      <c r="J954" s="4">
        <v>45489</v>
      </c>
      <c r="K954" s="5" t="s">
        <v>28</v>
      </c>
      <c r="L954">
        <f>YEAR(Table1[[#This Row],[Last_Restock_Date]])</f>
        <v>2024</v>
      </c>
      <c r="M954" t="str">
        <f>_xlfn.CONCAT(TEXT(Table1[[#This Row],[Last_Restock_Date]],"mmm"), "-", YEAR(Table1[[#This Row],[Last_Restock_Date]]))</f>
        <v>Jul-2024</v>
      </c>
      <c r="N954">
        <f>MONTH(Table1[[#This Row],[Last_Restock_Date]])</f>
        <v>7</v>
      </c>
      <c r="O954" t="str" cm="1">
        <f t="array" ref="O954">_xlfn.SWITCH(Table1[[#This Row],[Month_Number]],
    1,"Q1",2,"Q1",3,"Q1",
    4,"Q2",5,"Q2",6,"Q2",
    7,"Q3",8,"Q3",9,"Q3",
    10,"Q4",11,"Q4",12,"Q4",
    "Invalid Month"
)</f>
        <v>Q3</v>
      </c>
      <c r="P954" t="str">
        <f>TEXT(Table1[[#This Row],[Last_Restock_Date]],"mmm")</f>
        <v>Jul</v>
      </c>
    </row>
    <row r="955" spans="1:16" x14ac:dyDescent="0.25">
      <c r="A955">
        <v>954</v>
      </c>
      <c r="B955" s="5" t="s">
        <v>25</v>
      </c>
      <c r="C955" s="5" t="s">
        <v>26</v>
      </c>
      <c r="D955" s="5" t="s">
        <v>17</v>
      </c>
      <c r="E955" s="5" t="s">
        <v>27</v>
      </c>
      <c r="F955" s="2">
        <v>268</v>
      </c>
      <c r="G955" s="3">
        <v>427.89</v>
      </c>
      <c r="H955">
        <v>86</v>
      </c>
      <c r="I955">
        <f>IF(Table1[[#This Row],[Status]]= "Sufficient",
     Table1[[#This Row],[Stock_Quantity]] - Table1[[#This Row],[Reorder_Level]],
     0)</f>
        <v>182</v>
      </c>
      <c r="J955" s="4">
        <v>45800</v>
      </c>
      <c r="K955" s="5" t="s">
        <v>14</v>
      </c>
      <c r="L955">
        <f>YEAR(Table1[[#This Row],[Last_Restock_Date]])</f>
        <v>2025</v>
      </c>
      <c r="M955" t="str">
        <f>_xlfn.CONCAT(TEXT(Table1[[#This Row],[Last_Restock_Date]],"mmm"), "-", YEAR(Table1[[#This Row],[Last_Restock_Date]]))</f>
        <v>May-2025</v>
      </c>
      <c r="N955">
        <f>MONTH(Table1[[#This Row],[Last_Restock_Date]])</f>
        <v>5</v>
      </c>
      <c r="O955" t="str" cm="1">
        <f t="array" ref="O955">_xlfn.SWITCH(Table1[[#This Row],[Month_Number]],
    1,"Q1",2,"Q1",3,"Q1",
    4,"Q2",5,"Q2",6,"Q2",
    7,"Q3",8,"Q3",9,"Q3",
    10,"Q4",11,"Q4",12,"Q4",
    "Invalid Month"
)</f>
        <v>Q2</v>
      </c>
      <c r="P955" t="str">
        <f>TEXT(Table1[[#This Row],[Last_Restock_Date]],"mmm")</f>
        <v>May</v>
      </c>
    </row>
    <row r="956" spans="1:16" x14ac:dyDescent="0.25">
      <c r="A956">
        <v>955</v>
      </c>
      <c r="B956" s="5" t="s">
        <v>51</v>
      </c>
      <c r="C956" s="5" t="s">
        <v>11</v>
      </c>
      <c r="D956" s="5" t="s">
        <v>17</v>
      </c>
      <c r="E956" s="5" t="s">
        <v>37</v>
      </c>
      <c r="F956" s="2">
        <v>375</v>
      </c>
      <c r="G956" s="3">
        <v>20.89</v>
      </c>
      <c r="H956">
        <v>144</v>
      </c>
      <c r="I956">
        <f>IF(Table1[[#This Row],[Status]]= "Sufficient",
     Table1[[#This Row],[Stock_Quantity]] - Table1[[#This Row],[Reorder_Level]],
     0)</f>
        <v>231</v>
      </c>
      <c r="J956" s="4">
        <v>45574</v>
      </c>
      <c r="K956" s="5" t="s">
        <v>14</v>
      </c>
      <c r="L956">
        <f>YEAR(Table1[[#This Row],[Last_Restock_Date]])</f>
        <v>2024</v>
      </c>
      <c r="M956" t="str">
        <f>_xlfn.CONCAT(TEXT(Table1[[#This Row],[Last_Restock_Date]],"mmm"), "-", YEAR(Table1[[#This Row],[Last_Restock_Date]]))</f>
        <v>Oct-2024</v>
      </c>
      <c r="N956">
        <f>MONTH(Table1[[#This Row],[Last_Restock_Date]])</f>
        <v>10</v>
      </c>
      <c r="O956" t="str" cm="1">
        <f t="array" ref="O956">_xlfn.SWITCH(Table1[[#This Row],[Month_Number]],
    1,"Q1",2,"Q1",3,"Q1",
    4,"Q2",5,"Q2",6,"Q2",
    7,"Q3",8,"Q3",9,"Q3",
    10,"Q4",11,"Q4",12,"Q4",
    "Invalid Month"
)</f>
        <v>Q4</v>
      </c>
      <c r="P956" t="str">
        <f>TEXT(Table1[[#This Row],[Last_Restock_Date]],"mmm")</f>
        <v>Oct</v>
      </c>
    </row>
    <row r="957" spans="1:16" x14ac:dyDescent="0.25">
      <c r="A957">
        <v>956</v>
      </c>
      <c r="B957" s="5" t="s">
        <v>22</v>
      </c>
      <c r="C957" s="5" t="s">
        <v>11</v>
      </c>
      <c r="D957" s="5" t="s">
        <v>24</v>
      </c>
      <c r="E957" s="5" t="s">
        <v>32</v>
      </c>
      <c r="F957" s="2">
        <v>237</v>
      </c>
      <c r="G957" s="3">
        <v>239.85</v>
      </c>
      <c r="H957">
        <v>91</v>
      </c>
      <c r="I957">
        <f>IF(Table1[[#This Row],[Status]]= "Sufficient",
     Table1[[#This Row],[Stock_Quantity]] - Table1[[#This Row],[Reorder_Level]],
     0)</f>
        <v>146</v>
      </c>
      <c r="J957" s="4">
        <v>45587</v>
      </c>
      <c r="K957" s="5" t="s">
        <v>14</v>
      </c>
      <c r="L957">
        <f>YEAR(Table1[[#This Row],[Last_Restock_Date]])</f>
        <v>2024</v>
      </c>
      <c r="M957" t="str">
        <f>_xlfn.CONCAT(TEXT(Table1[[#This Row],[Last_Restock_Date]],"mmm"), "-", YEAR(Table1[[#This Row],[Last_Restock_Date]]))</f>
        <v>Oct-2024</v>
      </c>
      <c r="N957">
        <f>MONTH(Table1[[#This Row],[Last_Restock_Date]])</f>
        <v>10</v>
      </c>
      <c r="O957" t="str" cm="1">
        <f t="array" ref="O957">_xlfn.SWITCH(Table1[[#This Row],[Month_Number]],
    1,"Q1",2,"Q1",3,"Q1",
    4,"Q2",5,"Q2",6,"Q2",
    7,"Q3",8,"Q3",9,"Q3",
    10,"Q4",11,"Q4",12,"Q4",
    "Invalid Month"
)</f>
        <v>Q4</v>
      </c>
      <c r="P957" t="str">
        <f>TEXT(Table1[[#This Row],[Last_Restock_Date]],"mmm")</f>
        <v>Oct</v>
      </c>
    </row>
    <row r="958" spans="1:16" x14ac:dyDescent="0.25">
      <c r="A958">
        <v>957</v>
      </c>
      <c r="B958" s="5" t="s">
        <v>54</v>
      </c>
      <c r="C958" s="5" t="s">
        <v>20</v>
      </c>
      <c r="D958" s="5" t="s">
        <v>12</v>
      </c>
      <c r="E958" s="5" t="s">
        <v>27</v>
      </c>
      <c r="F958" s="2">
        <v>232</v>
      </c>
      <c r="G958" s="3">
        <v>292.7</v>
      </c>
      <c r="H958">
        <v>87</v>
      </c>
      <c r="I958">
        <f>IF(Table1[[#This Row],[Status]]= "Sufficient",
     Table1[[#This Row],[Stock_Quantity]] - Table1[[#This Row],[Reorder_Level]],
     0)</f>
        <v>145</v>
      </c>
      <c r="J958" s="4">
        <v>45732</v>
      </c>
      <c r="K958" s="5" t="s">
        <v>14</v>
      </c>
      <c r="L958">
        <f>YEAR(Table1[[#This Row],[Last_Restock_Date]])</f>
        <v>2025</v>
      </c>
      <c r="M958" t="str">
        <f>_xlfn.CONCAT(TEXT(Table1[[#This Row],[Last_Restock_Date]],"mmm"), "-", YEAR(Table1[[#This Row],[Last_Restock_Date]]))</f>
        <v>Mar-2025</v>
      </c>
      <c r="N958">
        <f>MONTH(Table1[[#This Row],[Last_Restock_Date]])</f>
        <v>3</v>
      </c>
      <c r="O958" t="str" cm="1">
        <f t="array" ref="O958">_xlfn.SWITCH(Table1[[#This Row],[Month_Number]],
    1,"Q1",2,"Q1",3,"Q1",
    4,"Q2",5,"Q2",6,"Q2",
    7,"Q3",8,"Q3",9,"Q3",
    10,"Q4",11,"Q4",12,"Q4",
    "Invalid Month"
)</f>
        <v>Q1</v>
      </c>
      <c r="P958" t="str">
        <f>TEXT(Table1[[#This Row],[Last_Restock_Date]],"mmm")</f>
        <v>Mar</v>
      </c>
    </row>
    <row r="959" spans="1:16" x14ac:dyDescent="0.25">
      <c r="A959">
        <v>958</v>
      </c>
      <c r="B959" s="5" t="s">
        <v>35</v>
      </c>
      <c r="C959" s="5" t="s">
        <v>11</v>
      </c>
      <c r="D959" s="5" t="s">
        <v>17</v>
      </c>
      <c r="E959" s="5" t="s">
        <v>37</v>
      </c>
      <c r="F959" s="2">
        <v>315</v>
      </c>
      <c r="G959" s="3">
        <v>550.91</v>
      </c>
      <c r="H959">
        <v>62</v>
      </c>
      <c r="I959">
        <f>IF(Table1[[#This Row],[Status]]= "Sufficient",
     Table1[[#This Row],[Stock_Quantity]] - Table1[[#This Row],[Reorder_Level]],
     0)</f>
        <v>253</v>
      </c>
      <c r="J959" s="4">
        <v>44948</v>
      </c>
      <c r="K959" s="5" t="s">
        <v>14</v>
      </c>
      <c r="L959">
        <f>YEAR(Table1[[#This Row],[Last_Restock_Date]])</f>
        <v>2023</v>
      </c>
      <c r="M959" t="str">
        <f>_xlfn.CONCAT(TEXT(Table1[[#This Row],[Last_Restock_Date]],"mmm"), "-", YEAR(Table1[[#This Row],[Last_Restock_Date]]))</f>
        <v>Jan-2023</v>
      </c>
      <c r="N959">
        <f>MONTH(Table1[[#This Row],[Last_Restock_Date]])</f>
        <v>1</v>
      </c>
      <c r="O959" t="str" cm="1">
        <f t="array" ref="O959">_xlfn.SWITCH(Table1[[#This Row],[Month_Number]],
    1,"Q1",2,"Q1",3,"Q1",
    4,"Q2",5,"Q2",6,"Q2",
    7,"Q3",8,"Q3",9,"Q3",
    10,"Q4",11,"Q4",12,"Q4",
    "Invalid Month"
)</f>
        <v>Q1</v>
      </c>
      <c r="P959" t="str">
        <f>TEXT(Table1[[#This Row],[Last_Restock_Date]],"mmm")</f>
        <v>Jan</v>
      </c>
    </row>
    <row r="960" spans="1:16" x14ac:dyDescent="0.25">
      <c r="A960">
        <v>959</v>
      </c>
      <c r="B960" s="5" t="s">
        <v>15</v>
      </c>
      <c r="C960" s="5" t="s">
        <v>16</v>
      </c>
      <c r="D960" s="5" t="s">
        <v>24</v>
      </c>
      <c r="E960" s="5" t="s">
        <v>37</v>
      </c>
      <c r="F960" s="2">
        <v>149</v>
      </c>
      <c r="G960" s="3">
        <v>366.98</v>
      </c>
      <c r="H960">
        <v>136</v>
      </c>
      <c r="I960">
        <f>IF(Table1[[#This Row],[Status]]= "Sufficient",
     Table1[[#This Row],[Stock_Quantity]] - Table1[[#This Row],[Reorder_Level]],
     0)</f>
        <v>13</v>
      </c>
      <c r="J960" s="4">
        <v>45573</v>
      </c>
      <c r="K960" s="5" t="s">
        <v>14</v>
      </c>
      <c r="L960">
        <f>YEAR(Table1[[#This Row],[Last_Restock_Date]])</f>
        <v>2024</v>
      </c>
      <c r="M960" t="str">
        <f>_xlfn.CONCAT(TEXT(Table1[[#This Row],[Last_Restock_Date]],"mmm"), "-", YEAR(Table1[[#This Row],[Last_Restock_Date]]))</f>
        <v>Oct-2024</v>
      </c>
      <c r="N960">
        <f>MONTH(Table1[[#This Row],[Last_Restock_Date]])</f>
        <v>10</v>
      </c>
      <c r="O960" t="str" cm="1">
        <f t="array" ref="O960">_xlfn.SWITCH(Table1[[#This Row],[Month_Number]],
    1,"Q1",2,"Q1",3,"Q1",
    4,"Q2",5,"Q2",6,"Q2",
    7,"Q3",8,"Q3",9,"Q3",
    10,"Q4",11,"Q4",12,"Q4",
    "Invalid Month"
)</f>
        <v>Q4</v>
      </c>
      <c r="P960" t="str">
        <f>TEXT(Table1[[#This Row],[Last_Restock_Date]],"mmm")</f>
        <v>Oct</v>
      </c>
    </row>
    <row r="961" spans="1:16" x14ac:dyDescent="0.25">
      <c r="A961">
        <v>960</v>
      </c>
      <c r="B961" s="5" t="s">
        <v>53</v>
      </c>
      <c r="C961" s="5" t="s">
        <v>26</v>
      </c>
      <c r="D961" s="5" t="s">
        <v>21</v>
      </c>
      <c r="E961" s="5" t="s">
        <v>32</v>
      </c>
      <c r="F961" s="2">
        <v>353</v>
      </c>
      <c r="G961" s="3">
        <v>179.82</v>
      </c>
      <c r="H961">
        <v>139</v>
      </c>
      <c r="I961">
        <f>IF(Table1[[#This Row],[Status]]= "Sufficient",
     Table1[[#This Row],[Stock_Quantity]] - Table1[[#This Row],[Reorder_Level]],
     0)</f>
        <v>214</v>
      </c>
      <c r="J961" s="4">
        <v>45560</v>
      </c>
      <c r="K961" s="5" t="s">
        <v>14</v>
      </c>
      <c r="L961">
        <f>YEAR(Table1[[#This Row],[Last_Restock_Date]])</f>
        <v>2024</v>
      </c>
      <c r="M961" t="str">
        <f>_xlfn.CONCAT(TEXT(Table1[[#This Row],[Last_Restock_Date]],"mmm"), "-", YEAR(Table1[[#This Row],[Last_Restock_Date]]))</f>
        <v>Sep-2024</v>
      </c>
      <c r="N961">
        <f>MONTH(Table1[[#This Row],[Last_Restock_Date]])</f>
        <v>9</v>
      </c>
      <c r="O961" t="str" cm="1">
        <f t="array" ref="O961">_xlfn.SWITCH(Table1[[#This Row],[Month_Number]],
    1,"Q1",2,"Q1",3,"Q1",
    4,"Q2",5,"Q2",6,"Q2",
    7,"Q3",8,"Q3",9,"Q3",
    10,"Q4",11,"Q4",12,"Q4",
    "Invalid Month"
)</f>
        <v>Q3</v>
      </c>
      <c r="P961" t="str">
        <f>TEXT(Table1[[#This Row],[Last_Restock_Date]],"mmm")</f>
        <v>Sep</v>
      </c>
    </row>
    <row r="962" spans="1:16" x14ac:dyDescent="0.25">
      <c r="A962">
        <v>961</v>
      </c>
      <c r="B962" s="5" t="s">
        <v>38</v>
      </c>
      <c r="C962" s="5" t="s">
        <v>26</v>
      </c>
      <c r="D962" s="5" t="s">
        <v>12</v>
      </c>
      <c r="E962" s="5" t="s">
        <v>37</v>
      </c>
      <c r="F962" s="2">
        <v>219</v>
      </c>
      <c r="G962" s="3">
        <v>425.7</v>
      </c>
      <c r="H962">
        <v>88</v>
      </c>
      <c r="I962">
        <f>IF(Table1[[#This Row],[Status]]= "Sufficient",
     Table1[[#This Row],[Stock_Quantity]] - Table1[[#This Row],[Reorder_Level]],
     0)</f>
        <v>131</v>
      </c>
      <c r="J962" s="4">
        <v>45849</v>
      </c>
      <c r="K962" s="5" t="s">
        <v>14</v>
      </c>
      <c r="L962">
        <f>YEAR(Table1[[#This Row],[Last_Restock_Date]])</f>
        <v>2025</v>
      </c>
      <c r="M962" t="str">
        <f>_xlfn.CONCAT(TEXT(Table1[[#This Row],[Last_Restock_Date]],"mmm"), "-", YEAR(Table1[[#This Row],[Last_Restock_Date]]))</f>
        <v>Jul-2025</v>
      </c>
      <c r="N962">
        <f>MONTH(Table1[[#This Row],[Last_Restock_Date]])</f>
        <v>7</v>
      </c>
      <c r="O962" t="str" cm="1">
        <f t="array" ref="O962">_xlfn.SWITCH(Table1[[#This Row],[Month_Number]],
    1,"Q1",2,"Q1",3,"Q1",
    4,"Q2",5,"Q2",6,"Q2",
    7,"Q3",8,"Q3",9,"Q3",
    10,"Q4",11,"Q4",12,"Q4",
    "Invalid Month"
)</f>
        <v>Q3</v>
      </c>
      <c r="P962" t="str">
        <f>TEXT(Table1[[#This Row],[Last_Restock_Date]],"mmm")</f>
        <v>Jul</v>
      </c>
    </row>
    <row r="963" spans="1:16" x14ac:dyDescent="0.25">
      <c r="A963">
        <v>962</v>
      </c>
      <c r="B963" s="5" t="s">
        <v>47</v>
      </c>
      <c r="C963" s="5" t="s">
        <v>20</v>
      </c>
      <c r="D963" s="5" t="s">
        <v>24</v>
      </c>
      <c r="E963" s="5" t="s">
        <v>37</v>
      </c>
      <c r="F963" s="2">
        <v>183</v>
      </c>
      <c r="G963" s="3">
        <v>387.82</v>
      </c>
      <c r="H963">
        <v>85</v>
      </c>
      <c r="I963">
        <f>IF(Table1[[#This Row],[Status]]= "Sufficient",
     Table1[[#This Row],[Stock_Quantity]] - Table1[[#This Row],[Reorder_Level]],
     0)</f>
        <v>98</v>
      </c>
      <c r="J963" s="4">
        <v>45292</v>
      </c>
      <c r="K963" s="5" t="s">
        <v>14</v>
      </c>
      <c r="L963">
        <f>YEAR(Table1[[#This Row],[Last_Restock_Date]])</f>
        <v>2024</v>
      </c>
      <c r="M963" t="str">
        <f>_xlfn.CONCAT(TEXT(Table1[[#This Row],[Last_Restock_Date]],"mmm"), "-", YEAR(Table1[[#This Row],[Last_Restock_Date]]))</f>
        <v>Jan-2024</v>
      </c>
      <c r="N963">
        <f>MONTH(Table1[[#This Row],[Last_Restock_Date]])</f>
        <v>1</v>
      </c>
      <c r="O963" t="str" cm="1">
        <f t="array" ref="O963">_xlfn.SWITCH(Table1[[#This Row],[Month_Number]],
    1,"Q1",2,"Q1",3,"Q1",
    4,"Q2",5,"Q2",6,"Q2",
    7,"Q3",8,"Q3",9,"Q3",
    10,"Q4",11,"Q4",12,"Q4",
    "Invalid Month"
)</f>
        <v>Q1</v>
      </c>
      <c r="P963" t="str">
        <f>TEXT(Table1[[#This Row],[Last_Restock_Date]],"mmm")</f>
        <v>Jan</v>
      </c>
    </row>
    <row r="964" spans="1:16" x14ac:dyDescent="0.25">
      <c r="A964">
        <v>963</v>
      </c>
      <c r="B964" s="5" t="s">
        <v>43</v>
      </c>
      <c r="C964" s="5" t="s">
        <v>26</v>
      </c>
      <c r="D964" s="5" t="s">
        <v>24</v>
      </c>
      <c r="E964" s="5" t="s">
        <v>13</v>
      </c>
      <c r="F964" s="2">
        <v>376</v>
      </c>
      <c r="G964" s="3">
        <v>17.91</v>
      </c>
      <c r="H964">
        <v>63</v>
      </c>
      <c r="I964">
        <f>IF(Table1[[#This Row],[Status]]= "Sufficient",
     Table1[[#This Row],[Stock_Quantity]] - Table1[[#This Row],[Reorder_Level]],
     0)</f>
        <v>313</v>
      </c>
      <c r="J964" s="4">
        <v>45944</v>
      </c>
      <c r="K964" s="5" t="s">
        <v>14</v>
      </c>
      <c r="L964">
        <f>YEAR(Table1[[#This Row],[Last_Restock_Date]])</f>
        <v>2025</v>
      </c>
      <c r="M964" t="str">
        <f>_xlfn.CONCAT(TEXT(Table1[[#This Row],[Last_Restock_Date]],"mmm"), "-", YEAR(Table1[[#This Row],[Last_Restock_Date]]))</f>
        <v>Oct-2025</v>
      </c>
      <c r="N964">
        <f>MONTH(Table1[[#This Row],[Last_Restock_Date]])</f>
        <v>10</v>
      </c>
      <c r="O964" t="str" cm="1">
        <f t="array" ref="O964">_xlfn.SWITCH(Table1[[#This Row],[Month_Number]],
    1,"Q1",2,"Q1",3,"Q1",
    4,"Q2",5,"Q2",6,"Q2",
    7,"Q3",8,"Q3",9,"Q3",
    10,"Q4",11,"Q4",12,"Q4",
    "Invalid Month"
)</f>
        <v>Q4</v>
      </c>
      <c r="P964" t="str">
        <f>TEXT(Table1[[#This Row],[Last_Restock_Date]],"mmm")</f>
        <v>Oct</v>
      </c>
    </row>
    <row r="965" spans="1:16" x14ac:dyDescent="0.25">
      <c r="A965">
        <v>964</v>
      </c>
      <c r="B965" s="5" t="s">
        <v>23</v>
      </c>
      <c r="C965" s="5" t="s">
        <v>20</v>
      </c>
      <c r="D965" s="5" t="s">
        <v>30</v>
      </c>
      <c r="E965" s="5" t="s">
        <v>37</v>
      </c>
      <c r="F965" s="2">
        <v>251</v>
      </c>
      <c r="G965" s="3">
        <v>623.20000000000005</v>
      </c>
      <c r="H965">
        <v>73</v>
      </c>
      <c r="I965">
        <f>IF(Table1[[#This Row],[Status]]= "Sufficient",
     Table1[[#This Row],[Stock_Quantity]] - Table1[[#This Row],[Reorder_Level]],
     0)</f>
        <v>178</v>
      </c>
      <c r="J965" s="4">
        <v>45253</v>
      </c>
      <c r="K965" s="5" t="s">
        <v>14</v>
      </c>
      <c r="L965">
        <f>YEAR(Table1[[#This Row],[Last_Restock_Date]])</f>
        <v>2023</v>
      </c>
      <c r="M965" t="str">
        <f>_xlfn.CONCAT(TEXT(Table1[[#This Row],[Last_Restock_Date]],"mmm"), "-", YEAR(Table1[[#This Row],[Last_Restock_Date]]))</f>
        <v>Nov-2023</v>
      </c>
      <c r="N965">
        <f>MONTH(Table1[[#This Row],[Last_Restock_Date]])</f>
        <v>11</v>
      </c>
      <c r="O965" t="str" cm="1">
        <f t="array" ref="O965">_xlfn.SWITCH(Table1[[#This Row],[Month_Number]],
    1,"Q1",2,"Q1",3,"Q1",
    4,"Q2",5,"Q2",6,"Q2",
    7,"Q3",8,"Q3",9,"Q3",
    10,"Q4",11,"Q4",12,"Q4",
    "Invalid Month"
)</f>
        <v>Q4</v>
      </c>
      <c r="P965" t="str">
        <f>TEXT(Table1[[#This Row],[Last_Restock_Date]],"mmm")</f>
        <v>Nov</v>
      </c>
    </row>
    <row r="966" spans="1:16" x14ac:dyDescent="0.25">
      <c r="A966">
        <v>965</v>
      </c>
      <c r="B966" s="5" t="s">
        <v>29</v>
      </c>
      <c r="C966" s="5" t="s">
        <v>16</v>
      </c>
      <c r="D966" s="5" t="s">
        <v>21</v>
      </c>
      <c r="E966" s="5" t="s">
        <v>18</v>
      </c>
      <c r="F966" s="2">
        <v>495</v>
      </c>
      <c r="G966" s="3">
        <v>777.49</v>
      </c>
      <c r="H966">
        <v>124</v>
      </c>
      <c r="I966">
        <f>IF(Table1[[#This Row],[Status]]= "Sufficient",
     Table1[[#This Row],[Stock_Quantity]] - Table1[[#This Row],[Reorder_Level]],
     0)</f>
        <v>371</v>
      </c>
      <c r="J966" s="4">
        <v>45312</v>
      </c>
      <c r="K966" s="5" t="s">
        <v>14</v>
      </c>
      <c r="L966">
        <f>YEAR(Table1[[#This Row],[Last_Restock_Date]])</f>
        <v>2024</v>
      </c>
      <c r="M966" t="str">
        <f>_xlfn.CONCAT(TEXT(Table1[[#This Row],[Last_Restock_Date]],"mmm"), "-", YEAR(Table1[[#This Row],[Last_Restock_Date]]))</f>
        <v>Jan-2024</v>
      </c>
      <c r="N966">
        <f>MONTH(Table1[[#This Row],[Last_Restock_Date]])</f>
        <v>1</v>
      </c>
      <c r="O966" t="str" cm="1">
        <f t="array" ref="O966">_xlfn.SWITCH(Table1[[#This Row],[Month_Number]],
    1,"Q1",2,"Q1",3,"Q1",
    4,"Q2",5,"Q2",6,"Q2",
    7,"Q3",8,"Q3",9,"Q3",
    10,"Q4",11,"Q4",12,"Q4",
    "Invalid Month"
)</f>
        <v>Q1</v>
      </c>
      <c r="P966" t="str">
        <f>TEXT(Table1[[#This Row],[Last_Restock_Date]],"mmm")</f>
        <v>Jan</v>
      </c>
    </row>
    <row r="967" spans="1:16" x14ac:dyDescent="0.25">
      <c r="A967">
        <v>966</v>
      </c>
      <c r="B967" s="5" t="s">
        <v>49</v>
      </c>
      <c r="C967" s="5" t="s">
        <v>16</v>
      </c>
      <c r="D967" s="5" t="s">
        <v>12</v>
      </c>
      <c r="E967" s="5" t="s">
        <v>32</v>
      </c>
      <c r="F967" s="2">
        <v>385</v>
      </c>
      <c r="G967" s="3">
        <v>599.13</v>
      </c>
      <c r="H967">
        <v>89</v>
      </c>
      <c r="I967">
        <f>IF(Table1[[#This Row],[Status]]= "Sufficient",
     Table1[[#This Row],[Stock_Quantity]] - Table1[[#This Row],[Reorder_Level]],
     0)</f>
        <v>296</v>
      </c>
      <c r="J967" s="4">
        <v>44983</v>
      </c>
      <c r="K967" s="5" t="s">
        <v>14</v>
      </c>
      <c r="L967">
        <f>YEAR(Table1[[#This Row],[Last_Restock_Date]])</f>
        <v>2023</v>
      </c>
      <c r="M967" t="str">
        <f>_xlfn.CONCAT(TEXT(Table1[[#This Row],[Last_Restock_Date]],"mmm"), "-", YEAR(Table1[[#This Row],[Last_Restock_Date]]))</f>
        <v>Feb-2023</v>
      </c>
      <c r="N967">
        <f>MONTH(Table1[[#This Row],[Last_Restock_Date]])</f>
        <v>2</v>
      </c>
      <c r="O967" t="str" cm="1">
        <f t="array" ref="O967">_xlfn.SWITCH(Table1[[#This Row],[Month_Number]],
    1,"Q1",2,"Q1",3,"Q1",
    4,"Q2",5,"Q2",6,"Q2",
    7,"Q3",8,"Q3",9,"Q3",
    10,"Q4",11,"Q4",12,"Q4",
    "Invalid Month"
)</f>
        <v>Q1</v>
      </c>
      <c r="P967" t="str">
        <f>TEXT(Table1[[#This Row],[Last_Restock_Date]],"mmm")</f>
        <v>Feb</v>
      </c>
    </row>
    <row r="968" spans="1:16" x14ac:dyDescent="0.25">
      <c r="A968">
        <v>967</v>
      </c>
      <c r="B968" s="5" t="s">
        <v>49</v>
      </c>
      <c r="C968" s="5" t="s">
        <v>16</v>
      </c>
      <c r="D968" s="5" t="s">
        <v>24</v>
      </c>
      <c r="E968" s="5" t="s">
        <v>32</v>
      </c>
      <c r="F968" s="2">
        <v>468</v>
      </c>
      <c r="G968" s="3">
        <v>215.31</v>
      </c>
      <c r="H968">
        <v>138</v>
      </c>
      <c r="I968">
        <f>IF(Table1[[#This Row],[Status]]= "Sufficient",
     Table1[[#This Row],[Stock_Quantity]] - Table1[[#This Row],[Reorder_Level]],
     0)</f>
        <v>330</v>
      </c>
      <c r="J968" s="4">
        <v>45329</v>
      </c>
      <c r="K968" s="5" t="s">
        <v>14</v>
      </c>
      <c r="L968">
        <f>YEAR(Table1[[#This Row],[Last_Restock_Date]])</f>
        <v>2024</v>
      </c>
      <c r="M968" t="str">
        <f>_xlfn.CONCAT(TEXT(Table1[[#This Row],[Last_Restock_Date]],"mmm"), "-", YEAR(Table1[[#This Row],[Last_Restock_Date]]))</f>
        <v>Feb-2024</v>
      </c>
      <c r="N968">
        <f>MONTH(Table1[[#This Row],[Last_Restock_Date]])</f>
        <v>2</v>
      </c>
      <c r="O968" t="str" cm="1">
        <f t="array" ref="O968">_xlfn.SWITCH(Table1[[#This Row],[Month_Number]],
    1,"Q1",2,"Q1",3,"Q1",
    4,"Q2",5,"Q2",6,"Q2",
    7,"Q3",8,"Q3",9,"Q3",
    10,"Q4",11,"Q4",12,"Q4",
    "Invalid Month"
)</f>
        <v>Q1</v>
      </c>
      <c r="P968" t="str">
        <f>TEXT(Table1[[#This Row],[Last_Restock_Date]],"mmm")</f>
        <v>Feb</v>
      </c>
    </row>
    <row r="969" spans="1:16" x14ac:dyDescent="0.25">
      <c r="A969">
        <v>968</v>
      </c>
      <c r="B969" s="5" t="s">
        <v>15</v>
      </c>
      <c r="C969" s="5" t="s">
        <v>16</v>
      </c>
      <c r="D969" s="5" t="s">
        <v>21</v>
      </c>
      <c r="E969" s="5" t="s">
        <v>18</v>
      </c>
      <c r="F969" s="2">
        <v>140</v>
      </c>
      <c r="G969" s="3">
        <v>69.41</v>
      </c>
      <c r="H969">
        <v>65</v>
      </c>
      <c r="I969">
        <f>IF(Table1[[#This Row],[Status]]= "Sufficient",
     Table1[[#This Row],[Stock_Quantity]] - Table1[[#This Row],[Reorder_Level]],
     0)</f>
        <v>75</v>
      </c>
      <c r="J969" s="4">
        <v>45897</v>
      </c>
      <c r="K969" s="5" t="s">
        <v>14</v>
      </c>
      <c r="L969">
        <f>YEAR(Table1[[#This Row],[Last_Restock_Date]])</f>
        <v>2025</v>
      </c>
      <c r="M969" t="str">
        <f>_xlfn.CONCAT(TEXT(Table1[[#This Row],[Last_Restock_Date]],"mmm"), "-", YEAR(Table1[[#This Row],[Last_Restock_Date]]))</f>
        <v>Aug-2025</v>
      </c>
      <c r="N969">
        <f>MONTH(Table1[[#This Row],[Last_Restock_Date]])</f>
        <v>8</v>
      </c>
      <c r="O969" t="str" cm="1">
        <f t="array" ref="O969">_xlfn.SWITCH(Table1[[#This Row],[Month_Number]],
    1,"Q1",2,"Q1",3,"Q1",
    4,"Q2",5,"Q2",6,"Q2",
    7,"Q3",8,"Q3",9,"Q3",
    10,"Q4",11,"Q4",12,"Q4",
    "Invalid Month"
)</f>
        <v>Q3</v>
      </c>
      <c r="P969" t="str">
        <f>TEXT(Table1[[#This Row],[Last_Restock_Date]],"mmm")</f>
        <v>Aug</v>
      </c>
    </row>
    <row r="970" spans="1:16" x14ac:dyDescent="0.25">
      <c r="A970">
        <v>969</v>
      </c>
      <c r="B970" s="5" t="s">
        <v>42</v>
      </c>
      <c r="C970" s="5" t="s">
        <v>16</v>
      </c>
      <c r="D970" s="5" t="s">
        <v>17</v>
      </c>
      <c r="E970" s="5" t="s">
        <v>13</v>
      </c>
      <c r="F970" s="2">
        <v>167</v>
      </c>
      <c r="G970" s="3">
        <v>191.6</v>
      </c>
      <c r="H970">
        <v>72</v>
      </c>
      <c r="I970">
        <f>IF(Table1[[#This Row],[Status]]= "Sufficient",
     Table1[[#This Row],[Stock_Quantity]] - Table1[[#This Row],[Reorder_Level]],
     0)</f>
        <v>95</v>
      </c>
      <c r="J970" s="4">
        <v>45076</v>
      </c>
      <c r="K970" s="5" t="s">
        <v>14</v>
      </c>
      <c r="L970">
        <f>YEAR(Table1[[#This Row],[Last_Restock_Date]])</f>
        <v>2023</v>
      </c>
      <c r="M970" t="str">
        <f>_xlfn.CONCAT(TEXT(Table1[[#This Row],[Last_Restock_Date]],"mmm"), "-", YEAR(Table1[[#This Row],[Last_Restock_Date]]))</f>
        <v>May-2023</v>
      </c>
      <c r="N970">
        <f>MONTH(Table1[[#This Row],[Last_Restock_Date]])</f>
        <v>5</v>
      </c>
      <c r="O970" t="str" cm="1">
        <f t="array" ref="O970">_xlfn.SWITCH(Table1[[#This Row],[Month_Number]],
    1,"Q1",2,"Q1",3,"Q1",
    4,"Q2",5,"Q2",6,"Q2",
    7,"Q3",8,"Q3",9,"Q3",
    10,"Q4",11,"Q4",12,"Q4",
    "Invalid Month"
)</f>
        <v>Q2</v>
      </c>
      <c r="P970" t="str">
        <f>TEXT(Table1[[#This Row],[Last_Restock_Date]],"mmm")</f>
        <v>May</v>
      </c>
    </row>
    <row r="971" spans="1:16" x14ac:dyDescent="0.25">
      <c r="A971">
        <v>970</v>
      </c>
      <c r="B971" s="5" t="s">
        <v>44</v>
      </c>
      <c r="C971" s="5" t="s">
        <v>34</v>
      </c>
      <c r="D971" s="5" t="s">
        <v>30</v>
      </c>
      <c r="E971" s="5" t="s">
        <v>27</v>
      </c>
      <c r="F971" s="2">
        <v>475</v>
      </c>
      <c r="G971" s="3">
        <v>93.24</v>
      </c>
      <c r="H971">
        <v>144</v>
      </c>
      <c r="I971">
        <f>IF(Table1[[#This Row],[Status]]= "Sufficient",
     Table1[[#This Row],[Stock_Quantity]] - Table1[[#This Row],[Reorder_Level]],
     0)</f>
        <v>331</v>
      </c>
      <c r="J971" s="4">
        <v>45434</v>
      </c>
      <c r="K971" s="5" t="s">
        <v>14</v>
      </c>
      <c r="L971">
        <f>YEAR(Table1[[#This Row],[Last_Restock_Date]])</f>
        <v>2024</v>
      </c>
      <c r="M971" t="str">
        <f>_xlfn.CONCAT(TEXT(Table1[[#This Row],[Last_Restock_Date]],"mmm"), "-", YEAR(Table1[[#This Row],[Last_Restock_Date]]))</f>
        <v>May-2024</v>
      </c>
      <c r="N971">
        <f>MONTH(Table1[[#This Row],[Last_Restock_Date]])</f>
        <v>5</v>
      </c>
      <c r="O971" t="str" cm="1">
        <f t="array" ref="O971">_xlfn.SWITCH(Table1[[#This Row],[Month_Number]],
    1,"Q1",2,"Q1",3,"Q1",
    4,"Q2",5,"Q2",6,"Q2",
    7,"Q3",8,"Q3",9,"Q3",
    10,"Q4",11,"Q4",12,"Q4",
    "Invalid Month"
)</f>
        <v>Q2</v>
      </c>
      <c r="P971" t="str">
        <f>TEXT(Table1[[#This Row],[Last_Restock_Date]],"mmm")</f>
        <v>May</v>
      </c>
    </row>
    <row r="972" spans="1:16" x14ac:dyDescent="0.25">
      <c r="A972">
        <v>971</v>
      </c>
      <c r="B972" s="5" t="s">
        <v>10</v>
      </c>
      <c r="C972" s="5" t="s">
        <v>11</v>
      </c>
      <c r="D972" s="5" t="s">
        <v>12</v>
      </c>
      <c r="E972" s="5" t="s">
        <v>39</v>
      </c>
      <c r="F972" s="2">
        <v>375</v>
      </c>
      <c r="G972" s="3">
        <v>66.05</v>
      </c>
      <c r="H972">
        <v>72</v>
      </c>
      <c r="I972">
        <f>IF(Table1[[#This Row],[Status]]= "Sufficient",
     Table1[[#This Row],[Stock_Quantity]] - Table1[[#This Row],[Reorder_Level]],
     0)</f>
        <v>303</v>
      </c>
      <c r="J972" s="4">
        <v>45858</v>
      </c>
      <c r="K972" s="5" t="s">
        <v>14</v>
      </c>
      <c r="L972">
        <f>YEAR(Table1[[#This Row],[Last_Restock_Date]])</f>
        <v>2025</v>
      </c>
      <c r="M972" t="str">
        <f>_xlfn.CONCAT(TEXT(Table1[[#This Row],[Last_Restock_Date]],"mmm"), "-", YEAR(Table1[[#This Row],[Last_Restock_Date]]))</f>
        <v>Jul-2025</v>
      </c>
      <c r="N972">
        <f>MONTH(Table1[[#This Row],[Last_Restock_Date]])</f>
        <v>7</v>
      </c>
      <c r="O972" t="str" cm="1">
        <f t="array" ref="O972">_xlfn.SWITCH(Table1[[#This Row],[Month_Number]],
    1,"Q1",2,"Q1",3,"Q1",
    4,"Q2",5,"Q2",6,"Q2",
    7,"Q3",8,"Q3",9,"Q3",
    10,"Q4",11,"Q4",12,"Q4",
    "Invalid Month"
)</f>
        <v>Q3</v>
      </c>
      <c r="P972" t="str">
        <f>TEXT(Table1[[#This Row],[Last_Restock_Date]],"mmm")</f>
        <v>Jul</v>
      </c>
    </row>
    <row r="973" spans="1:16" x14ac:dyDescent="0.25">
      <c r="A973">
        <v>972</v>
      </c>
      <c r="B973" s="5" t="s">
        <v>49</v>
      </c>
      <c r="C973" s="5" t="s">
        <v>16</v>
      </c>
      <c r="D973" s="5" t="s">
        <v>17</v>
      </c>
      <c r="E973" s="5" t="s">
        <v>32</v>
      </c>
      <c r="F973" s="2">
        <v>47</v>
      </c>
      <c r="G973" s="3">
        <v>101.86</v>
      </c>
      <c r="H973">
        <v>112</v>
      </c>
      <c r="I973">
        <f>IF(Table1[[#This Row],[Status]]= "Sufficient",
     Table1[[#This Row],[Stock_Quantity]] - Table1[[#This Row],[Reorder_Level]],
     0)</f>
        <v>0</v>
      </c>
      <c r="J973" s="4">
        <v>45815</v>
      </c>
      <c r="K973" s="5" t="s">
        <v>28</v>
      </c>
      <c r="L973">
        <f>YEAR(Table1[[#This Row],[Last_Restock_Date]])</f>
        <v>2025</v>
      </c>
      <c r="M973" t="str">
        <f>_xlfn.CONCAT(TEXT(Table1[[#This Row],[Last_Restock_Date]],"mmm"), "-", YEAR(Table1[[#This Row],[Last_Restock_Date]]))</f>
        <v>Jun-2025</v>
      </c>
      <c r="N973">
        <f>MONTH(Table1[[#This Row],[Last_Restock_Date]])</f>
        <v>6</v>
      </c>
      <c r="O973" t="str" cm="1">
        <f t="array" ref="O973">_xlfn.SWITCH(Table1[[#This Row],[Month_Number]],
    1,"Q1",2,"Q1",3,"Q1",
    4,"Q2",5,"Q2",6,"Q2",
    7,"Q3",8,"Q3",9,"Q3",
    10,"Q4",11,"Q4",12,"Q4",
    "Invalid Month"
)</f>
        <v>Q2</v>
      </c>
      <c r="P973" t="str">
        <f>TEXT(Table1[[#This Row],[Last_Restock_Date]],"mmm")</f>
        <v>Jun</v>
      </c>
    </row>
    <row r="974" spans="1:16" x14ac:dyDescent="0.25">
      <c r="A974">
        <v>973</v>
      </c>
      <c r="B974" s="5" t="s">
        <v>52</v>
      </c>
      <c r="C974" s="5" t="s">
        <v>16</v>
      </c>
      <c r="D974" s="5" t="s">
        <v>30</v>
      </c>
      <c r="E974" s="5" t="s">
        <v>27</v>
      </c>
      <c r="F974" s="2">
        <v>452</v>
      </c>
      <c r="G974" s="3">
        <v>185.97</v>
      </c>
      <c r="H974">
        <v>85</v>
      </c>
      <c r="I974">
        <f>IF(Table1[[#This Row],[Status]]= "Sufficient",
     Table1[[#This Row],[Stock_Quantity]] - Table1[[#This Row],[Reorder_Level]],
     0)</f>
        <v>367</v>
      </c>
      <c r="J974" s="4">
        <v>45645</v>
      </c>
      <c r="K974" s="5" t="s">
        <v>14</v>
      </c>
      <c r="L974">
        <f>YEAR(Table1[[#This Row],[Last_Restock_Date]])</f>
        <v>2024</v>
      </c>
      <c r="M974" t="str">
        <f>_xlfn.CONCAT(TEXT(Table1[[#This Row],[Last_Restock_Date]],"mmm"), "-", YEAR(Table1[[#This Row],[Last_Restock_Date]]))</f>
        <v>Dec-2024</v>
      </c>
      <c r="N974">
        <f>MONTH(Table1[[#This Row],[Last_Restock_Date]])</f>
        <v>12</v>
      </c>
      <c r="O974" t="str" cm="1">
        <f t="array" ref="O974">_xlfn.SWITCH(Table1[[#This Row],[Month_Number]],
    1,"Q1",2,"Q1",3,"Q1",
    4,"Q2",5,"Q2",6,"Q2",
    7,"Q3",8,"Q3",9,"Q3",
    10,"Q4",11,"Q4",12,"Q4",
    "Invalid Month"
)</f>
        <v>Q4</v>
      </c>
      <c r="P974" t="str">
        <f>TEXT(Table1[[#This Row],[Last_Restock_Date]],"mmm")</f>
        <v>Dec</v>
      </c>
    </row>
    <row r="975" spans="1:16" x14ac:dyDescent="0.25">
      <c r="A975">
        <v>974</v>
      </c>
      <c r="B975" s="5" t="s">
        <v>40</v>
      </c>
      <c r="C975" s="5" t="s">
        <v>34</v>
      </c>
      <c r="D975" s="5" t="s">
        <v>21</v>
      </c>
      <c r="E975" s="5" t="s">
        <v>39</v>
      </c>
      <c r="F975" s="2">
        <v>78</v>
      </c>
      <c r="G975" s="3">
        <v>738.99</v>
      </c>
      <c r="H975">
        <v>66</v>
      </c>
      <c r="I975">
        <f>IF(Table1[[#This Row],[Status]]= "Sufficient",
     Table1[[#This Row],[Stock_Quantity]] - Table1[[#This Row],[Reorder_Level]],
     0)</f>
        <v>12</v>
      </c>
      <c r="J975" s="4">
        <v>45270</v>
      </c>
      <c r="K975" s="5" t="s">
        <v>14</v>
      </c>
      <c r="L975">
        <f>YEAR(Table1[[#This Row],[Last_Restock_Date]])</f>
        <v>2023</v>
      </c>
      <c r="M975" t="str">
        <f>_xlfn.CONCAT(TEXT(Table1[[#This Row],[Last_Restock_Date]],"mmm"), "-", YEAR(Table1[[#This Row],[Last_Restock_Date]]))</f>
        <v>Dec-2023</v>
      </c>
      <c r="N975">
        <f>MONTH(Table1[[#This Row],[Last_Restock_Date]])</f>
        <v>12</v>
      </c>
      <c r="O975" t="str" cm="1">
        <f t="array" ref="O975">_xlfn.SWITCH(Table1[[#This Row],[Month_Number]],
    1,"Q1",2,"Q1",3,"Q1",
    4,"Q2",5,"Q2",6,"Q2",
    7,"Q3",8,"Q3",9,"Q3",
    10,"Q4",11,"Q4",12,"Q4",
    "Invalid Month"
)</f>
        <v>Q4</v>
      </c>
      <c r="P975" t="str">
        <f>TEXT(Table1[[#This Row],[Last_Restock_Date]],"mmm")</f>
        <v>Dec</v>
      </c>
    </row>
    <row r="976" spans="1:16" x14ac:dyDescent="0.25">
      <c r="A976">
        <v>975</v>
      </c>
      <c r="B976" s="5" t="s">
        <v>50</v>
      </c>
      <c r="C976" s="5" t="s">
        <v>34</v>
      </c>
      <c r="D976" s="5" t="s">
        <v>21</v>
      </c>
      <c r="E976" s="5" t="s">
        <v>13</v>
      </c>
      <c r="F976" s="2">
        <v>296</v>
      </c>
      <c r="G976" s="3">
        <v>270.81</v>
      </c>
      <c r="H976">
        <v>140</v>
      </c>
      <c r="I976">
        <f>IF(Table1[[#This Row],[Status]]= "Sufficient",
     Table1[[#This Row],[Stock_Quantity]] - Table1[[#This Row],[Reorder_Level]],
     0)</f>
        <v>156</v>
      </c>
      <c r="J976" s="4">
        <v>45060</v>
      </c>
      <c r="K976" s="5" t="s">
        <v>14</v>
      </c>
      <c r="L976">
        <f>YEAR(Table1[[#This Row],[Last_Restock_Date]])</f>
        <v>2023</v>
      </c>
      <c r="M976" t="str">
        <f>_xlfn.CONCAT(TEXT(Table1[[#This Row],[Last_Restock_Date]],"mmm"), "-", YEAR(Table1[[#This Row],[Last_Restock_Date]]))</f>
        <v>May-2023</v>
      </c>
      <c r="N976">
        <f>MONTH(Table1[[#This Row],[Last_Restock_Date]])</f>
        <v>5</v>
      </c>
      <c r="O976" t="str" cm="1">
        <f t="array" ref="O976">_xlfn.SWITCH(Table1[[#This Row],[Month_Number]],
    1,"Q1",2,"Q1",3,"Q1",
    4,"Q2",5,"Q2",6,"Q2",
    7,"Q3",8,"Q3",9,"Q3",
    10,"Q4",11,"Q4",12,"Q4",
    "Invalid Month"
)</f>
        <v>Q2</v>
      </c>
      <c r="P976" t="str">
        <f>TEXT(Table1[[#This Row],[Last_Restock_Date]],"mmm")</f>
        <v>May</v>
      </c>
    </row>
    <row r="977" spans="1:16" x14ac:dyDescent="0.25">
      <c r="A977">
        <v>976</v>
      </c>
      <c r="B977" s="5" t="s">
        <v>38</v>
      </c>
      <c r="C977" s="5" t="s">
        <v>26</v>
      </c>
      <c r="D977" s="5" t="s">
        <v>24</v>
      </c>
      <c r="E977" s="5" t="s">
        <v>18</v>
      </c>
      <c r="F977" s="2">
        <v>326</v>
      </c>
      <c r="G977" s="3">
        <v>621.07000000000005</v>
      </c>
      <c r="H977">
        <v>123</v>
      </c>
      <c r="I977">
        <f>IF(Table1[[#This Row],[Status]]= "Sufficient",
     Table1[[#This Row],[Stock_Quantity]] - Table1[[#This Row],[Reorder_Level]],
     0)</f>
        <v>203</v>
      </c>
      <c r="J977" s="4">
        <v>45273</v>
      </c>
      <c r="K977" s="5" t="s">
        <v>14</v>
      </c>
      <c r="L977">
        <f>YEAR(Table1[[#This Row],[Last_Restock_Date]])</f>
        <v>2023</v>
      </c>
      <c r="M977" t="str">
        <f>_xlfn.CONCAT(TEXT(Table1[[#This Row],[Last_Restock_Date]],"mmm"), "-", YEAR(Table1[[#This Row],[Last_Restock_Date]]))</f>
        <v>Dec-2023</v>
      </c>
      <c r="N977">
        <f>MONTH(Table1[[#This Row],[Last_Restock_Date]])</f>
        <v>12</v>
      </c>
      <c r="O977" t="str" cm="1">
        <f t="array" ref="O977">_xlfn.SWITCH(Table1[[#This Row],[Month_Number]],
    1,"Q1",2,"Q1",3,"Q1",
    4,"Q2",5,"Q2",6,"Q2",
    7,"Q3",8,"Q3",9,"Q3",
    10,"Q4",11,"Q4",12,"Q4",
    "Invalid Month"
)</f>
        <v>Q4</v>
      </c>
      <c r="P977" t="str">
        <f>TEXT(Table1[[#This Row],[Last_Restock_Date]],"mmm")</f>
        <v>Dec</v>
      </c>
    </row>
    <row r="978" spans="1:16" x14ac:dyDescent="0.25">
      <c r="A978">
        <v>977</v>
      </c>
      <c r="B978" s="5" t="s">
        <v>22</v>
      </c>
      <c r="C978" s="5" t="s">
        <v>11</v>
      </c>
      <c r="D978" s="5" t="s">
        <v>30</v>
      </c>
      <c r="E978" s="5" t="s">
        <v>37</v>
      </c>
      <c r="F978" s="2">
        <v>460</v>
      </c>
      <c r="G978" s="3">
        <v>262.07</v>
      </c>
      <c r="H978">
        <v>65</v>
      </c>
      <c r="I978">
        <f>IF(Table1[[#This Row],[Status]]= "Sufficient",
     Table1[[#This Row],[Stock_Quantity]] - Table1[[#This Row],[Reorder_Level]],
     0)</f>
        <v>395</v>
      </c>
      <c r="J978" s="4">
        <v>44989</v>
      </c>
      <c r="K978" s="5" t="s">
        <v>14</v>
      </c>
      <c r="L978">
        <f>YEAR(Table1[[#This Row],[Last_Restock_Date]])</f>
        <v>2023</v>
      </c>
      <c r="M978" t="str">
        <f>_xlfn.CONCAT(TEXT(Table1[[#This Row],[Last_Restock_Date]],"mmm"), "-", YEAR(Table1[[#This Row],[Last_Restock_Date]]))</f>
        <v>Mar-2023</v>
      </c>
      <c r="N978">
        <f>MONTH(Table1[[#This Row],[Last_Restock_Date]])</f>
        <v>3</v>
      </c>
      <c r="O978" t="str" cm="1">
        <f t="array" ref="O978">_xlfn.SWITCH(Table1[[#This Row],[Month_Number]],
    1,"Q1",2,"Q1",3,"Q1",
    4,"Q2",5,"Q2",6,"Q2",
    7,"Q3",8,"Q3",9,"Q3",
    10,"Q4",11,"Q4",12,"Q4",
    "Invalid Month"
)</f>
        <v>Q1</v>
      </c>
      <c r="P978" t="str">
        <f>TEXT(Table1[[#This Row],[Last_Restock_Date]],"mmm")</f>
        <v>Mar</v>
      </c>
    </row>
    <row r="979" spans="1:16" x14ac:dyDescent="0.25">
      <c r="A979">
        <v>978</v>
      </c>
      <c r="B979" s="5" t="s">
        <v>42</v>
      </c>
      <c r="C979" s="5" t="s">
        <v>16</v>
      </c>
      <c r="D979" s="5" t="s">
        <v>12</v>
      </c>
      <c r="E979" s="5" t="s">
        <v>13</v>
      </c>
      <c r="F979" s="2">
        <v>489</v>
      </c>
      <c r="G979" s="3">
        <v>606.77</v>
      </c>
      <c r="H979">
        <v>63</v>
      </c>
      <c r="I979">
        <f>IF(Table1[[#This Row],[Status]]= "Sufficient",
     Table1[[#This Row],[Stock_Quantity]] - Table1[[#This Row],[Reorder_Level]],
     0)</f>
        <v>426</v>
      </c>
      <c r="J979" s="4">
        <v>45586</v>
      </c>
      <c r="K979" s="5" t="s">
        <v>14</v>
      </c>
      <c r="L979">
        <f>YEAR(Table1[[#This Row],[Last_Restock_Date]])</f>
        <v>2024</v>
      </c>
      <c r="M979" t="str">
        <f>_xlfn.CONCAT(TEXT(Table1[[#This Row],[Last_Restock_Date]],"mmm"), "-", YEAR(Table1[[#This Row],[Last_Restock_Date]]))</f>
        <v>Oct-2024</v>
      </c>
      <c r="N979">
        <f>MONTH(Table1[[#This Row],[Last_Restock_Date]])</f>
        <v>10</v>
      </c>
      <c r="O979" t="str" cm="1">
        <f t="array" ref="O979">_xlfn.SWITCH(Table1[[#This Row],[Month_Number]],
    1,"Q1",2,"Q1",3,"Q1",
    4,"Q2",5,"Q2",6,"Q2",
    7,"Q3",8,"Q3",9,"Q3",
    10,"Q4",11,"Q4",12,"Q4",
    "Invalid Month"
)</f>
        <v>Q4</v>
      </c>
      <c r="P979" t="str">
        <f>TEXT(Table1[[#This Row],[Last_Restock_Date]],"mmm")</f>
        <v>Oct</v>
      </c>
    </row>
    <row r="980" spans="1:16" x14ac:dyDescent="0.25">
      <c r="A980">
        <v>979</v>
      </c>
      <c r="B980" s="5" t="s">
        <v>29</v>
      </c>
      <c r="C980" s="5" t="s">
        <v>16</v>
      </c>
      <c r="D980" s="5" t="s">
        <v>30</v>
      </c>
      <c r="E980" s="5" t="s">
        <v>13</v>
      </c>
      <c r="F980" s="2">
        <v>224</v>
      </c>
      <c r="G980" s="3">
        <v>378.84</v>
      </c>
      <c r="H980">
        <v>107</v>
      </c>
      <c r="I980">
        <f>IF(Table1[[#This Row],[Status]]= "Sufficient",
     Table1[[#This Row],[Stock_Quantity]] - Table1[[#This Row],[Reorder_Level]],
     0)</f>
        <v>117</v>
      </c>
      <c r="J980" s="4">
        <v>45848</v>
      </c>
      <c r="K980" s="5" t="s">
        <v>14</v>
      </c>
      <c r="L980">
        <f>YEAR(Table1[[#This Row],[Last_Restock_Date]])</f>
        <v>2025</v>
      </c>
      <c r="M980" t="str">
        <f>_xlfn.CONCAT(TEXT(Table1[[#This Row],[Last_Restock_Date]],"mmm"), "-", YEAR(Table1[[#This Row],[Last_Restock_Date]]))</f>
        <v>Jul-2025</v>
      </c>
      <c r="N980">
        <f>MONTH(Table1[[#This Row],[Last_Restock_Date]])</f>
        <v>7</v>
      </c>
      <c r="O980" t="str" cm="1">
        <f t="array" ref="O980">_xlfn.SWITCH(Table1[[#This Row],[Month_Number]],
    1,"Q1",2,"Q1",3,"Q1",
    4,"Q2",5,"Q2",6,"Q2",
    7,"Q3",8,"Q3",9,"Q3",
    10,"Q4",11,"Q4",12,"Q4",
    "Invalid Month"
)</f>
        <v>Q3</v>
      </c>
      <c r="P980" t="str">
        <f>TEXT(Table1[[#This Row],[Last_Restock_Date]],"mmm")</f>
        <v>Jul</v>
      </c>
    </row>
    <row r="981" spans="1:16" x14ac:dyDescent="0.25">
      <c r="A981">
        <v>980</v>
      </c>
      <c r="B981" s="5" t="s">
        <v>47</v>
      </c>
      <c r="C981" s="5" t="s">
        <v>20</v>
      </c>
      <c r="D981" s="5" t="s">
        <v>30</v>
      </c>
      <c r="E981" s="5" t="s">
        <v>37</v>
      </c>
      <c r="F981" s="2">
        <v>446</v>
      </c>
      <c r="G981" s="3">
        <v>622.44000000000005</v>
      </c>
      <c r="H981">
        <v>80</v>
      </c>
      <c r="I981">
        <f>IF(Table1[[#This Row],[Status]]= "Sufficient",
     Table1[[#This Row],[Stock_Quantity]] - Table1[[#This Row],[Reorder_Level]],
     0)</f>
        <v>366</v>
      </c>
      <c r="J981" s="4">
        <v>45143</v>
      </c>
      <c r="K981" s="5" t="s">
        <v>14</v>
      </c>
      <c r="L981">
        <f>YEAR(Table1[[#This Row],[Last_Restock_Date]])</f>
        <v>2023</v>
      </c>
      <c r="M981" t="str">
        <f>_xlfn.CONCAT(TEXT(Table1[[#This Row],[Last_Restock_Date]],"mmm"), "-", YEAR(Table1[[#This Row],[Last_Restock_Date]]))</f>
        <v>Aug-2023</v>
      </c>
      <c r="N981">
        <f>MONTH(Table1[[#This Row],[Last_Restock_Date]])</f>
        <v>8</v>
      </c>
      <c r="O981" t="str" cm="1">
        <f t="array" ref="O981">_xlfn.SWITCH(Table1[[#This Row],[Month_Number]],
    1,"Q1",2,"Q1",3,"Q1",
    4,"Q2",5,"Q2",6,"Q2",
    7,"Q3",8,"Q3",9,"Q3",
    10,"Q4",11,"Q4",12,"Q4",
    "Invalid Month"
)</f>
        <v>Q3</v>
      </c>
      <c r="P981" t="str">
        <f>TEXT(Table1[[#This Row],[Last_Restock_Date]],"mmm")</f>
        <v>Aug</v>
      </c>
    </row>
    <row r="982" spans="1:16" x14ac:dyDescent="0.25">
      <c r="A982">
        <v>981</v>
      </c>
      <c r="B982" s="5" t="s">
        <v>46</v>
      </c>
      <c r="C982" s="5" t="s">
        <v>34</v>
      </c>
      <c r="D982" s="5" t="s">
        <v>24</v>
      </c>
      <c r="E982" s="5" t="s">
        <v>18</v>
      </c>
      <c r="F982" s="2">
        <v>121</v>
      </c>
      <c r="G982" s="3">
        <v>46.56</v>
      </c>
      <c r="H982">
        <v>95</v>
      </c>
      <c r="I982">
        <f>IF(Table1[[#This Row],[Status]]= "Sufficient",
     Table1[[#This Row],[Stock_Quantity]] - Table1[[#This Row],[Reorder_Level]],
     0)</f>
        <v>26</v>
      </c>
      <c r="J982" s="4">
        <v>45188</v>
      </c>
      <c r="K982" s="5" t="s">
        <v>14</v>
      </c>
      <c r="L982">
        <f>YEAR(Table1[[#This Row],[Last_Restock_Date]])</f>
        <v>2023</v>
      </c>
      <c r="M982" t="str">
        <f>_xlfn.CONCAT(TEXT(Table1[[#This Row],[Last_Restock_Date]],"mmm"), "-", YEAR(Table1[[#This Row],[Last_Restock_Date]]))</f>
        <v>Sep-2023</v>
      </c>
      <c r="N982">
        <f>MONTH(Table1[[#This Row],[Last_Restock_Date]])</f>
        <v>9</v>
      </c>
      <c r="O982" t="str" cm="1">
        <f t="array" ref="O982">_xlfn.SWITCH(Table1[[#This Row],[Month_Number]],
    1,"Q1",2,"Q1",3,"Q1",
    4,"Q2",5,"Q2",6,"Q2",
    7,"Q3",8,"Q3",9,"Q3",
    10,"Q4",11,"Q4",12,"Q4",
    "Invalid Month"
)</f>
        <v>Q3</v>
      </c>
      <c r="P982" t="str">
        <f>TEXT(Table1[[#This Row],[Last_Restock_Date]],"mmm")</f>
        <v>Sep</v>
      </c>
    </row>
    <row r="983" spans="1:16" x14ac:dyDescent="0.25">
      <c r="A983">
        <v>982</v>
      </c>
      <c r="B983" s="5" t="s">
        <v>54</v>
      </c>
      <c r="C983" s="5" t="s">
        <v>20</v>
      </c>
      <c r="D983" s="5" t="s">
        <v>21</v>
      </c>
      <c r="E983" s="5" t="s">
        <v>37</v>
      </c>
      <c r="F983" s="2">
        <v>354</v>
      </c>
      <c r="G983" s="3">
        <v>417.09</v>
      </c>
      <c r="H983">
        <v>87</v>
      </c>
      <c r="I983">
        <f>IF(Table1[[#This Row],[Status]]= "Sufficient",
     Table1[[#This Row],[Stock_Quantity]] - Table1[[#This Row],[Reorder_Level]],
     0)</f>
        <v>267</v>
      </c>
      <c r="J983" s="4">
        <v>44996</v>
      </c>
      <c r="K983" s="5" t="s">
        <v>14</v>
      </c>
      <c r="L983">
        <f>YEAR(Table1[[#This Row],[Last_Restock_Date]])</f>
        <v>2023</v>
      </c>
      <c r="M983" t="str">
        <f>_xlfn.CONCAT(TEXT(Table1[[#This Row],[Last_Restock_Date]],"mmm"), "-", YEAR(Table1[[#This Row],[Last_Restock_Date]]))</f>
        <v>Mar-2023</v>
      </c>
      <c r="N983">
        <f>MONTH(Table1[[#This Row],[Last_Restock_Date]])</f>
        <v>3</v>
      </c>
      <c r="O983" t="str" cm="1">
        <f t="array" ref="O983">_xlfn.SWITCH(Table1[[#This Row],[Month_Number]],
    1,"Q1",2,"Q1",3,"Q1",
    4,"Q2",5,"Q2",6,"Q2",
    7,"Q3",8,"Q3",9,"Q3",
    10,"Q4",11,"Q4",12,"Q4",
    "Invalid Month"
)</f>
        <v>Q1</v>
      </c>
      <c r="P983" t="str">
        <f>TEXT(Table1[[#This Row],[Last_Restock_Date]],"mmm")</f>
        <v>Mar</v>
      </c>
    </row>
    <row r="984" spans="1:16" x14ac:dyDescent="0.25">
      <c r="A984">
        <v>983</v>
      </c>
      <c r="B984" s="5" t="s">
        <v>33</v>
      </c>
      <c r="C984" s="5" t="s">
        <v>34</v>
      </c>
      <c r="D984" s="5" t="s">
        <v>12</v>
      </c>
      <c r="E984" s="5" t="s">
        <v>18</v>
      </c>
      <c r="F984" s="2">
        <v>429</v>
      </c>
      <c r="G984" s="3">
        <v>134.51</v>
      </c>
      <c r="H984">
        <v>78</v>
      </c>
      <c r="I984">
        <f>IF(Table1[[#This Row],[Status]]= "Sufficient",
     Table1[[#This Row],[Stock_Quantity]] - Table1[[#This Row],[Reorder_Level]],
     0)</f>
        <v>351</v>
      </c>
      <c r="J984" s="4">
        <v>45357</v>
      </c>
      <c r="K984" s="5" t="s">
        <v>14</v>
      </c>
      <c r="L984">
        <f>YEAR(Table1[[#This Row],[Last_Restock_Date]])</f>
        <v>2024</v>
      </c>
      <c r="M984" t="str">
        <f>_xlfn.CONCAT(TEXT(Table1[[#This Row],[Last_Restock_Date]],"mmm"), "-", YEAR(Table1[[#This Row],[Last_Restock_Date]]))</f>
        <v>Mar-2024</v>
      </c>
      <c r="N984">
        <f>MONTH(Table1[[#This Row],[Last_Restock_Date]])</f>
        <v>3</v>
      </c>
      <c r="O984" t="str" cm="1">
        <f t="array" ref="O984">_xlfn.SWITCH(Table1[[#This Row],[Month_Number]],
    1,"Q1",2,"Q1",3,"Q1",
    4,"Q2",5,"Q2",6,"Q2",
    7,"Q3",8,"Q3",9,"Q3",
    10,"Q4",11,"Q4",12,"Q4",
    "Invalid Month"
)</f>
        <v>Q1</v>
      </c>
      <c r="P984" t="str">
        <f>TEXT(Table1[[#This Row],[Last_Restock_Date]],"mmm")</f>
        <v>Mar</v>
      </c>
    </row>
    <row r="985" spans="1:16" x14ac:dyDescent="0.25">
      <c r="A985">
        <v>984</v>
      </c>
      <c r="B985" s="5" t="s">
        <v>29</v>
      </c>
      <c r="C985" s="5" t="s">
        <v>16</v>
      </c>
      <c r="D985" s="5" t="s">
        <v>12</v>
      </c>
      <c r="E985" s="5" t="s">
        <v>13</v>
      </c>
      <c r="F985" s="2">
        <v>263</v>
      </c>
      <c r="G985" s="3">
        <v>317.14999999999998</v>
      </c>
      <c r="H985">
        <v>100</v>
      </c>
      <c r="I985">
        <f>IF(Table1[[#This Row],[Status]]= "Sufficient",
     Table1[[#This Row],[Stock_Quantity]] - Table1[[#This Row],[Reorder_Level]],
     0)</f>
        <v>163</v>
      </c>
      <c r="J985" s="4">
        <v>45967</v>
      </c>
      <c r="K985" s="5" t="s">
        <v>14</v>
      </c>
      <c r="L985">
        <f>YEAR(Table1[[#This Row],[Last_Restock_Date]])</f>
        <v>2025</v>
      </c>
      <c r="M985" t="str">
        <f>_xlfn.CONCAT(TEXT(Table1[[#This Row],[Last_Restock_Date]],"mmm"), "-", YEAR(Table1[[#This Row],[Last_Restock_Date]]))</f>
        <v>Nov-2025</v>
      </c>
      <c r="N985">
        <f>MONTH(Table1[[#This Row],[Last_Restock_Date]])</f>
        <v>11</v>
      </c>
      <c r="O985" t="str" cm="1">
        <f t="array" ref="O985">_xlfn.SWITCH(Table1[[#This Row],[Month_Number]],
    1,"Q1",2,"Q1",3,"Q1",
    4,"Q2",5,"Q2",6,"Q2",
    7,"Q3",8,"Q3",9,"Q3",
    10,"Q4",11,"Q4",12,"Q4",
    "Invalid Month"
)</f>
        <v>Q4</v>
      </c>
      <c r="P985" t="str">
        <f>TEXT(Table1[[#This Row],[Last_Restock_Date]],"mmm")</f>
        <v>Nov</v>
      </c>
    </row>
    <row r="986" spans="1:16" x14ac:dyDescent="0.25">
      <c r="A986">
        <v>985</v>
      </c>
      <c r="B986" s="5" t="s">
        <v>41</v>
      </c>
      <c r="C986" s="5" t="s">
        <v>16</v>
      </c>
      <c r="D986" s="5" t="s">
        <v>24</v>
      </c>
      <c r="E986" s="5" t="s">
        <v>32</v>
      </c>
      <c r="F986" s="2">
        <v>230</v>
      </c>
      <c r="G986" s="3">
        <v>703.56</v>
      </c>
      <c r="H986">
        <v>115</v>
      </c>
      <c r="I986">
        <f>IF(Table1[[#This Row],[Status]]= "Sufficient",
     Table1[[#This Row],[Stock_Quantity]] - Table1[[#This Row],[Reorder_Level]],
     0)</f>
        <v>115</v>
      </c>
      <c r="J986" s="4">
        <v>46005</v>
      </c>
      <c r="K986" s="5" t="s">
        <v>14</v>
      </c>
      <c r="L986">
        <f>YEAR(Table1[[#This Row],[Last_Restock_Date]])</f>
        <v>2025</v>
      </c>
      <c r="M986" t="str">
        <f>_xlfn.CONCAT(TEXT(Table1[[#This Row],[Last_Restock_Date]],"mmm"), "-", YEAR(Table1[[#This Row],[Last_Restock_Date]]))</f>
        <v>Dec-2025</v>
      </c>
      <c r="N986">
        <f>MONTH(Table1[[#This Row],[Last_Restock_Date]])</f>
        <v>12</v>
      </c>
      <c r="O986" t="str" cm="1">
        <f t="array" ref="O986">_xlfn.SWITCH(Table1[[#This Row],[Month_Number]],
    1,"Q1",2,"Q1",3,"Q1",
    4,"Q2",5,"Q2",6,"Q2",
    7,"Q3",8,"Q3",9,"Q3",
    10,"Q4",11,"Q4",12,"Q4",
    "Invalid Month"
)</f>
        <v>Q4</v>
      </c>
      <c r="P986" t="str">
        <f>TEXT(Table1[[#This Row],[Last_Restock_Date]],"mmm")</f>
        <v>Dec</v>
      </c>
    </row>
    <row r="987" spans="1:16" x14ac:dyDescent="0.25">
      <c r="A987">
        <v>986</v>
      </c>
      <c r="B987" s="5" t="s">
        <v>38</v>
      </c>
      <c r="C987" s="5" t="s">
        <v>26</v>
      </c>
      <c r="D987" s="5" t="s">
        <v>30</v>
      </c>
      <c r="E987" s="5" t="s">
        <v>39</v>
      </c>
      <c r="F987" s="2">
        <v>84</v>
      </c>
      <c r="G987" s="3">
        <v>312.24</v>
      </c>
      <c r="H987">
        <v>116</v>
      </c>
      <c r="I987">
        <f>IF(Table1[[#This Row],[Status]]= "Sufficient",
     Table1[[#This Row],[Stock_Quantity]] - Table1[[#This Row],[Reorder_Level]],
     0)</f>
        <v>0</v>
      </c>
      <c r="J987" s="4">
        <v>45337</v>
      </c>
      <c r="K987" s="5" t="s">
        <v>28</v>
      </c>
      <c r="L987">
        <f>YEAR(Table1[[#This Row],[Last_Restock_Date]])</f>
        <v>2024</v>
      </c>
      <c r="M987" t="str">
        <f>_xlfn.CONCAT(TEXT(Table1[[#This Row],[Last_Restock_Date]],"mmm"), "-", YEAR(Table1[[#This Row],[Last_Restock_Date]]))</f>
        <v>Feb-2024</v>
      </c>
      <c r="N987">
        <f>MONTH(Table1[[#This Row],[Last_Restock_Date]])</f>
        <v>2</v>
      </c>
      <c r="O987" t="str" cm="1">
        <f t="array" ref="O987">_xlfn.SWITCH(Table1[[#This Row],[Month_Number]],
    1,"Q1",2,"Q1",3,"Q1",
    4,"Q2",5,"Q2",6,"Q2",
    7,"Q3",8,"Q3",9,"Q3",
    10,"Q4",11,"Q4",12,"Q4",
    "Invalid Month"
)</f>
        <v>Q1</v>
      </c>
      <c r="P987" t="str">
        <f>TEXT(Table1[[#This Row],[Last_Restock_Date]],"mmm")</f>
        <v>Feb</v>
      </c>
    </row>
    <row r="988" spans="1:16" x14ac:dyDescent="0.25">
      <c r="A988">
        <v>987</v>
      </c>
      <c r="B988" s="5" t="s">
        <v>51</v>
      </c>
      <c r="C988" s="5" t="s">
        <v>11</v>
      </c>
      <c r="D988" s="5" t="s">
        <v>21</v>
      </c>
      <c r="E988" s="5" t="s">
        <v>39</v>
      </c>
      <c r="F988" s="2">
        <v>57</v>
      </c>
      <c r="G988" s="3">
        <v>16.48</v>
      </c>
      <c r="H988">
        <v>66</v>
      </c>
      <c r="I988">
        <f>IF(Table1[[#This Row],[Status]]= "Sufficient",
     Table1[[#This Row],[Stock_Quantity]] - Table1[[#This Row],[Reorder_Level]],
     0)</f>
        <v>0</v>
      </c>
      <c r="J988" s="4">
        <v>45443</v>
      </c>
      <c r="K988" s="5" t="s">
        <v>28</v>
      </c>
      <c r="L988">
        <f>YEAR(Table1[[#This Row],[Last_Restock_Date]])</f>
        <v>2024</v>
      </c>
      <c r="M988" t="str">
        <f>_xlfn.CONCAT(TEXT(Table1[[#This Row],[Last_Restock_Date]],"mmm"), "-", YEAR(Table1[[#This Row],[Last_Restock_Date]]))</f>
        <v>May-2024</v>
      </c>
      <c r="N988">
        <f>MONTH(Table1[[#This Row],[Last_Restock_Date]])</f>
        <v>5</v>
      </c>
      <c r="O988" t="str" cm="1">
        <f t="array" ref="O988">_xlfn.SWITCH(Table1[[#This Row],[Month_Number]],
    1,"Q1",2,"Q1",3,"Q1",
    4,"Q2",5,"Q2",6,"Q2",
    7,"Q3",8,"Q3",9,"Q3",
    10,"Q4",11,"Q4",12,"Q4",
    "Invalid Month"
)</f>
        <v>Q2</v>
      </c>
      <c r="P988" t="str">
        <f>TEXT(Table1[[#This Row],[Last_Restock_Date]],"mmm")</f>
        <v>May</v>
      </c>
    </row>
    <row r="989" spans="1:16" x14ac:dyDescent="0.25">
      <c r="A989">
        <v>988</v>
      </c>
      <c r="B989" s="5" t="s">
        <v>43</v>
      </c>
      <c r="C989" s="5" t="s">
        <v>26</v>
      </c>
      <c r="D989" s="5" t="s">
        <v>24</v>
      </c>
      <c r="E989" s="5" t="s">
        <v>39</v>
      </c>
      <c r="F989" s="2">
        <v>220</v>
      </c>
      <c r="G989" s="3">
        <v>321.37</v>
      </c>
      <c r="H989">
        <v>55</v>
      </c>
      <c r="I989">
        <f>IF(Table1[[#This Row],[Status]]= "Sufficient",
     Table1[[#This Row],[Stock_Quantity]] - Table1[[#This Row],[Reorder_Level]],
     0)</f>
        <v>165</v>
      </c>
      <c r="J989" s="4">
        <v>45942</v>
      </c>
      <c r="K989" s="5" t="s">
        <v>14</v>
      </c>
      <c r="L989">
        <f>YEAR(Table1[[#This Row],[Last_Restock_Date]])</f>
        <v>2025</v>
      </c>
      <c r="M989" t="str">
        <f>_xlfn.CONCAT(TEXT(Table1[[#This Row],[Last_Restock_Date]],"mmm"), "-", YEAR(Table1[[#This Row],[Last_Restock_Date]]))</f>
        <v>Oct-2025</v>
      </c>
      <c r="N989">
        <f>MONTH(Table1[[#This Row],[Last_Restock_Date]])</f>
        <v>10</v>
      </c>
      <c r="O989" t="str" cm="1">
        <f t="array" ref="O989">_xlfn.SWITCH(Table1[[#This Row],[Month_Number]],
    1,"Q1",2,"Q1",3,"Q1",
    4,"Q2",5,"Q2",6,"Q2",
    7,"Q3",8,"Q3",9,"Q3",
    10,"Q4",11,"Q4",12,"Q4",
    "Invalid Month"
)</f>
        <v>Q4</v>
      </c>
      <c r="P989" t="str">
        <f>TEXT(Table1[[#This Row],[Last_Restock_Date]],"mmm")</f>
        <v>Oct</v>
      </c>
    </row>
    <row r="990" spans="1:16" x14ac:dyDescent="0.25">
      <c r="A990">
        <v>989</v>
      </c>
      <c r="B990" s="5" t="s">
        <v>23</v>
      </c>
      <c r="C990" s="5" t="s">
        <v>20</v>
      </c>
      <c r="D990" s="5" t="s">
        <v>21</v>
      </c>
      <c r="E990" s="5" t="s">
        <v>39</v>
      </c>
      <c r="F990" s="2">
        <v>463</v>
      </c>
      <c r="G990" s="3">
        <v>302.92</v>
      </c>
      <c r="H990">
        <v>89</v>
      </c>
      <c r="I990">
        <f>IF(Table1[[#This Row],[Status]]= "Sufficient",
     Table1[[#This Row],[Stock_Quantity]] - Table1[[#This Row],[Reorder_Level]],
     0)</f>
        <v>374</v>
      </c>
      <c r="J990" s="4">
        <v>45865</v>
      </c>
      <c r="K990" s="5" t="s">
        <v>14</v>
      </c>
      <c r="L990">
        <f>YEAR(Table1[[#This Row],[Last_Restock_Date]])</f>
        <v>2025</v>
      </c>
      <c r="M990" t="str">
        <f>_xlfn.CONCAT(TEXT(Table1[[#This Row],[Last_Restock_Date]],"mmm"), "-", YEAR(Table1[[#This Row],[Last_Restock_Date]]))</f>
        <v>Jul-2025</v>
      </c>
      <c r="N990">
        <f>MONTH(Table1[[#This Row],[Last_Restock_Date]])</f>
        <v>7</v>
      </c>
      <c r="O990" t="str" cm="1">
        <f t="array" ref="O990">_xlfn.SWITCH(Table1[[#This Row],[Month_Number]],
    1,"Q1",2,"Q1",3,"Q1",
    4,"Q2",5,"Q2",6,"Q2",
    7,"Q3",8,"Q3",9,"Q3",
    10,"Q4",11,"Q4",12,"Q4",
    "Invalid Month"
)</f>
        <v>Q3</v>
      </c>
      <c r="P990" t="str">
        <f>TEXT(Table1[[#This Row],[Last_Restock_Date]],"mmm")</f>
        <v>Jul</v>
      </c>
    </row>
    <row r="991" spans="1:16" x14ac:dyDescent="0.25">
      <c r="A991">
        <v>990</v>
      </c>
      <c r="B991" s="5" t="s">
        <v>49</v>
      </c>
      <c r="C991" s="5" t="s">
        <v>16</v>
      </c>
      <c r="D991" s="5" t="s">
        <v>12</v>
      </c>
      <c r="E991" s="5" t="s">
        <v>27</v>
      </c>
      <c r="F991" s="2">
        <v>70</v>
      </c>
      <c r="G991" s="3">
        <v>153.71</v>
      </c>
      <c r="H991">
        <v>103</v>
      </c>
      <c r="I991">
        <f>IF(Table1[[#This Row],[Status]]= "Sufficient",
     Table1[[#This Row],[Stock_Quantity]] - Table1[[#This Row],[Reorder_Level]],
     0)</f>
        <v>0</v>
      </c>
      <c r="J991" s="4">
        <v>45449</v>
      </c>
      <c r="K991" s="5" t="s">
        <v>28</v>
      </c>
      <c r="L991">
        <f>YEAR(Table1[[#This Row],[Last_Restock_Date]])</f>
        <v>2024</v>
      </c>
      <c r="M991" t="str">
        <f>_xlfn.CONCAT(TEXT(Table1[[#This Row],[Last_Restock_Date]],"mmm"), "-", YEAR(Table1[[#This Row],[Last_Restock_Date]]))</f>
        <v>Jun-2024</v>
      </c>
      <c r="N991">
        <f>MONTH(Table1[[#This Row],[Last_Restock_Date]])</f>
        <v>6</v>
      </c>
      <c r="O991" t="str" cm="1">
        <f t="array" ref="O991">_xlfn.SWITCH(Table1[[#This Row],[Month_Number]],
    1,"Q1",2,"Q1",3,"Q1",
    4,"Q2",5,"Q2",6,"Q2",
    7,"Q3",8,"Q3",9,"Q3",
    10,"Q4",11,"Q4",12,"Q4",
    "Invalid Month"
)</f>
        <v>Q2</v>
      </c>
      <c r="P991" t="str">
        <f>TEXT(Table1[[#This Row],[Last_Restock_Date]],"mmm")</f>
        <v>Jun</v>
      </c>
    </row>
    <row r="992" spans="1:16" x14ac:dyDescent="0.25">
      <c r="A992">
        <v>991</v>
      </c>
      <c r="B992" s="5" t="s">
        <v>44</v>
      </c>
      <c r="C992" s="5" t="s">
        <v>34</v>
      </c>
      <c r="D992" s="5" t="s">
        <v>17</v>
      </c>
      <c r="E992" s="5" t="s">
        <v>13</v>
      </c>
      <c r="F992" s="2">
        <v>301</v>
      </c>
      <c r="G992" s="3">
        <v>209.48</v>
      </c>
      <c r="H992">
        <v>74</v>
      </c>
      <c r="I992">
        <f>IF(Table1[[#This Row],[Status]]= "Sufficient",
     Table1[[#This Row],[Stock_Quantity]] - Table1[[#This Row],[Reorder_Level]],
     0)</f>
        <v>227</v>
      </c>
      <c r="J992" s="4">
        <v>45110</v>
      </c>
      <c r="K992" s="5" t="s">
        <v>14</v>
      </c>
      <c r="L992">
        <f>YEAR(Table1[[#This Row],[Last_Restock_Date]])</f>
        <v>2023</v>
      </c>
      <c r="M992" t="str">
        <f>_xlfn.CONCAT(TEXT(Table1[[#This Row],[Last_Restock_Date]],"mmm"), "-", YEAR(Table1[[#This Row],[Last_Restock_Date]]))</f>
        <v>Jul-2023</v>
      </c>
      <c r="N992">
        <f>MONTH(Table1[[#This Row],[Last_Restock_Date]])</f>
        <v>7</v>
      </c>
      <c r="O992" t="str" cm="1">
        <f t="array" ref="O992">_xlfn.SWITCH(Table1[[#This Row],[Month_Number]],
    1,"Q1",2,"Q1",3,"Q1",
    4,"Q2",5,"Q2",6,"Q2",
    7,"Q3",8,"Q3",9,"Q3",
    10,"Q4",11,"Q4",12,"Q4",
    "Invalid Month"
)</f>
        <v>Q3</v>
      </c>
      <c r="P992" t="str">
        <f>TEXT(Table1[[#This Row],[Last_Restock_Date]],"mmm")</f>
        <v>Jul</v>
      </c>
    </row>
    <row r="993" spans="1:16" x14ac:dyDescent="0.25">
      <c r="A993">
        <v>992</v>
      </c>
      <c r="B993" s="5" t="s">
        <v>46</v>
      </c>
      <c r="C993" s="5" t="s">
        <v>34</v>
      </c>
      <c r="D993" s="5" t="s">
        <v>24</v>
      </c>
      <c r="E993" s="5" t="s">
        <v>13</v>
      </c>
      <c r="F993" s="2">
        <v>158</v>
      </c>
      <c r="G993" s="3">
        <v>431.27</v>
      </c>
      <c r="H993">
        <v>94</v>
      </c>
      <c r="I993">
        <f>IF(Table1[[#This Row],[Status]]= "Sufficient",
     Table1[[#This Row],[Stock_Quantity]] - Table1[[#This Row],[Reorder_Level]],
     0)</f>
        <v>64</v>
      </c>
      <c r="J993" s="4">
        <v>45606</v>
      </c>
      <c r="K993" s="5" t="s">
        <v>14</v>
      </c>
      <c r="L993">
        <f>YEAR(Table1[[#This Row],[Last_Restock_Date]])</f>
        <v>2024</v>
      </c>
      <c r="M993" t="str">
        <f>_xlfn.CONCAT(TEXT(Table1[[#This Row],[Last_Restock_Date]],"mmm"), "-", YEAR(Table1[[#This Row],[Last_Restock_Date]]))</f>
        <v>Nov-2024</v>
      </c>
      <c r="N993">
        <f>MONTH(Table1[[#This Row],[Last_Restock_Date]])</f>
        <v>11</v>
      </c>
      <c r="O993" t="str" cm="1">
        <f t="array" ref="O993">_xlfn.SWITCH(Table1[[#This Row],[Month_Number]],
    1,"Q1",2,"Q1",3,"Q1",
    4,"Q2",5,"Q2",6,"Q2",
    7,"Q3",8,"Q3",9,"Q3",
    10,"Q4",11,"Q4",12,"Q4",
    "Invalid Month"
)</f>
        <v>Q4</v>
      </c>
      <c r="P993" t="str">
        <f>TEXT(Table1[[#This Row],[Last_Restock_Date]],"mmm")</f>
        <v>Nov</v>
      </c>
    </row>
    <row r="994" spans="1:16" x14ac:dyDescent="0.25">
      <c r="A994">
        <v>993</v>
      </c>
      <c r="B994" s="5" t="s">
        <v>51</v>
      </c>
      <c r="C994" s="5" t="s">
        <v>11</v>
      </c>
      <c r="D994" s="5" t="s">
        <v>30</v>
      </c>
      <c r="E994" s="5" t="s">
        <v>37</v>
      </c>
      <c r="F994" s="2">
        <v>419</v>
      </c>
      <c r="G994" s="3">
        <v>130.74</v>
      </c>
      <c r="H994">
        <v>112</v>
      </c>
      <c r="I994">
        <f>IF(Table1[[#This Row],[Status]]= "Sufficient",
     Table1[[#This Row],[Stock_Quantity]] - Table1[[#This Row],[Reorder_Level]],
     0)</f>
        <v>307</v>
      </c>
      <c r="J994" s="4">
        <v>45824</v>
      </c>
      <c r="K994" s="5" t="s">
        <v>14</v>
      </c>
      <c r="L994">
        <f>YEAR(Table1[[#This Row],[Last_Restock_Date]])</f>
        <v>2025</v>
      </c>
      <c r="M994" t="str">
        <f>_xlfn.CONCAT(TEXT(Table1[[#This Row],[Last_Restock_Date]],"mmm"), "-", YEAR(Table1[[#This Row],[Last_Restock_Date]]))</f>
        <v>Jun-2025</v>
      </c>
      <c r="N994">
        <f>MONTH(Table1[[#This Row],[Last_Restock_Date]])</f>
        <v>6</v>
      </c>
      <c r="O994" t="str" cm="1">
        <f t="array" ref="O994">_xlfn.SWITCH(Table1[[#This Row],[Month_Number]],
    1,"Q1",2,"Q1",3,"Q1",
    4,"Q2",5,"Q2",6,"Q2",
    7,"Q3",8,"Q3",9,"Q3",
    10,"Q4",11,"Q4",12,"Q4",
    "Invalid Month"
)</f>
        <v>Q2</v>
      </c>
      <c r="P994" t="str">
        <f>TEXT(Table1[[#This Row],[Last_Restock_Date]],"mmm")</f>
        <v>Jun</v>
      </c>
    </row>
    <row r="995" spans="1:16" x14ac:dyDescent="0.25">
      <c r="A995">
        <v>994</v>
      </c>
      <c r="B995" s="5" t="s">
        <v>47</v>
      </c>
      <c r="C995" s="5" t="s">
        <v>20</v>
      </c>
      <c r="D995" s="5" t="s">
        <v>17</v>
      </c>
      <c r="E995" s="5" t="s">
        <v>32</v>
      </c>
      <c r="F995" s="2">
        <v>458</v>
      </c>
      <c r="G995" s="3">
        <v>26.86</v>
      </c>
      <c r="H995">
        <v>62</v>
      </c>
      <c r="I995">
        <f>IF(Table1[[#This Row],[Status]]= "Sufficient",
     Table1[[#This Row],[Stock_Quantity]] - Table1[[#This Row],[Reorder_Level]],
     0)</f>
        <v>396</v>
      </c>
      <c r="J995" s="4">
        <v>45032</v>
      </c>
      <c r="K995" s="5" t="s">
        <v>14</v>
      </c>
      <c r="L995">
        <f>YEAR(Table1[[#This Row],[Last_Restock_Date]])</f>
        <v>2023</v>
      </c>
      <c r="M995" t="str">
        <f>_xlfn.CONCAT(TEXT(Table1[[#This Row],[Last_Restock_Date]],"mmm"), "-", YEAR(Table1[[#This Row],[Last_Restock_Date]]))</f>
        <v>Apr-2023</v>
      </c>
      <c r="N995">
        <f>MONTH(Table1[[#This Row],[Last_Restock_Date]])</f>
        <v>4</v>
      </c>
      <c r="O995" t="str" cm="1">
        <f t="array" ref="O995">_xlfn.SWITCH(Table1[[#This Row],[Month_Number]],
    1,"Q1",2,"Q1",3,"Q1",
    4,"Q2",5,"Q2",6,"Q2",
    7,"Q3",8,"Q3",9,"Q3",
    10,"Q4",11,"Q4",12,"Q4",
    "Invalid Month"
)</f>
        <v>Q2</v>
      </c>
      <c r="P995" t="str">
        <f>TEXT(Table1[[#This Row],[Last_Restock_Date]],"mmm")</f>
        <v>Apr</v>
      </c>
    </row>
    <row r="996" spans="1:16" x14ac:dyDescent="0.25">
      <c r="A996">
        <v>995</v>
      </c>
      <c r="B996" s="5" t="s">
        <v>48</v>
      </c>
      <c r="C996" s="5" t="s">
        <v>20</v>
      </c>
      <c r="D996" s="5" t="s">
        <v>17</v>
      </c>
      <c r="E996" s="5" t="s">
        <v>27</v>
      </c>
      <c r="F996" s="2">
        <v>195</v>
      </c>
      <c r="G996" s="3">
        <v>586.54</v>
      </c>
      <c r="H996">
        <v>150</v>
      </c>
      <c r="I996">
        <f>IF(Table1[[#This Row],[Status]]= "Sufficient",
     Table1[[#This Row],[Stock_Quantity]] - Table1[[#This Row],[Reorder_Level]],
     0)</f>
        <v>45</v>
      </c>
      <c r="J996" s="4">
        <v>45976</v>
      </c>
      <c r="K996" s="5" t="s">
        <v>14</v>
      </c>
      <c r="L996">
        <f>YEAR(Table1[[#This Row],[Last_Restock_Date]])</f>
        <v>2025</v>
      </c>
      <c r="M996" t="str">
        <f>_xlfn.CONCAT(TEXT(Table1[[#This Row],[Last_Restock_Date]],"mmm"), "-", YEAR(Table1[[#This Row],[Last_Restock_Date]]))</f>
        <v>Nov-2025</v>
      </c>
      <c r="N996">
        <f>MONTH(Table1[[#This Row],[Last_Restock_Date]])</f>
        <v>11</v>
      </c>
      <c r="O996" t="str" cm="1">
        <f t="array" ref="O996">_xlfn.SWITCH(Table1[[#This Row],[Month_Number]],
    1,"Q1",2,"Q1",3,"Q1",
    4,"Q2",5,"Q2",6,"Q2",
    7,"Q3",8,"Q3",9,"Q3",
    10,"Q4",11,"Q4",12,"Q4",
    "Invalid Month"
)</f>
        <v>Q4</v>
      </c>
      <c r="P996" t="str">
        <f>TEXT(Table1[[#This Row],[Last_Restock_Date]],"mmm")</f>
        <v>Nov</v>
      </c>
    </row>
    <row r="997" spans="1:16" x14ac:dyDescent="0.25">
      <c r="A997">
        <v>996</v>
      </c>
      <c r="B997" s="5" t="s">
        <v>25</v>
      </c>
      <c r="C997" s="5" t="s">
        <v>26</v>
      </c>
      <c r="D997" s="5" t="s">
        <v>21</v>
      </c>
      <c r="E997" s="5" t="s">
        <v>18</v>
      </c>
      <c r="F997" s="2">
        <v>472</v>
      </c>
      <c r="G997" s="3">
        <v>750.19</v>
      </c>
      <c r="H997">
        <v>133</v>
      </c>
      <c r="I997">
        <f>IF(Table1[[#This Row],[Status]]= "Sufficient",
     Table1[[#This Row],[Stock_Quantity]] - Table1[[#This Row],[Reorder_Level]],
     0)</f>
        <v>339</v>
      </c>
      <c r="J997" s="4">
        <v>45194</v>
      </c>
      <c r="K997" s="5" t="s">
        <v>14</v>
      </c>
      <c r="L997">
        <f>YEAR(Table1[[#This Row],[Last_Restock_Date]])</f>
        <v>2023</v>
      </c>
      <c r="M997" t="str">
        <f>_xlfn.CONCAT(TEXT(Table1[[#This Row],[Last_Restock_Date]],"mmm"), "-", YEAR(Table1[[#This Row],[Last_Restock_Date]]))</f>
        <v>Sep-2023</v>
      </c>
      <c r="N997">
        <f>MONTH(Table1[[#This Row],[Last_Restock_Date]])</f>
        <v>9</v>
      </c>
      <c r="O997" t="str" cm="1">
        <f t="array" ref="O997">_xlfn.SWITCH(Table1[[#This Row],[Month_Number]],
    1,"Q1",2,"Q1",3,"Q1",
    4,"Q2",5,"Q2",6,"Q2",
    7,"Q3",8,"Q3",9,"Q3",
    10,"Q4",11,"Q4",12,"Q4",
    "Invalid Month"
)</f>
        <v>Q3</v>
      </c>
      <c r="P997" t="str">
        <f>TEXT(Table1[[#This Row],[Last_Restock_Date]],"mmm")</f>
        <v>Sep</v>
      </c>
    </row>
    <row r="998" spans="1:16" x14ac:dyDescent="0.25">
      <c r="A998">
        <v>997</v>
      </c>
      <c r="B998" s="5" t="s">
        <v>22</v>
      </c>
      <c r="C998" s="5" t="s">
        <v>11</v>
      </c>
      <c r="D998" s="5" t="s">
        <v>17</v>
      </c>
      <c r="E998" s="5" t="s">
        <v>39</v>
      </c>
      <c r="F998" s="2">
        <v>342</v>
      </c>
      <c r="G998" s="3">
        <v>312.77999999999997</v>
      </c>
      <c r="H998">
        <v>144</v>
      </c>
      <c r="I998">
        <f>IF(Table1[[#This Row],[Status]]= "Sufficient",
     Table1[[#This Row],[Stock_Quantity]] - Table1[[#This Row],[Reorder_Level]],
     0)</f>
        <v>198</v>
      </c>
      <c r="J998" s="4">
        <v>45089</v>
      </c>
      <c r="K998" s="5" t="s">
        <v>14</v>
      </c>
      <c r="L998">
        <f>YEAR(Table1[[#This Row],[Last_Restock_Date]])</f>
        <v>2023</v>
      </c>
      <c r="M998" t="str">
        <f>_xlfn.CONCAT(TEXT(Table1[[#This Row],[Last_Restock_Date]],"mmm"), "-", YEAR(Table1[[#This Row],[Last_Restock_Date]]))</f>
        <v>Jun-2023</v>
      </c>
      <c r="N998">
        <f>MONTH(Table1[[#This Row],[Last_Restock_Date]])</f>
        <v>6</v>
      </c>
      <c r="O998" t="str" cm="1">
        <f t="array" ref="O998">_xlfn.SWITCH(Table1[[#This Row],[Month_Number]],
    1,"Q1",2,"Q1",3,"Q1",
    4,"Q2",5,"Q2",6,"Q2",
    7,"Q3",8,"Q3",9,"Q3",
    10,"Q4",11,"Q4",12,"Q4",
    "Invalid Month"
)</f>
        <v>Q2</v>
      </c>
      <c r="P998" t="str">
        <f>TEXT(Table1[[#This Row],[Last_Restock_Date]],"mmm")</f>
        <v>Jun</v>
      </c>
    </row>
    <row r="999" spans="1:16" x14ac:dyDescent="0.25">
      <c r="A999">
        <v>998</v>
      </c>
      <c r="B999" s="5" t="s">
        <v>38</v>
      </c>
      <c r="C999" s="5" t="s">
        <v>26</v>
      </c>
      <c r="D999" s="5" t="s">
        <v>12</v>
      </c>
      <c r="E999" s="5" t="s">
        <v>37</v>
      </c>
      <c r="F999" s="2">
        <v>24</v>
      </c>
      <c r="G999" s="3">
        <v>368.33</v>
      </c>
      <c r="H999">
        <v>147</v>
      </c>
      <c r="I999">
        <f>IF(Table1[[#This Row],[Status]]= "Sufficient",
     Table1[[#This Row],[Stock_Quantity]] - Table1[[#This Row],[Reorder_Level]],
     0)</f>
        <v>0</v>
      </c>
      <c r="J999" s="4">
        <v>45222</v>
      </c>
      <c r="K999" s="5" t="s">
        <v>28</v>
      </c>
      <c r="L999">
        <f>YEAR(Table1[[#This Row],[Last_Restock_Date]])</f>
        <v>2023</v>
      </c>
      <c r="M999" t="str">
        <f>_xlfn.CONCAT(TEXT(Table1[[#This Row],[Last_Restock_Date]],"mmm"), "-", YEAR(Table1[[#This Row],[Last_Restock_Date]]))</f>
        <v>Oct-2023</v>
      </c>
      <c r="N999">
        <f>MONTH(Table1[[#This Row],[Last_Restock_Date]])</f>
        <v>10</v>
      </c>
      <c r="O999" t="str" cm="1">
        <f t="array" ref="O999">_xlfn.SWITCH(Table1[[#This Row],[Month_Number]],
    1,"Q1",2,"Q1",3,"Q1",
    4,"Q2",5,"Q2",6,"Q2",
    7,"Q3",8,"Q3",9,"Q3",
    10,"Q4",11,"Q4",12,"Q4",
    "Invalid Month"
)</f>
        <v>Q4</v>
      </c>
      <c r="P999" t="str">
        <f>TEXT(Table1[[#This Row],[Last_Restock_Date]],"mmm")</f>
        <v>Oct</v>
      </c>
    </row>
    <row r="1000" spans="1:16" x14ac:dyDescent="0.25">
      <c r="A1000">
        <v>999</v>
      </c>
      <c r="B1000" s="5" t="s">
        <v>33</v>
      </c>
      <c r="C1000" s="5" t="s">
        <v>34</v>
      </c>
      <c r="D1000" s="5" t="s">
        <v>21</v>
      </c>
      <c r="E1000" s="5" t="s">
        <v>18</v>
      </c>
      <c r="F1000" s="2">
        <v>299</v>
      </c>
      <c r="G1000" s="3">
        <v>232.61</v>
      </c>
      <c r="H1000">
        <v>72</v>
      </c>
      <c r="I1000">
        <f>IF(Table1[[#This Row],[Status]]= "Sufficient",
     Table1[[#This Row],[Stock_Quantity]] - Table1[[#This Row],[Reorder_Level]],
     0)</f>
        <v>227</v>
      </c>
      <c r="J1000" s="4">
        <v>45447</v>
      </c>
      <c r="K1000" s="5" t="s">
        <v>14</v>
      </c>
      <c r="L1000">
        <f>YEAR(Table1[[#This Row],[Last_Restock_Date]])</f>
        <v>2024</v>
      </c>
      <c r="M1000" t="str">
        <f>_xlfn.CONCAT(TEXT(Table1[[#This Row],[Last_Restock_Date]],"mmm"), "-", YEAR(Table1[[#This Row],[Last_Restock_Date]]))</f>
        <v>Jun-2024</v>
      </c>
      <c r="N1000">
        <f>MONTH(Table1[[#This Row],[Last_Restock_Date]])</f>
        <v>6</v>
      </c>
      <c r="O1000" t="str" cm="1">
        <f t="array" ref="O1000">_xlfn.SWITCH(Table1[[#This Row],[Month_Number]],
    1,"Q1",2,"Q1",3,"Q1",
    4,"Q2",5,"Q2",6,"Q2",
    7,"Q3",8,"Q3",9,"Q3",
    10,"Q4",11,"Q4",12,"Q4",
    "Invalid Month"
)</f>
        <v>Q2</v>
      </c>
      <c r="P1000" t="str">
        <f>TEXT(Table1[[#This Row],[Last_Restock_Date]],"mmm")</f>
        <v>Jun</v>
      </c>
    </row>
    <row r="1001" spans="1:16" x14ac:dyDescent="0.25">
      <c r="A1001">
        <v>1000</v>
      </c>
      <c r="B1001" s="5" t="s">
        <v>40</v>
      </c>
      <c r="C1001" s="5" t="s">
        <v>34</v>
      </c>
      <c r="D1001" s="5" t="s">
        <v>24</v>
      </c>
      <c r="E1001" s="5" t="s">
        <v>32</v>
      </c>
      <c r="F1001" s="2">
        <v>271</v>
      </c>
      <c r="G1001" s="3">
        <v>405.3</v>
      </c>
      <c r="H1001">
        <v>88</v>
      </c>
      <c r="I1001">
        <f>IF(Table1[[#This Row],[Status]]= "Sufficient",
     Table1[[#This Row],[Stock_Quantity]] - Table1[[#This Row],[Reorder_Level]],
     0)</f>
        <v>183</v>
      </c>
      <c r="J1001" s="4">
        <v>45466</v>
      </c>
      <c r="K1001" s="5" t="s">
        <v>14</v>
      </c>
      <c r="L1001">
        <f>YEAR(Table1[[#This Row],[Last_Restock_Date]])</f>
        <v>2024</v>
      </c>
      <c r="M1001" t="str">
        <f>_xlfn.CONCAT(TEXT(Table1[[#This Row],[Last_Restock_Date]],"mmm"), "-", YEAR(Table1[[#This Row],[Last_Restock_Date]]))</f>
        <v>Jun-2024</v>
      </c>
      <c r="N1001">
        <f>MONTH(Table1[[#This Row],[Last_Restock_Date]])</f>
        <v>6</v>
      </c>
      <c r="O1001" t="str" cm="1">
        <f t="array" ref="O1001">_xlfn.SWITCH(Table1[[#This Row],[Month_Number]],
    1,"Q1",2,"Q1",3,"Q1",
    4,"Q2",5,"Q2",6,"Q2",
    7,"Q3",8,"Q3",9,"Q3",
    10,"Q4",11,"Q4",12,"Q4",
    "Invalid Month"
)</f>
        <v>Q2</v>
      </c>
      <c r="P1001" t="str">
        <f>TEXT(Table1[[#This Row],[Last_Restock_Date]],"mmm")</f>
        <v>Jun</v>
      </c>
    </row>
  </sheetData>
  <pageMargins left="0.7" right="0.7" top="0.75" bottom="0.75" header="0.3" footer="0.3"/>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9289F-C9C3-4085-936B-407427B59B1B}">
  <sheetPr>
    <tabColor rgb="FFFFFF00"/>
  </sheetPr>
  <dimension ref="A3:V37"/>
  <sheetViews>
    <sheetView showGridLines="0" workbookViewId="0">
      <selection activeCell="B4" sqref="B4"/>
    </sheetView>
  </sheetViews>
  <sheetFormatPr defaultRowHeight="15" x14ac:dyDescent="0.25"/>
  <cols>
    <col min="1" max="1" width="11.28515625" bestFit="1" customWidth="1"/>
    <col min="2" max="2" width="22.7109375" bestFit="1" customWidth="1"/>
    <col min="3" max="3" width="20" bestFit="1" customWidth="1"/>
    <col min="4" max="4" width="21.85546875" bestFit="1" customWidth="1"/>
    <col min="5" max="5" width="11.28515625" bestFit="1" customWidth="1"/>
    <col min="6" max="6" width="9.28515625" bestFit="1" customWidth="1"/>
    <col min="7" max="7" width="13.85546875" bestFit="1" customWidth="1"/>
    <col min="8" max="8" width="8.5703125" bestFit="1" customWidth="1"/>
    <col min="9" max="9" width="6" bestFit="1" customWidth="1"/>
    <col min="10" max="10" width="19" style="13" bestFit="1" customWidth="1"/>
    <col min="11" max="12" width="8" bestFit="1" customWidth="1"/>
    <col min="13" max="13" width="9.5703125" bestFit="1" customWidth="1"/>
    <col min="14" max="14" width="8" bestFit="1" customWidth="1"/>
    <col min="15" max="15" width="22.7109375" bestFit="1" customWidth="1"/>
    <col min="16" max="17" width="8" bestFit="1" customWidth="1"/>
    <col min="18" max="18" width="9.5703125" bestFit="1" customWidth="1"/>
    <col min="19" max="19" width="8" bestFit="1" customWidth="1"/>
    <col min="20" max="20" width="20" bestFit="1" customWidth="1"/>
    <col min="21" max="21" width="7.140625" bestFit="1" customWidth="1"/>
    <col min="22" max="22" width="7" bestFit="1" customWidth="1"/>
    <col min="23" max="23" width="9.5703125" bestFit="1" customWidth="1"/>
    <col min="24" max="24" width="6" bestFit="1" customWidth="1"/>
    <col min="25" max="25" width="15.85546875" bestFit="1" customWidth="1"/>
    <col min="26" max="26" width="24" bestFit="1" customWidth="1"/>
    <col min="27" max="27" width="27.7109375" bestFit="1" customWidth="1"/>
    <col min="28" max="28" width="25" bestFit="1" customWidth="1"/>
    <col min="29" max="30" width="6.7109375" bestFit="1" customWidth="1"/>
    <col min="31" max="31" width="5.85546875" bestFit="1" customWidth="1"/>
    <col min="32" max="32" width="6.7109375" bestFit="1" customWidth="1"/>
    <col min="33" max="33" width="6.28515625" bestFit="1" customWidth="1"/>
    <col min="34" max="34" width="6.140625" bestFit="1" customWidth="1"/>
    <col min="35" max="35" width="6.7109375" bestFit="1" customWidth="1"/>
    <col min="36" max="36" width="6.42578125" bestFit="1" customWidth="1"/>
    <col min="37" max="37" width="6.140625" bestFit="1" customWidth="1"/>
    <col min="38" max="38" width="11.28515625" bestFit="1" customWidth="1"/>
    <col min="39" max="52" width="9.7109375" bestFit="1" customWidth="1"/>
    <col min="53" max="60" width="8.7109375" bestFit="1" customWidth="1"/>
    <col min="61" max="71" width="9.7109375" bestFit="1" customWidth="1"/>
    <col min="72" max="77" width="8.7109375" bestFit="1" customWidth="1"/>
    <col min="78" max="87" width="9.7109375" bestFit="1" customWidth="1"/>
    <col min="88" max="92" width="8.7109375" bestFit="1" customWidth="1"/>
    <col min="93" max="103" width="9.7109375" bestFit="1" customWidth="1"/>
    <col min="104" max="109" width="8.7109375" bestFit="1" customWidth="1"/>
    <col min="110" max="119" width="9.7109375" bestFit="1" customWidth="1"/>
    <col min="120" max="124" width="8.7109375" bestFit="1" customWidth="1"/>
    <col min="125" max="139" width="9.7109375" bestFit="1" customWidth="1"/>
    <col min="140" max="142" width="8.7109375" bestFit="1" customWidth="1"/>
    <col min="143" max="158" width="9.7109375" bestFit="1" customWidth="1"/>
    <col min="159" max="170" width="10.7109375" bestFit="1" customWidth="1"/>
    <col min="171" max="173" width="9.7109375" bestFit="1" customWidth="1"/>
    <col min="174" max="188" width="10.7109375" bestFit="1" customWidth="1"/>
    <col min="189" max="193" width="9.7109375" bestFit="1" customWidth="1"/>
    <col min="194" max="209" width="10.7109375" bestFit="1" customWidth="1"/>
    <col min="210" max="216" width="8.7109375" bestFit="1" customWidth="1"/>
    <col min="217" max="227" width="9.7109375" bestFit="1" customWidth="1"/>
    <col min="228" max="230" width="8.7109375" bestFit="1" customWidth="1"/>
    <col min="231" max="242" width="9.7109375" bestFit="1" customWidth="1"/>
    <col min="243" max="250" width="8.7109375" bestFit="1" customWidth="1"/>
    <col min="251" max="265" width="9.7109375" bestFit="1" customWidth="1"/>
    <col min="266" max="268" width="8.7109375" bestFit="1" customWidth="1"/>
    <col min="269" max="279" width="9.7109375" bestFit="1" customWidth="1"/>
    <col min="280" max="285" width="8.7109375" bestFit="1" customWidth="1"/>
    <col min="286" max="302" width="9.7109375" bestFit="1" customWidth="1"/>
    <col min="303" max="309" width="8.7109375" bestFit="1" customWidth="1"/>
    <col min="310" max="323" width="9.7109375" bestFit="1" customWidth="1"/>
    <col min="324" max="328" width="8.7109375" bestFit="1" customWidth="1"/>
    <col min="329" max="342" width="9.7109375" bestFit="1" customWidth="1"/>
    <col min="343" max="346" width="8.7109375" bestFit="1" customWidth="1"/>
    <col min="347" max="357" width="9.7109375" bestFit="1" customWidth="1"/>
    <col min="358" max="362" width="8.7109375" bestFit="1" customWidth="1"/>
    <col min="363" max="381" width="9.7109375" bestFit="1" customWidth="1"/>
    <col min="382" max="395" width="10.7109375" bestFit="1" customWidth="1"/>
    <col min="396" max="401" width="9.7109375" bestFit="1" customWidth="1"/>
    <col min="402" max="412" width="10.7109375" bestFit="1" customWidth="1"/>
    <col min="413" max="418" width="9.7109375" bestFit="1" customWidth="1"/>
    <col min="419" max="435" width="10.7109375" bestFit="1" customWidth="1"/>
    <col min="436" max="443" width="8.7109375" bestFit="1" customWidth="1"/>
    <col min="444" max="454" width="9.7109375" bestFit="1" customWidth="1"/>
    <col min="455" max="456" width="8.7109375" bestFit="1" customWidth="1"/>
    <col min="457" max="466" width="9.7109375" bestFit="1" customWidth="1"/>
    <col min="467" max="474" width="8.7109375" bestFit="1" customWidth="1"/>
    <col min="475" max="491" width="9.7109375" bestFit="1" customWidth="1"/>
    <col min="492" max="497" width="8.7109375" bestFit="1" customWidth="1"/>
    <col min="498" max="503" width="9.7109375" bestFit="1" customWidth="1"/>
    <col min="504" max="509" width="8.7109375" bestFit="1" customWidth="1"/>
    <col min="510" max="522" width="9.7109375" bestFit="1" customWidth="1"/>
    <col min="523" max="528" width="8.7109375" bestFit="1" customWidth="1"/>
    <col min="529" max="536" width="9.7109375" bestFit="1" customWidth="1"/>
    <col min="537" max="541" width="8.7109375" bestFit="1" customWidth="1"/>
    <col min="542" max="556" width="9.7109375" bestFit="1" customWidth="1"/>
    <col min="557" max="562" width="8.7109375" bestFit="1" customWidth="1"/>
    <col min="563" max="576" width="9.7109375" bestFit="1" customWidth="1"/>
    <col min="577" max="582" width="8.7109375" bestFit="1" customWidth="1"/>
    <col min="583" max="596" width="9.7109375" bestFit="1" customWidth="1"/>
    <col min="597" max="611" width="10.7109375" bestFit="1" customWidth="1"/>
    <col min="612" max="618" width="9.7109375" bestFit="1" customWidth="1"/>
    <col min="619" max="631" width="10.7109375" bestFit="1" customWidth="1"/>
    <col min="632" max="638" width="9.7109375" bestFit="1" customWidth="1"/>
    <col min="639" max="653" width="10.7109375" bestFit="1" customWidth="1"/>
    <col min="654" max="654" width="11.28515625" bestFit="1" customWidth="1"/>
  </cols>
  <sheetData>
    <row r="3" spans="1:22" x14ac:dyDescent="0.25">
      <c r="A3" t="s">
        <v>61</v>
      </c>
      <c r="B3" t="s">
        <v>82</v>
      </c>
      <c r="C3" t="s">
        <v>62</v>
      </c>
      <c r="D3" t="s">
        <v>67</v>
      </c>
      <c r="O3" s="12" t="s">
        <v>63</v>
      </c>
      <c r="P3" s="12"/>
      <c r="Q3" s="12"/>
    </row>
    <row r="4" spans="1:22" x14ac:dyDescent="0.25">
      <c r="A4" s="8">
        <v>252898</v>
      </c>
      <c r="B4" s="6">
        <v>1000</v>
      </c>
      <c r="C4" s="11">
        <v>394.73548</v>
      </c>
      <c r="D4" s="8">
        <v>164643</v>
      </c>
      <c r="K4" s="12"/>
      <c r="L4" s="12"/>
    </row>
    <row r="5" spans="1:22" x14ac:dyDescent="0.25">
      <c r="K5" s="12"/>
      <c r="L5" s="12"/>
    </row>
    <row r="7" spans="1:22" x14ac:dyDescent="0.25">
      <c r="V7" t="s">
        <v>55</v>
      </c>
    </row>
    <row r="8" spans="1:22" x14ac:dyDescent="0.25">
      <c r="A8" s="9" t="s">
        <v>2</v>
      </c>
      <c r="B8" t="s">
        <v>61</v>
      </c>
      <c r="D8" s="9" t="s">
        <v>9</v>
      </c>
      <c r="E8" t="s">
        <v>82</v>
      </c>
    </row>
    <row r="9" spans="1:22" x14ac:dyDescent="0.25">
      <c r="A9" s="10" t="s">
        <v>34</v>
      </c>
      <c r="B9" s="8">
        <v>48987</v>
      </c>
      <c r="D9" s="10" t="s">
        <v>28</v>
      </c>
      <c r="E9" s="7">
        <v>0.20799999999999999</v>
      </c>
    </row>
    <row r="10" spans="1:22" x14ac:dyDescent="0.25">
      <c r="A10" s="10" t="s">
        <v>20</v>
      </c>
      <c r="B10" s="8">
        <v>53651</v>
      </c>
      <c r="D10" s="10" t="s">
        <v>14</v>
      </c>
      <c r="E10" s="7">
        <v>0.79200000000000004</v>
      </c>
    </row>
    <row r="11" spans="1:22" x14ac:dyDescent="0.25">
      <c r="A11" s="10" t="s">
        <v>26</v>
      </c>
      <c r="B11" s="8">
        <v>46405</v>
      </c>
      <c r="D11" s="10" t="s">
        <v>64</v>
      </c>
      <c r="E11" s="7">
        <v>1</v>
      </c>
    </row>
    <row r="12" spans="1:22" x14ac:dyDescent="0.25">
      <c r="A12" s="10" t="s">
        <v>16</v>
      </c>
      <c r="B12" s="8">
        <v>54107</v>
      </c>
      <c r="G12" s="8"/>
      <c r="M12" t="s">
        <v>55</v>
      </c>
    </row>
    <row r="13" spans="1:22" x14ac:dyDescent="0.25">
      <c r="A13" s="10" t="s">
        <v>11</v>
      </c>
      <c r="B13" s="8">
        <v>49748</v>
      </c>
    </row>
    <row r="14" spans="1:22" x14ac:dyDescent="0.25">
      <c r="A14" s="10" t="s">
        <v>64</v>
      </c>
      <c r="B14" s="8">
        <v>252898</v>
      </c>
    </row>
    <row r="16" spans="1:22" x14ac:dyDescent="0.25">
      <c r="A16" s="9" t="s">
        <v>3</v>
      </c>
      <c r="B16" t="s">
        <v>66</v>
      </c>
      <c r="C16" t="str">
        <f>A16</f>
        <v>Warehouse</v>
      </c>
      <c r="D16" t="str">
        <f>B16</f>
        <v>Expected Restocked Qty</v>
      </c>
      <c r="E16" s="9" t="s">
        <v>2</v>
      </c>
      <c r="F16" t="s">
        <v>86</v>
      </c>
      <c r="G16" t="s">
        <v>84</v>
      </c>
    </row>
    <row r="17" spans="1:15" x14ac:dyDescent="0.25">
      <c r="A17" s="10" t="s">
        <v>12</v>
      </c>
      <c r="B17" s="6">
        <v>34675</v>
      </c>
      <c r="C17" t="str">
        <f t="shared" ref="C17:C21" si="0">A17</f>
        <v>California</v>
      </c>
      <c r="D17" s="8">
        <f t="shared" ref="D17:D21" si="1">B17</f>
        <v>34675</v>
      </c>
      <c r="E17" s="10" t="s">
        <v>26</v>
      </c>
      <c r="F17" s="8">
        <v>46405</v>
      </c>
      <c r="G17" s="8">
        <v>30686</v>
      </c>
      <c r="H17" s="8"/>
    </row>
    <row r="18" spans="1:15" ht="15.75" x14ac:dyDescent="0.25">
      <c r="A18" s="10" t="s">
        <v>21</v>
      </c>
      <c r="B18" s="6">
        <v>30823</v>
      </c>
      <c r="C18" t="str">
        <f t="shared" si="0"/>
        <v>Florida</v>
      </c>
      <c r="D18" s="8">
        <f t="shared" si="1"/>
        <v>30823</v>
      </c>
      <c r="E18" s="10" t="s">
        <v>11</v>
      </c>
      <c r="F18" s="8">
        <v>49748</v>
      </c>
      <c r="G18" s="8">
        <v>31393</v>
      </c>
      <c r="J18" s="14" t="s">
        <v>87</v>
      </c>
    </row>
    <row r="19" spans="1:15" x14ac:dyDescent="0.25">
      <c r="A19" s="10" t="s">
        <v>24</v>
      </c>
      <c r="B19" s="6">
        <v>34282</v>
      </c>
      <c r="C19" t="str">
        <f t="shared" si="0"/>
        <v>Illinois</v>
      </c>
      <c r="D19" s="8">
        <f t="shared" si="1"/>
        <v>34282</v>
      </c>
      <c r="E19" s="10" t="s">
        <v>34</v>
      </c>
      <c r="F19" s="8">
        <v>48987</v>
      </c>
      <c r="G19" s="8">
        <v>31899</v>
      </c>
      <c r="O19" s="13"/>
    </row>
    <row r="20" spans="1:15" x14ac:dyDescent="0.25">
      <c r="A20" s="10" t="s">
        <v>17</v>
      </c>
      <c r="B20" s="6">
        <v>33307</v>
      </c>
      <c r="C20" t="str">
        <f t="shared" si="0"/>
        <v>New York</v>
      </c>
      <c r="D20" s="8">
        <f t="shared" si="1"/>
        <v>33307</v>
      </c>
      <c r="E20" s="10" t="s">
        <v>16</v>
      </c>
      <c r="F20" s="8">
        <v>54107</v>
      </c>
      <c r="G20" s="8">
        <v>34941</v>
      </c>
    </row>
    <row r="21" spans="1:15" x14ac:dyDescent="0.25">
      <c r="A21" s="10" t="s">
        <v>30</v>
      </c>
      <c r="B21" s="6">
        <v>31556</v>
      </c>
      <c r="C21" t="str">
        <f t="shared" si="0"/>
        <v>Texas</v>
      </c>
      <c r="D21" s="8">
        <f t="shared" si="1"/>
        <v>31556</v>
      </c>
      <c r="E21" s="10" t="s">
        <v>20</v>
      </c>
      <c r="F21" s="8">
        <v>53651</v>
      </c>
      <c r="G21" s="8">
        <v>35724</v>
      </c>
    </row>
    <row r="22" spans="1:15" x14ac:dyDescent="0.25">
      <c r="A22" s="10" t="s">
        <v>64</v>
      </c>
      <c r="B22" s="6">
        <v>164643</v>
      </c>
      <c r="E22" s="10" t="s">
        <v>64</v>
      </c>
      <c r="F22" s="8">
        <v>252898</v>
      </c>
      <c r="G22" s="8">
        <v>164643</v>
      </c>
    </row>
    <row r="24" spans="1:15" x14ac:dyDescent="0.25">
      <c r="A24" s="9" t="s">
        <v>81</v>
      </c>
      <c r="B24" t="s">
        <v>66</v>
      </c>
      <c r="D24" s="9" t="s">
        <v>80</v>
      </c>
      <c r="E24" t="s">
        <v>82</v>
      </c>
      <c r="F24" t="s">
        <v>83</v>
      </c>
      <c r="G24" t="s">
        <v>84</v>
      </c>
      <c r="H24" t="s">
        <v>85</v>
      </c>
    </row>
    <row r="25" spans="1:15" x14ac:dyDescent="0.25">
      <c r="A25" s="10" t="s">
        <v>72</v>
      </c>
      <c r="B25" s="8">
        <v>11804</v>
      </c>
      <c r="D25" s="19" t="s">
        <v>32</v>
      </c>
      <c r="E25" s="16">
        <v>174</v>
      </c>
      <c r="F25" s="17">
        <v>46679</v>
      </c>
      <c r="G25" s="17">
        <v>31100</v>
      </c>
      <c r="H25" s="18">
        <v>407.65942528735633</v>
      </c>
    </row>
    <row r="26" spans="1:15" x14ac:dyDescent="0.25">
      <c r="A26" s="10" t="s">
        <v>71</v>
      </c>
      <c r="B26" s="8">
        <v>8145</v>
      </c>
      <c r="D26" s="19" t="s">
        <v>39</v>
      </c>
      <c r="E26" s="16">
        <v>166</v>
      </c>
      <c r="F26" s="17">
        <v>45194</v>
      </c>
      <c r="G26" s="17">
        <v>30435</v>
      </c>
      <c r="H26" s="18">
        <v>398.40427710843375</v>
      </c>
    </row>
    <row r="27" spans="1:15" x14ac:dyDescent="0.25">
      <c r="A27" s="10" t="s">
        <v>75</v>
      </c>
      <c r="B27" s="8">
        <v>19769</v>
      </c>
      <c r="D27" s="19" t="s">
        <v>37</v>
      </c>
      <c r="E27" s="16">
        <v>161</v>
      </c>
      <c r="F27" s="17">
        <v>39840</v>
      </c>
      <c r="G27" s="17">
        <v>26126</v>
      </c>
      <c r="H27" s="18">
        <v>397.4958385093168</v>
      </c>
    </row>
    <row r="28" spans="1:15" x14ac:dyDescent="0.25">
      <c r="A28" s="10" t="s">
        <v>68</v>
      </c>
      <c r="B28" s="8">
        <v>9682</v>
      </c>
      <c r="D28" s="19" t="s">
        <v>18</v>
      </c>
      <c r="E28" s="16">
        <v>177</v>
      </c>
      <c r="F28" s="17">
        <v>42019</v>
      </c>
      <c r="G28" s="17">
        <v>26591</v>
      </c>
      <c r="H28" s="18">
        <v>361.10870056497174</v>
      </c>
    </row>
    <row r="29" spans="1:15" x14ac:dyDescent="0.25">
      <c r="A29" s="10" t="s">
        <v>76</v>
      </c>
      <c r="B29" s="8">
        <v>16567</v>
      </c>
      <c r="D29" s="19" t="s">
        <v>27</v>
      </c>
      <c r="E29" s="16">
        <v>161</v>
      </c>
      <c r="F29" s="17">
        <v>40237</v>
      </c>
      <c r="G29" s="17">
        <v>25391</v>
      </c>
      <c r="H29" s="18">
        <v>401.50850931677019</v>
      </c>
    </row>
    <row r="30" spans="1:15" x14ac:dyDescent="0.25">
      <c r="A30" s="10" t="s">
        <v>74</v>
      </c>
      <c r="B30" s="8">
        <v>12954</v>
      </c>
      <c r="D30" s="19" t="s">
        <v>13</v>
      </c>
      <c r="E30" s="16">
        <v>161</v>
      </c>
      <c r="F30" s="17">
        <v>38929</v>
      </c>
      <c r="G30" s="17">
        <v>25000</v>
      </c>
      <c r="H30" s="18">
        <v>404.42043478260871</v>
      </c>
    </row>
    <row r="31" spans="1:15" x14ac:dyDescent="0.25">
      <c r="A31" s="10" t="s">
        <v>73</v>
      </c>
      <c r="B31" s="8">
        <v>12396</v>
      </c>
      <c r="D31" s="10" t="s">
        <v>64</v>
      </c>
      <c r="E31" s="6">
        <v>1000</v>
      </c>
      <c r="F31" s="8">
        <v>252898</v>
      </c>
      <c r="G31" s="8">
        <v>164643</v>
      </c>
      <c r="H31" s="11">
        <v>394.73548</v>
      </c>
    </row>
    <row r="32" spans="1:15" x14ac:dyDescent="0.25">
      <c r="A32" s="10" t="s">
        <v>69</v>
      </c>
      <c r="B32" s="8">
        <v>12297</v>
      </c>
    </row>
    <row r="33" spans="1:2" x14ac:dyDescent="0.25">
      <c r="A33" s="10" t="s">
        <v>79</v>
      </c>
      <c r="B33" s="8">
        <v>13472</v>
      </c>
    </row>
    <row r="34" spans="1:2" x14ac:dyDescent="0.25">
      <c r="A34" s="10" t="s">
        <v>78</v>
      </c>
      <c r="B34" s="8">
        <v>13987</v>
      </c>
    </row>
    <row r="35" spans="1:2" x14ac:dyDescent="0.25">
      <c r="A35" s="10" t="s">
        <v>77</v>
      </c>
      <c r="B35" s="8">
        <v>15435</v>
      </c>
    </row>
    <row r="36" spans="1:2" x14ac:dyDescent="0.25">
      <c r="A36" s="10" t="s">
        <v>70</v>
      </c>
      <c r="B36" s="8">
        <v>18135</v>
      </c>
    </row>
    <row r="37" spans="1:2" x14ac:dyDescent="0.25">
      <c r="A37" s="10" t="s">
        <v>64</v>
      </c>
      <c r="B37" s="8">
        <v>164643</v>
      </c>
    </row>
  </sheetData>
  <pageMargins left="0.7" right="0.7" top="0.75" bottom="0.75" header="0.3" footer="0.3"/>
  <drawing r:id="rId8"/>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FDBCF-DF33-482F-9ABB-0E5A1A0C04F2}">
  <sheetPr>
    <tabColor theme="3" tint="0.39997558519241921"/>
  </sheetPr>
  <dimension ref="A1"/>
  <sheetViews>
    <sheetView showGridLines="0" showRowColHeaders="0" topLeftCell="I5" zoomScale="110" zoomScaleNormal="110" workbookViewId="0">
      <selection activeCell="AD26" sqref="AD26"/>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7CE0A-4FA5-4699-BB8F-630E38BA8F38}">
  <sheetPr>
    <tabColor theme="6"/>
  </sheetPr>
  <dimension ref="AC17"/>
  <sheetViews>
    <sheetView showGridLines="0" showRowColHeaders="0" topLeftCell="A6" zoomScale="110" zoomScaleNormal="110" workbookViewId="0">
      <selection activeCell="M39" sqref="M39"/>
    </sheetView>
  </sheetViews>
  <sheetFormatPr defaultRowHeight="15" x14ac:dyDescent="0.25"/>
  <cols>
    <col min="2" max="22" width="9.140625" customWidth="1"/>
    <col min="24" max="24" width="8.42578125" customWidth="1"/>
  </cols>
  <sheetData>
    <row r="17" spans="29:29" x14ac:dyDescent="0.25">
      <c r="AC17" t="s">
        <v>55</v>
      </c>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C20A4-FD94-4810-9102-B4967FD76A8F}">
  <sheetPr>
    <tabColor theme="5" tint="-0.249977111117893"/>
  </sheetPr>
  <dimension ref="A1"/>
  <sheetViews>
    <sheetView showGridLines="0" showRowColHeaders="0" workbookViewId="0">
      <selection activeCell="P42" sqref="P42"/>
    </sheetView>
  </sheetViews>
  <sheetFormatPr defaultRowHeight="15" x14ac:dyDescent="0.25"/>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D0B8273D-E41E-4910-9BB6-9EDA28F4083D}">
  <ds:schemaRefs/>
</ds:datastoreItem>
</file>

<file path=customXml/itemProps2.xml><?xml version="1.0" encoding="utf-8"?>
<ds:datastoreItem xmlns:ds="http://schemas.openxmlformats.org/officeDocument/2006/customXml" ds:itemID="{995008B7-4048-4C98-8451-73F411ED535D}">
  <ds:schemaRefs/>
</ds:datastoreItem>
</file>

<file path=customXml/itemProps3.xml><?xml version="1.0" encoding="utf-8"?>
<ds:datastoreItem xmlns:ds="http://schemas.openxmlformats.org/officeDocument/2006/customXml" ds:itemID="{D8C12739-960C-42D4-914D-C1F9361C911A}">
  <ds:schemaRefs/>
</ds:datastoreItem>
</file>

<file path=customXml/itemProps4.xml><?xml version="1.0" encoding="utf-8"?>
<ds:datastoreItem xmlns:ds="http://schemas.openxmlformats.org/officeDocument/2006/customXml" ds:itemID="{0B9A364F-F654-437B-ADE1-C7084C20D34E}">
  <ds:schemaRefs/>
</ds:datastoreItem>
</file>

<file path=customXml/itemProps5.xml><?xml version="1.0" encoding="utf-8"?>
<ds:datastoreItem xmlns:ds="http://schemas.openxmlformats.org/officeDocument/2006/customXml" ds:itemID="{3EB72AE0-8225-4505-A9F2-51797BC62294}">
  <ds:schemaRefs/>
</ds:datastoreItem>
</file>

<file path=customXml/itemProps6.xml><?xml version="1.0" encoding="utf-8"?>
<ds:datastoreItem xmlns:ds="http://schemas.openxmlformats.org/officeDocument/2006/customXml" ds:itemID="{E34024D9-37C5-497B-B39A-0FA0687F289E}">
  <ds:schemaRefs/>
</ds:datastoreItem>
</file>

<file path=customXml/itemProps7.xml><?xml version="1.0" encoding="utf-8"?>
<ds:datastoreItem xmlns:ds="http://schemas.openxmlformats.org/officeDocument/2006/customXml" ds:itemID="{7C7466CD-FA63-4771-BFB6-E0595D8966FF}">
  <ds:schemaRefs/>
</ds:datastoreItem>
</file>

<file path=customXml/itemProps8.xml><?xml version="1.0" encoding="utf-8"?>
<ds:datastoreItem xmlns:ds="http://schemas.openxmlformats.org/officeDocument/2006/customXml" ds:itemID="{CCCB0207-CD86-4418-86DF-ED030F566E5A}">
  <ds:schemaRefs/>
</ds:datastoreItem>
</file>

<file path=customXml/itemProps9.xml><?xml version="1.0" encoding="utf-8"?>
<ds:datastoreItem xmlns:ds="http://schemas.openxmlformats.org/officeDocument/2006/customXml" ds:itemID="{AFFFA803-BC6E-4A07-9665-48BDD468D641}">
  <ds:schemaRefs/>
</ds:datastoreItem>
</file>

<file path=customXml/itemProps10.xml><?xml version="1.0" encoding="utf-8"?>
<ds:datastoreItem xmlns:ds="http://schemas.openxmlformats.org/officeDocument/2006/customXml" ds:itemID="{E33343B8-E0F4-47C0-8E03-A9452D5CA1EF}">
  <ds:schemaRefs/>
</ds:datastoreItem>
</file>

<file path=customXml/itemProps11.xml><?xml version="1.0" encoding="utf-8"?>
<ds:datastoreItem xmlns:ds="http://schemas.openxmlformats.org/officeDocument/2006/customXml" ds:itemID="{7549E7DF-F4AB-45F3-8A0B-C5935B92AD9F}">
  <ds:schemaRefs/>
</ds:datastoreItem>
</file>

<file path=customXml/itemProps12.xml><?xml version="1.0" encoding="utf-8"?>
<ds:datastoreItem xmlns:ds="http://schemas.openxmlformats.org/officeDocument/2006/customXml" ds:itemID="{A93095F0-089A-4CD1-B130-F43BFEE5ABE2}">
  <ds:schemaRefs/>
</ds:datastoreItem>
</file>

<file path=customXml/itemProps13.xml><?xml version="1.0" encoding="utf-8"?>
<ds:datastoreItem xmlns:ds="http://schemas.openxmlformats.org/officeDocument/2006/customXml" ds:itemID="{FFBA2BB0-10A9-46D4-8A0E-B98ED585AA51}">
  <ds:schemaRefs/>
</ds:datastoreItem>
</file>

<file path=customXml/itemProps14.xml><?xml version="1.0" encoding="utf-8"?>
<ds:datastoreItem xmlns:ds="http://schemas.openxmlformats.org/officeDocument/2006/customXml" ds:itemID="{037F3AA2-AF44-4CE0-B299-AF8C469BA802}">
  <ds:schemaRefs/>
</ds:datastoreItem>
</file>

<file path=customXml/itemProps15.xml><?xml version="1.0" encoding="utf-8"?>
<ds:datastoreItem xmlns:ds="http://schemas.openxmlformats.org/officeDocument/2006/customXml" ds:itemID="{1A0E490D-3594-4059-AF13-CDC582EA7612}">
  <ds:schemaRefs/>
</ds:datastoreItem>
</file>

<file path=customXml/itemProps16.xml><?xml version="1.0" encoding="utf-8"?>
<ds:datastoreItem xmlns:ds="http://schemas.openxmlformats.org/officeDocument/2006/customXml" ds:itemID="{0A0EFC2F-D060-4344-8016-2B5583012285}">
  <ds:schemaRefs/>
</ds:datastoreItem>
</file>

<file path=customXml/itemProps17.xml><?xml version="1.0" encoding="utf-8"?>
<ds:datastoreItem xmlns:ds="http://schemas.openxmlformats.org/officeDocument/2006/customXml" ds:itemID="{90CEAD39-734F-4762-AAD3-FC7F9312E4D5}">
  <ds:schemaRefs/>
</ds:datastoreItem>
</file>

<file path=customXml/itemProps18.xml><?xml version="1.0" encoding="utf-8"?>
<ds:datastoreItem xmlns:ds="http://schemas.openxmlformats.org/officeDocument/2006/customXml" ds:itemID="{9552B208-CF4A-437C-9DCC-21A6FDE43304}">
  <ds:schemaRefs/>
</ds:datastoreItem>
</file>

<file path=customXml/itemProps19.xml><?xml version="1.0" encoding="utf-8"?>
<ds:datastoreItem xmlns:ds="http://schemas.openxmlformats.org/officeDocument/2006/customXml" ds:itemID="{CBE649E2-23E1-4FC0-AC36-F02E9FE86F4F}">
  <ds:schemaRefs/>
</ds:datastoreItem>
</file>

<file path=customXml/itemProps20.xml><?xml version="1.0" encoding="utf-8"?>
<ds:datastoreItem xmlns:ds="http://schemas.openxmlformats.org/officeDocument/2006/customXml" ds:itemID="{4FF4B255-0DCA-458A-AF06-2FA15825671F}">
  <ds:schemaRefs/>
</ds:datastoreItem>
</file>

<file path=customXml/itemProps21.xml><?xml version="1.0" encoding="utf-8"?>
<ds:datastoreItem xmlns:ds="http://schemas.openxmlformats.org/officeDocument/2006/customXml" ds:itemID="{E093959D-EFE9-48C2-B2C5-CF95EEB4D757}">
  <ds:schemaRefs/>
</ds:datastoreItem>
</file>

<file path=customXml/itemProps22.xml><?xml version="1.0" encoding="utf-8"?>
<ds:datastoreItem xmlns:ds="http://schemas.openxmlformats.org/officeDocument/2006/customXml" ds:itemID="{94FB77C1-0B1C-45C4-B51C-2DB9375DC70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Inventory_Data</vt:lpstr>
      <vt:lpstr>Cleaned Data</vt:lpstr>
      <vt:lpstr>Pivot Table</vt:lpstr>
      <vt:lpstr>Report page 1</vt:lpstr>
      <vt:lpstr>Report page 2</vt:lpstr>
      <vt:lpstr>Report 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idris oladejo</cp:lastModifiedBy>
  <cp:lastPrinted>2026-02-12T16:25:37Z</cp:lastPrinted>
  <dcterms:created xsi:type="dcterms:W3CDTF">2026-02-10T11:16:34Z</dcterms:created>
  <dcterms:modified xsi:type="dcterms:W3CDTF">2026-02-16T10:29:51Z</dcterms:modified>
</cp:coreProperties>
</file>